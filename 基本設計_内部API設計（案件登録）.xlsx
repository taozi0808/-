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office\wudingkun\tkms\svn\20.基本設計\01.仕様書\02.案件\"/>
    </mc:Choice>
  </mc:AlternateContent>
  <xr:revisionPtr revIDLastSave="0" documentId="13_ncr:1_{9284F9C9-0AEF-457E-8C79-84A46DD5A638}" xr6:coauthVersionLast="47" xr6:coauthVersionMax="47" xr10:uidLastSave="{00000000-0000-0000-0000-000000000000}"/>
  <bookViews>
    <workbookView xWindow="-120" yWindow="-120" windowWidth="29040" windowHeight="15720" xr2:uid="{F2A11059-D43B-4F63-B13A-9BEB4B0667A6}"/>
  </bookViews>
  <sheets>
    <sheet name="改訂履歴" sheetId="8" r:id="rId1"/>
    <sheet name="選択項目取得API" sheetId="3" r:id="rId2"/>
    <sheet name="案件登録選択肢検索API" sheetId="5" r:id="rId3"/>
    <sheet name="案件情報取得API" sheetId="1" r:id="rId4"/>
    <sheet name="案件更新処理フロー" sheetId="7" r:id="rId5"/>
    <sheet name="案件情報更新API " sheetId="4" r:id="rId6"/>
    <sheet name="先行作業内諾書の注文書作成選択肢検索API" sheetId="9" r:id="rId7"/>
    <sheet name="先行作業内諾書の注文書作成登録API" sheetId="10" r:id="rId8"/>
    <sheet name="先行作業内諾書明細_印刷API" sheetId="11" r:id="rId9"/>
    <sheet name="案件情報更新API  (2)" sheetId="6" state="hidden" r:id="rId10"/>
  </sheets>
  <definedNames>
    <definedName name="_xlnm.Print_Area" localSheetId="5">'案件情報更新API '!$A$1:$AB$590</definedName>
    <definedName name="_xlnm.Print_Area" localSheetId="9">'案件情報更新API  (2)'!$A$1:$AB$627</definedName>
    <definedName name="_xlnm.Print_Area" localSheetId="3">案件情報取得API!$A$1:$AA$433</definedName>
    <definedName name="_xlnm.Print_Area" localSheetId="2">案件登録選択肢検索API!$A$1:$AB$177</definedName>
    <definedName name="_xlnm.Print_Area" localSheetId="6">先行作業内諾書の注文書作成選択肢検索API!$A$1:$AB$65</definedName>
    <definedName name="_xlnm.Print_Area" localSheetId="7">先行作業内諾書の注文書作成登録API!$A$1:$AB$113</definedName>
    <definedName name="_xlnm.Print_Area" localSheetId="8">先行作業内諾書明細_印刷API!$A$1:$AA$46</definedName>
    <definedName name="_xlnm.Print_Area" localSheetId="1">選択項目取得API!$A$1:$AA$123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 i="11" l="1"/>
  <c r="AC264" i="1" l="1"/>
  <c r="AC261" i="1"/>
  <c r="AC260" i="1"/>
  <c r="AC259" i="1"/>
  <c r="AC258" i="1"/>
  <c r="AC257" i="1"/>
  <c r="AC256" i="1"/>
  <c r="AC255" i="1"/>
  <c r="AC254" i="1"/>
  <c r="AC253" i="1"/>
  <c r="AC252" i="1"/>
  <c r="AC251" i="1"/>
  <c r="AC250" i="1"/>
  <c r="AC246" i="1"/>
  <c r="AD112" i="10"/>
  <c r="AD111" i="10"/>
  <c r="AD110" i="10"/>
  <c r="AD85" i="10" l="1"/>
  <c r="AD84" i="10"/>
  <c r="AD83" i="10"/>
  <c r="AD82" i="10"/>
  <c r="AD81" i="10"/>
  <c r="AD80" i="10"/>
  <c r="AD79" i="10"/>
  <c r="AD78" i="10"/>
  <c r="AD77" i="10"/>
  <c r="AD76" i="10"/>
  <c r="AD75" i="10"/>
  <c r="AD74" i="10"/>
  <c r="AD64" i="10"/>
  <c r="AD52" i="10"/>
  <c r="AD67" i="10"/>
  <c r="AD66" i="10"/>
  <c r="AD65" i="10"/>
  <c r="AD63" i="10"/>
  <c r="AD62" i="10"/>
  <c r="AD61" i="10"/>
  <c r="AD60" i="10"/>
  <c r="AD59" i="10"/>
  <c r="AD58" i="10"/>
  <c r="AD57" i="10"/>
  <c r="AD56" i="10"/>
  <c r="AD55" i="10"/>
  <c r="AD54" i="10"/>
  <c r="AD53" i="10"/>
  <c r="AD47" i="10"/>
  <c r="AD46" i="10"/>
  <c r="AD45" i="10"/>
  <c r="AD44" i="10"/>
  <c r="B10" i="10"/>
  <c r="B11" i="10" l="1"/>
  <c r="AC230" i="1" l="1"/>
  <c r="AD215" i="4" l="1"/>
  <c r="AC45" i="1"/>
  <c r="AC164" i="1"/>
  <c r="AC150" i="1"/>
  <c r="AC137" i="1"/>
  <c r="AC138" i="1"/>
  <c r="A28" i="8"/>
  <c r="A27" i="8"/>
  <c r="A26" i="8"/>
  <c r="A25" i="8"/>
  <c r="A24" i="8"/>
  <c r="A23" i="8"/>
  <c r="A22" i="8"/>
  <c r="A21" i="8"/>
  <c r="A20" i="8"/>
  <c r="A19" i="8"/>
  <c r="A18" i="8"/>
  <c r="A17" i="8"/>
  <c r="A16" i="8"/>
  <c r="A15" i="8"/>
  <c r="A14" i="8"/>
  <c r="A13" i="8"/>
  <c r="A12" i="8"/>
  <c r="A11" i="8"/>
  <c r="A10" i="8"/>
  <c r="A9" i="8"/>
  <c r="A8" i="8"/>
  <c r="A7" i="8"/>
  <c r="A6" i="8"/>
  <c r="A5" i="8"/>
  <c r="A4" i="8"/>
  <c r="AD565" i="4" l="1"/>
  <c r="AD563" i="4"/>
  <c r="AD427" i="4"/>
  <c r="AD478" i="4"/>
  <c r="C530" i="4"/>
  <c r="C531" i="4" s="1"/>
  <c r="C532" i="4" s="1"/>
  <c r="AD535" i="4"/>
  <c r="AD534" i="4"/>
  <c r="AD533" i="4"/>
  <c r="AD532" i="4"/>
  <c r="AD531" i="4"/>
  <c r="AD530" i="4"/>
  <c r="AD528" i="4"/>
  <c r="B10" i="4"/>
  <c r="B11" i="4" l="1"/>
  <c r="B12" i="4" s="1"/>
  <c r="C533" i="4"/>
  <c r="B13" i="4" l="1"/>
  <c r="C534" i="4"/>
  <c r="B14" i="4" l="1"/>
  <c r="B15" i="4" s="1"/>
  <c r="B16" i="4" s="1"/>
  <c r="C565" i="4"/>
  <c r="C535" i="4"/>
  <c r="B17" i="4" l="1"/>
  <c r="B18" i="4" s="1"/>
  <c r="B19" i="4" l="1"/>
  <c r="B20" i="4" l="1"/>
  <c r="B21" i="4" l="1"/>
  <c r="B22" i="4" s="1"/>
  <c r="B23" i="4" l="1"/>
  <c r="B24" i="4" s="1"/>
  <c r="AD603" i="6"/>
  <c r="J583" i="6"/>
  <c r="J582" i="6"/>
  <c r="J581" i="6"/>
  <c r="J580" i="6"/>
  <c r="J579" i="6"/>
  <c r="J578" i="6"/>
  <c r="J577" i="6"/>
  <c r="J576" i="6"/>
  <c r="J575" i="6"/>
  <c r="J574" i="6"/>
  <c r="J573" i="6"/>
  <c r="J572" i="6"/>
  <c r="J571" i="6"/>
  <c r="J570" i="6"/>
  <c r="J569" i="6"/>
  <c r="AD548" i="6"/>
  <c r="J538" i="6"/>
  <c r="J537" i="6"/>
  <c r="J536" i="6"/>
  <c r="J535" i="6"/>
  <c r="J534" i="6"/>
  <c r="J533" i="6"/>
  <c r="J532" i="6"/>
  <c r="J531" i="6"/>
  <c r="J530" i="6"/>
  <c r="J529" i="6"/>
  <c r="J528" i="6"/>
  <c r="J527" i="6"/>
  <c r="J526" i="6"/>
  <c r="J525" i="6"/>
  <c r="J524" i="6"/>
  <c r="AD494" i="6"/>
  <c r="J489" i="6"/>
  <c r="J488" i="6"/>
  <c r="J487" i="6"/>
  <c r="J486" i="6"/>
  <c r="J485" i="6"/>
  <c r="J484" i="6"/>
  <c r="J483" i="6"/>
  <c r="J482" i="6"/>
  <c r="J481" i="6"/>
  <c r="J480" i="6"/>
  <c r="J479" i="6"/>
  <c r="J478" i="6"/>
  <c r="J477" i="6"/>
  <c r="J476" i="6"/>
  <c r="J475" i="6"/>
  <c r="AD457" i="6"/>
  <c r="AD454" i="6"/>
  <c r="AD453" i="6"/>
  <c r="AD452" i="6"/>
  <c r="AD451" i="6"/>
  <c r="AD449" i="6"/>
  <c r="AD448" i="6"/>
  <c r="AD447" i="6"/>
  <c r="AD446" i="6"/>
  <c r="AD445" i="6"/>
  <c r="J445" i="6"/>
  <c r="AD444" i="6"/>
  <c r="J444" i="6"/>
  <c r="J443" i="6"/>
  <c r="AD442" i="6"/>
  <c r="J442" i="6"/>
  <c r="AD441" i="6"/>
  <c r="J441" i="6"/>
  <c r="AD440" i="6"/>
  <c r="J440" i="6"/>
  <c r="AD439" i="6"/>
  <c r="J439" i="6"/>
  <c r="AD438" i="6"/>
  <c r="J438" i="6"/>
  <c r="AD437" i="6"/>
  <c r="J437" i="6"/>
  <c r="AD436" i="6"/>
  <c r="J436" i="6"/>
  <c r="AD435" i="6"/>
  <c r="J435" i="6"/>
  <c r="AD434" i="6"/>
  <c r="J434" i="6"/>
  <c r="AD433" i="6"/>
  <c r="J433" i="6"/>
  <c r="J432" i="6"/>
  <c r="AD431" i="6"/>
  <c r="J431" i="6"/>
  <c r="AD430" i="6"/>
  <c r="AD429" i="6"/>
  <c r="AD428" i="6"/>
  <c r="AD427" i="6"/>
  <c r="AD426" i="6"/>
  <c r="AD425" i="6"/>
  <c r="AD424" i="6"/>
  <c r="AD423" i="6"/>
  <c r="AD422" i="6"/>
  <c r="AD421" i="6"/>
  <c r="AD420" i="6"/>
  <c r="AD418" i="6"/>
  <c r="AD417" i="6"/>
  <c r="AD416" i="6"/>
  <c r="AD415" i="6"/>
  <c r="AD414" i="6"/>
  <c r="AD413" i="6"/>
  <c r="AD412" i="6"/>
  <c r="AD411" i="6"/>
  <c r="AD410" i="6"/>
  <c r="AD409" i="6"/>
  <c r="AD408" i="6"/>
  <c r="AD407" i="6"/>
  <c r="AD403" i="6"/>
  <c r="AD402" i="6"/>
  <c r="AD401" i="6"/>
  <c r="AD400" i="6"/>
  <c r="AD399" i="6"/>
  <c r="AD398" i="6"/>
  <c r="AD397" i="6"/>
  <c r="AD396" i="6"/>
  <c r="AD395" i="6"/>
  <c r="AD394" i="6"/>
  <c r="AD393" i="6"/>
  <c r="AD392" i="6"/>
  <c r="AD391" i="6"/>
  <c r="AD390" i="6"/>
  <c r="AD389" i="6"/>
  <c r="AD388" i="6"/>
  <c r="C388" i="6"/>
  <c r="AD368" i="6"/>
  <c r="AD367" i="6"/>
  <c r="AD366" i="6"/>
  <c r="AD365" i="6"/>
  <c r="AD364" i="6"/>
  <c r="AD363" i="6"/>
  <c r="AD362" i="6"/>
  <c r="AD361" i="6"/>
  <c r="AD360" i="6"/>
  <c r="AD359" i="6"/>
  <c r="AD358" i="6"/>
  <c r="AD357" i="6"/>
  <c r="AD356" i="6"/>
  <c r="AD355" i="6"/>
  <c r="C355" i="6"/>
  <c r="C356" i="6" s="1"/>
  <c r="AD353" i="6"/>
  <c r="AD343" i="6"/>
  <c r="AD342" i="6"/>
  <c r="AD341" i="6"/>
  <c r="AD340" i="6"/>
  <c r="AD339" i="6"/>
  <c r="AD333" i="6"/>
  <c r="AD332" i="6"/>
  <c r="AD326" i="6"/>
  <c r="AD325" i="6"/>
  <c r="AD318" i="6"/>
  <c r="AD317" i="6"/>
  <c r="AD316" i="6"/>
  <c r="AD315" i="6"/>
  <c r="AD314" i="6"/>
  <c r="AD313" i="6"/>
  <c r="AD312" i="6"/>
  <c r="L305" i="6"/>
  <c r="L304" i="6"/>
  <c r="L303" i="6"/>
  <c r="AD302" i="6"/>
  <c r="L302" i="6"/>
  <c r="AD301" i="6"/>
  <c r="L301" i="6"/>
  <c r="AD300" i="6"/>
  <c r="L300" i="6"/>
  <c r="AD299" i="6"/>
  <c r="L299" i="6"/>
  <c r="AD298" i="6"/>
  <c r="L298" i="6"/>
  <c r="L297" i="6"/>
  <c r="L296" i="6"/>
  <c r="L295" i="6"/>
  <c r="L294" i="6"/>
  <c r="AD293" i="6"/>
  <c r="L293" i="6"/>
  <c r="AD292" i="6"/>
  <c r="L292" i="6"/>
  <c r="AD291" i="6"/>
  <c r="AD290" i="6"/>
  <c r="AD287" i="6"/>
  <c r="AD286" i="6"/>
  <c r="AD285" i="6"/>
  <c r="AD280" i="6"/>
  <c r="AD277" i="6"/>
  <c r="AD276" i="6"/>
  <c r="L275" i="6"/>
  <c r="L274" i="6"/>
  <c r="AD273" i="6"/>
  <c r="L273" i="6"/>
  <c r="AD272" i="6"/>
  <c r="AD271" i="6"/>
  <c r="AD268" i="6"/>
  <c r="AD267" i="6"/>
  <c r="AD266" i="6"/>
  <c r="L266" i="6"/>
  <c r="L265" i="6"/>
  <c r="L264" i="6"/>
  <c r="L263" i="6"/>
  <c r="AD262" i="6"/>
  <c r="L262" i="6"/>
  <c r="AD261" i="6"/>
  <c r="L261" i="6"/>
  <c r="AD260" i="6"/>
  <c r="L260" i="6"/>
  <c r="AD259" i="6"/>
  <c r="L259" i="6"/>
  <c r="AD258" i="6"/>
  <c r="AD249" i="6"/>
  <c r="AD244" i="6"/>
  <c r="AD243" i="6"/>
  <c r="AD242" i="6"/>
  <c r="AD241" i="6"/>
  <c r="AD240" i="6"/>
  <c r="L238" i="6"/>
  <c r="L237" i="6"/>
  <c r="AD236" i="6"/>
  <c r="L236" i="6"/>
  <c r="AD235" i="6"/>
  <c r="L235" i="6"/>
  <c r="AD234" i="6"/>
  <c r="L234" i="6"/>
  <c r="AD233" i="6"/>
  <c r="L233" i="6"/>
  <c r="AD232" i="6"/>
  <c r="L232" i="6"/>
  <c r="AD207" i="6" s="1"/>
  <c r="L231" i="6"/>
  <c r="L230" i="6"/>
  <c r="L229" i="6"/>
  <c r="L228" i="6"/>
  <c r="L227" i="6"/>
  <c r="L226" i="6"/>
  <c r="AD199" i="6" s="1"/>
  <c r="L225" i="6"/>
  <c r="AD198" i="6" s="1"/>
  <c r="L224" i="6"/>
  <c r="L223" i="6"/>
  <c r="AD196" i="6" s="1"/>
  <c r="L222" i="6"/>
  <c r="L221" i="6"/>
  <c r="L220" i="6"/>
  <c r="L219" i="6"/>
  <c r="AD218" i="6"/>
  <c r="L218" i="6"/>
  <c r="AD217" i="6"/>
  <c r="L217" i="6"/>
  <c r="L216" i="6"/>
  <c r="L215" i="6"/>
  <c r="AD214" i="6"/>
  <c r="L214" i="6"/>
  <c r="AD213" i="6"/>
  <c r="L213" i="6"/>
  <c r="AD212" i="6"/>
  <c r="L212" i="6"/>
  <c r="AD211" i="6"/>
  <c r="L211" i="6"/>
  <c r="AD210" i="6"/>
  <c r="L210" i="6"/>
  <c r="AD209" i="6"/>
  <c r="L209" i="6"/>
  <c r="AD208" i="6"/>
  <c r="L208" i="6"/>
  <c r="L207" i="6"/>
  <c r="AD206" i="6"/>
  <c r="L206" i="6"/>
  <c r="AD205" i="6"/>
  <c r="L205" i="6"/>
  <c r="AD204" i="6"/>
  <c r="L204" i="6"/>
  <c r="AD203" i="6"/>
  <c r="L203" i="6"/>
  <c r="AD202" i="6"/>
  <c r="L202" i="6"/>
  <c r="AD201" i="6"/>
  <c r="L201" i="6"/>
  <c r="AD200" i="6"/>
  <c r="L200" i="6"/>
  <c r="L199" i="6"/>
  <c r="L198" i="6"/>
  <c r="AD197" i="6"/>
  <c r="L197" i="6"/>
  <c r="L196" i="6"/>
  <c r="AD195" i="6"/>
  <c r="AD194" i="6"/>
  <c r="L194" i="6"/>
  <c r="AD193" i="6"/>
  <c r="L193" i="6"/>
  <c r="AD192" i="6"/>
  <c r="AD191" i="6"/>
  <c r="AD190" i="6"/>
  <c r="L190" i="6"/>
  <c r="AD184" i="6"/>
  <c r="C473" i="4"/>
  <c r="AD474" i="4"/>
  <c r="AD473" i="4"/>
  <c r="AD477" i="4"/>
  <c r="AD476" i="4"/>
  <c r="AD475" i="4"/>
  <c r="B25" i="4" l="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C474" i="4"/>
  <c r="C475" i="4" s="1"/>
  <c r="C357" i="6"/>
  <c r="C389" i="6"/>
  <c r="C390" i="6" l="1"/>
  <c r="C391" i="6" s="1"/>
  <c r="C358" i="6"/>
  <c r="C359" i="6" s="1"/>
  <c r="C476" i="4"/>
  <c r="C477" i="4" s="1"/>
  <c r="C362" i="6" l="1"/>
  <c r="C363" i="6" s="1"/>
  <c r="C360" i="6"/>
  <c r="C361" i="6"/>
  <c r="C392" i="6"/>
  <c r="C478" i="4"/>
  <c r="C364" i="6" l="1"/>
  <c r="C365" i="6" s="1"/>
  <c r="C366" i="6" l="1"/>
  <c r="C367" i="6" s="1"/>
  <c r="C368" i="6" s="1"/>
  <c r="AD426" i="4" l="1"/>
  <c r="AD425" i="4"/>
  <c r="AD424" i="4"/>
  <c r="AD423" i="4"/>
  <c r="AD422" i="4"/>
  <c r="AD421" i="4"/>
  <c r="AD420" i="4"/>
  <c r="AD419" i="4"/>
  <c r="AD418" i="4"/>
  <c r="AD417" i="4"/>
  <c r="AD416" i="4"/>
  <c r="AD415" i="4"/>
  <c r="C413" i="4"/>
  <c r="AD414" i="4"/>
  <c r="AD413" i="4"/>
  <c r="AD411" i="4"/>
  <c r="L309" i="4"/>
  <c r="L307" i="4"/>
  <c r="L306" i="4"/>
  <c r="L305" i="4"/>
  <c r="L304" i="4"/>
  <c r="L303" i="4"/>
  <c r="L302" i="4"/>
  <c r="L301" i="4"/>
  <c r="L300" i="4"/>
  <c r="L299" i="4"/>
  <c r="L298" i="4"/>
  <c r="L297" i="4"/>
  <c r="L296" i="4"/>
  <c r="L279" i="4"/>
  <c r="L278" i="4"/>
  <c r="L277" i="4"/>
  <c r="L270" i="4"/>
  <c r="L269" i="4"/>
  <c r="L268" i="4"/>
  <c r="L267" i="4"/>
  <c r="AD237" i="4" s="1"/>
  <c r="L266" i="4"/>
  <c r="AD236" i="4" s="1"/>
  <c r="L265" i="4"/>
  <c r="L264" i="4"/>
  <c r="L263" i="4"/>
  <c r="L242" i="4"/>
  <c r="L241" i="4"/>
  <c r="AD213" i="4" s="1"/>
  <c r="L240" i="4"/>
  <c r="AD212" i="4" s="1"/>
  <c r="L239" i="4"/>
  <c r="L238" i="4"/>
  <c r="AD211" i="4" s="1"/>
  <c r="L237" i="4"/>
  <c r="L236" i="4"/>
  <c r="AD210" i="4" s="1"/>
  <c r="L235" i="4"/>
  <c r="L234" i="4"/>
  <c r="L233" i="4"/>
  <c r="AD208" i="4" s="1"/>
  <c r="L232" i="4"/>
  <c r="L231" i="4"/>
  <c r="AD204" i="4" s="1"/>
  <c r="L230" i="4"/>
  <c r="AD202" i="4" s="1"/>
  <c r="L229" i="4"/>
  <c r="AD201" i="4" s="1"/>
  <c r="L228" i="4"/>
  <c r="L227" i="4"/>
  <c r="AD199" i="4" s="1"/>
  <c r="L226" i="4"/>
  <c r="L225" i="4"/>
  <c r="L224" i="4"/>
  <c r="L223" i="4"/>
  <c r="L222" i="4"/>
  <c r="L221" i="4"/>
  <c r="L220" i="4"/>
  <c r="L219" i="4"/>
  <c r="L218" i="4"/>
  <c r="L217" i="4"/>
  <c r="L216" i="4"/>
  <c r="L214" i="4"/>
  <c r="L213" i="4"/>
  <c r="L212" i="4"/>
  <c r="L211" i="4"/>
  <c r="L210" i="4"/>
  <c r="L209" i="4"/>
  <c r="L208" i="4"/>
  <c r="L207" i="4"/>
  <c r="L206" i="4"/>
  <c r="L205" i="4"/>
  <c r="L204" i="4"/>
  <c r="L203" i="4"/>
  <c r="L202" i="4"/>
  <c r="L201" i="4"/>
  <c r="AD200" i="4" s="1"/>
  <c r="L200" i="4"/>
  <c r="L199" i="4"/>
  <c r="AD198" i="4" s="1"/>
  <c r="L197" i="4"/>
  <c r="L196" i="4"/>
  <c r="L193" i="4"/>
  <c r="AD479" i="4"/>
  <c r="AD395" i="4"/>
  <c r="AD394" i="4"/>
  <c r="AD393" i="4"/>
  <c r="AD392" i="4"/>
  <c r="AD391" i="4"/>
  <c r="AD385" i="4"/>
  <c r="AD384" i="4"/>
  <c r="AD354" i="4"/>
  <c r="AD353" i="4"/>
  <c r="AD346" i="4"/>
  <c r="AD345" i="4"/>
  <c r="AD344" i="4"/>
  <c r="AD343" i="4"/>
  <c r="AD342" i="4"/>
  <c r="AD341" i="4"/>
  <c r="AD340" i="4"/>
  <c r="AD306" i="4"/>
  <c r="AD305" i="4"/>
  <c r="AD304" i="4"/>
  <c r="AD303" i="4"/>
  <c r="AD302" i="4"/>
  <c r="AD297" i="4"/>
  <c r="AD296" i="4"/>
  <c r="AD295" i="4"/>
  <c r="AD294" i="4"/>
  <c r="AD291" i="4"/>
  <c r="AD290" i="4"/>
  <c r="AD289" i="4"/>
  <c r="AD284" i="4"/>
  <c r="AD281" i="4"/>
  <c r="AD280" i="4"/>
  <c r="AD277" i="4"/>
  <c r="AD276" i="4"/>
  <c r="AD275" i="4"/>
  <c r="AD272" i="4"/>
  <c r="AD271" i="4"/>
  <c r="AD270" i="4"/>
  <c r="AD266" i="4"/>
  <c r="AD265" i="4"/>
  <c r="AD264" i="4"/>
  <c r="AD263" i="4"/>
  <c r="AD262" i="4"/>
  <c r="AD253" i="4"/>
  <c r="AD248" i="4"/>
  <c r="AD247" i="4"/>
  <c r="AD246" i="4"/>
  <c r="AD245" i="4"/>
  <c r="AD244" i="4"/>
  <c r="AD240" i="4"/>
  <c r="AD239" i="4"/>
  <c r="AD238" i="4"/>
  <c r="AD222" i="4"/>
  <c r="AD221" i="4"/>
  <c r="AD218" i="4"/>
  <c r="AD217" i="4"/>
  <c r="AD216" i="4"/>
  <c r="AD214" i="4"/>
  <c r="AD209" i="4"/>
  <c r="AD207" i="4"/>
  <c r="AD206" i="4"/>
  <c r="AD205" i="4"/>
  <c r="AD203" i="4"/>
  <c r="AD197" i="4"/>
  <c r="AD196" i="4"/>
  <c r="AD195" i="4"/>
  <c r="AD194" i="4"/>
  <c r="AD193" i="4"/>
  <c r="AD187" i="4"/>
  <c r="C414" i="4" l="1"/>
  <c r="C415" i="4" l="1"/>
  <c r="AC38" i="1"/>
  <c r="C416" i="4" l="1"/>
  <c r="C417" i="4" l="1"/>
  <c r="C418" i="4" l="1"/>
  <c r="C419" i="4" s="1"/>
  <c r="C420" i="4" l="1"/>
  <c r="C421" i="4" l="1"/>
  <c r="C422" i="4" s="1"/>
  <c r="C423" i="4" l="1"/>
  <c r="C424" i="4" s="1"/>
  <c r="C425" i="4" s="1"/>
  <c r="C426" i="4" s="1"/>
  <c r="C427" i="4" s="1"/>
  <c r="J94" i="1" l="1"/>
  <c r="AC42" i="1" l="1"/>
  <c r="AC41" i="1"/>
  <c r="AC44" i="1"/>
  <c r="AC43" i="1"/>
  <c r="AC282" i="1" l="1"/>
  <c r="AC281" i="1"/>
  <c r="AC280" i="1"/>
  <c r="AC279" i="1"/>
  <c r="AC275" i="1"/>
  <c r="AC274" i="1"/>
  <c r="AC273" i="1"/>
  <c r="AC272" i="1"/>
  <c r="AC271" i="1"/>
  <c r="AC270" i="1"/>
  <c r="AC268" i="1"/>
  <c r="AC267" i="1"/>
  <c r="J90" i="1"/>
  <c r="AC101" i="1" l="1"/>
  <c r="AC100" i="1"/>
  <c r="AC103" i="1"/>
  <c r="AC98" i="1"/>
  <c r="J88" i="1" l="1"/>
  <c r="J91" i="1"/>
  <c r="J92" i="1"/>
  <c r="J93" i="1"/>
  <c r="J83" i="1"/>
  <c r="J82" i="1"/>
  <c r="J81" i="1"/>
  <c r="J80" i="1"/>
  <c r="J79" i="1"/>
  <c r="J78" i="1"/>
  <c r="J77" i="1"/>
  <c r="J87" i="1" l="1"/>
  <c r="J86" i="1"/>
  <c r="J85" i="1"/>
  <c r="J84" i="1"/>
  <c r="J76" i="1"/>
  <c r="J75" i="1"/>
  <c r="J74" i="1"/>
  <c r="J73" i="1"/>
  <c r="J72" i="1"/>
  <c r="J71" i="1"/>
  <c r="J70" i="1"/>
  <c r="J64" i="1"/>
  <c r="J60" i="1"/>
  <c r="J62" i="1"/>
  <c r="J58" i="1"/>
  <c r="AC245" i="1" l="1"/>
  <c r="AC235" i="1"/>
  <c r="AC234" i="1"/>
  <c r="AC233" i="1"/>
  <c r="AC232" i="1"/>
  <c r="AC231" i="1"/>
  <c r="AC229" i="1"/>
  <c r="AC228" i="1"/>
  <c r="AC227" i="1"/>
  <c r="AC226" i="1"/>
  <c r="AC151" i="1"/>
  <c r="AC157" i="1"/>
  <c r="AC156" i="1"/>
  <c r="AC155" i="1"/>
  <c r="AC147" i="1"/>
  <c r="AC143" i="1"/>
  <c r="AC142" i="1"/>
  <c r="AC141" i="1"/>
  <c r="AC140" i="1"/>
  <c r="AC139" i="1"/>
  <c r="AC136" i="1"/>
  <c r="AC135" i="1"/>
  <c r="AC134" i="1"/>
  <c r="AC133" i="1"/>
  <c r="AC130" i="1"/>
  <c r="AC129" i="1"/>
  <c r="AC128" i="1"/>
  <c r="AC127" i="1"/>
  <c r="AC126" i="1"/>
  <c r="AC125" i="1"/>
  <c r="AC124" i="1"/>
  <c r="AC123" i="1"/>
  <c r="AC122" i="1"/>
  <c r="AC121" i="1"/>
  <c r="AC120" i="1"/>
  <c r="AC119" i="1"/>
  <c r="AC112" i="1"/>
  <c r="AC111" i="1"/>
  <c r="AC110" i="1"/>
  <c r="AC109" i="1"/>
  <c r="AC108" i="1"/>
  <c r="AC107" i="1"/>
  <c r="AC106" i="1"/>
  <c r="AC105" i="1"/>
  <c r="AC104" i="1"/>
  <c r="AC97" i="1"/>
  <c r="AC33" i="1" l="1"/>
  <c r="AC76" i="1" l="1"/>
  <c r="AC72" i="1" l="1"/>
  <c r="AC70" i="1"/>
  <c r="AC35" i="1"/>
  <c r="AC56" i="1"/>
  <c r="AC37" i="1"/>
  <c r="AC77" i="1"/>
  <c r="AC73" i="1"/>
  <c r="AC71" i="1"/>
  <c r="AC69" i="1"/>
  <c r="AC68" i="1"/>
  <c r="AC67" i="1"/>
  <c r="AC66" i="1"/>
  <c r="AC65" i="1"/>
  <c r="AC64" i="1"/>
  <c r="AC63" i="1"/>
  <c r="AC62" i="1"/>
  <c r="AC61" i="1"/>
  <c r="AC60" i="1"/>
  <c r="AC59" i="1"/>
  <c r="AC58" i="1"/>
  <c r="AC57" i="1"/>
  <c r="AC55" i="1"/>
  <c r="AC54" i="1"/>
  <c r="AC53" i="1"/>
  <c r="AC52" i="1"/>
  <c r="AC51" i="1"/>
  <c r="AC50" i="1"/>
  <c r="AC49" i="1"/>
  <c r="AC48" i="1"/>
  <c r="AC47" i="1"/>
  <c r="AC88" i="1"/>
  <c r="AC87" i="1"/>
  <c r="AC86" i="1"/>
  <c r="AC46" i="1"/>
  <c r="AC40" i="1"/>
  <c r="AC39" i="1"/>
  <c r="AC36" i="1"/>
  <c r="AC34" i="1"/>
  <c r="AD83" i="3"/>
  <c r="AC83" i="3"/>
  <c r="AD82" i="3"/>
  <c r="AC82" i="3"/>
  <c r="AD81" i="3"/>
  <c r="AC81" i="3"/>
  <c r="AD80" i="3"/>
  <c r="AC80" i="3"/>
  <c r="AD79" i="3"/>
  <c r="AC79" i="3"/>
  <c r="AD57" i="3"/>
  <c r="AC57" i="3"/>
  <c r="AD56" i="3"/>
  <c r="AC56" i="3"/>
  <c r="AD55" i="3"/>
  <c r="AC55" i="3"/>
  <c r="AD54" i="3"/>
  <c r="AC54" i="3"/>
  <c r="AD49" i="3"/>
  <c r="AC49" i="3"/>
  <c r="AD48" i="3"/>
  <c r="AC48" i="3"/>
  <c r="AD47" i="3"/>
  <c r="AC47" i="3"/>
  <c r="AD46" i="3"/>
  <c r="AC46" i="3"/>
  <c r="AD45" i="3"/>
  <c r="AC45" i="3"/>
  <c r="AD44" i="3"/>
  <c r="AC44" i="3"/>
  <c r="AD43" i="3"/>
  <c r="AC43" i="3"/>
  <c r="AD42" i="3"/>
  <c r="AC42" i="3"/>
  <c r="AD41" i="3"/>
  <c r="AC41" i="3"/>
  <c r="AD40" i="3"/>
  <c r="AC40" i="3"/>
  <c r="AD39" i="3"/>
  <c r="AC39" i="3"/>
  <c r="AD38" i="3"/>
  <c r="AC38" i="3"/>
  <c r="AD37" i="3"/>
  <c r="AC37" i="3"/>
  <c r="AD36" i="3"/>
  <c r="AC36" i="3"/>
  <c r="AD35" i="3"/>
  <c r="AC35" i="3"/>
  <c r="AD34" i="3"/>
  <c r="AC34" i="3"/>
  <c r="AD33" i="3"/>
  <c r="AC33" i="3"/>
  <c r="AD32" i="3"/>
  <c r="AC32" i="3"/>
  <c r="AD31" i="3"/>
  <c r="AC31" i="3"/>
  <c r="AD30" i="3"/>
  <c r="AC30" i="3"/>
  <c r="AD29" i="3"/>
  <c r="AC29" i="3"/>
  <c r="AE79" i="3" l="1"/>
  <c r="AE81" i="3"/>
  <c r="AE83" i="3"/>
  <c r="AE35" i="3"/>
  <c r="AE82" i="3"/>
  <c r="AE39" i="3"/>
  <c r="AE55" i="3"/>
  <c r="AE48" i="3"/>
  <c r="AE54" i="3"/>
  <c r="AE80" i="3"/>
  <c r="AE34" i="3"/>
  <c r="AE56" i="3"/>
  <c r="AE29" i="3"/>
  <c r="AE49" i="3"/>
  <c r="AE57" i="3"/>
  <c r="AE40" i="3"/>
  <c r="AE31" i="3"/>
  <c r="AE46" i="3"/>
  <c r="AE30" i="3"/>
  <c r="AE36" i="3"/>
  <c r="AE41" i="3"/>
  <c r="AE47" i="3"/>
  <c r="AE38" i="3"/>
  <c r="AE32" i="3"/>
  <c r="AE37" i="3"/>
  <c r="AE43" i="3"/>
  <c r="AE44" i="3"/>
  <c r="AE42" i="3"/>
  <c r="AE33" i="3"/>
  <c r="AE45" i="3"/>
  <c r="AC58" i="3" l="1"/>
  <c r="AD58" i="3"/>
  <c r="AC59" i="3"/>
  <c r="AD59" i="3"/>
  <c r="AC60" i="3"/>
  <c r="AD60" i="3"/>
  <c r="AC61" i="3"/>
  <c r="AD61" i="3"/>
  <c r="AC62" i="3"/>
  <c r="AD62" i="3"/>
  <c r="AC63" i="3"/>
  <c r="AD63" i="3"/>
  <c r="AC64" i="3"/>
  <c r="AD64" i="3"/>
  <c r="AC65" i="3"/>
  <c r="AD65" i="3"/>
  <c r="AC66" i="3"/>
  <c r="AD66" i="3"/>
  <c r="AC67" i="3"/>
  <c r="AD67" i="3"/>
  <c r="AC68" i="3"/>
  <c r="AD68" i="3"/>
  <c r="AC69" i="3"/>
  <c r="AD69" i="3"/>
  <c r="AC70" i="3"/>
  <c r="AD70" i="3"/>
  <c r="AC71" i="3"/>
  <c r="AD71" i="3"/>
  <c r="AC72" i="3"/>
  <c r="AD72" i="3"/>
  <c r="AC73" i="3"/>
  <c r="AD73" i="3"/>
  <c r="AC74" i="3"/>
  <c r="AD74" i="3"/>
  <c r="AC75" i="3"/>
  <c r="AD75" i="3"/>
  <c r="AC76" i="3"/>
  <c r="AD76" i="3"/>
  <c r="AC77" i="3"/>
  <c r="AD77" i="3"/>
  <c r="AC84" i="3"/>
  <c r="AD84" i="3"/>
  <c r="AE84" i="3" l="1"/>
  <c r="AE60" i="3"/>
  <c r="AE67" i="3"/>
  <c r="AE71" i="3"/>
  <c r="AE59" i="3"/>
  <c r="AE63" i="3"/>
  <c r="AE58" i="3"/>
  <c r="AE75" i="3"/>
  <c r="AE62" i="3"/>
  <c r="AE73" i="3"/>
  <c r="AE66" i="3"/>
  <c r="AE76" i="3"/>
  <c r="AE61" i="3"/>
  <c r="AE68" i="3"/>
  <c r="AE65" i="3"/>
  <c r="AE72" i="3"/>
  <c r="AE70" i="3"/>
  <c r="AE77" i="3"/>
  <c r="AE69" i="3"/>
  <c r="AE64" i="3"/>
  <c r="AE74" i="3"/>
  <c r="AC225" i="1" l="1"/>
  <c r="AC162" i="1"/>
  <c r="AC154" i="1"/>
  <c r="AC84" i="1"/>
  <c r="AC32" i="1" l="1"/>
  <c r="AC85" i="1"/>
  <c r="AC163" i="1" l="1"/>
  <c r="AC219" i="1"/>
  <c r="AC153" i="1"/>
  <c r="AC152" i="1"/>
  <c r="AC149" i="1"/>
  <c r="AC148" i="1"/>
  <c r="AC102" i="1"/>
  <c r="AC99" i="1"/>
  <c r="AC96" i="1"/>
  <c r="AC9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tc={8A8A8518-4669-4AFC-9A54-E287C170E4E2}</author>
  </authors>
  <commentList>
    <comment ref="D59" authorId="0" shapeId="0" xr:uid="{8A8A8518-4669-4AFC-9A54-E287C170E4E2}">
      <text>
        <r>
          <rPr>
            <sz val="11"/>
            <color theme="1"/>
            <rFont val="游ゴシック"/>
            <family val="3"/>
            <charset val="128"/>
            <scheme val="minor"/>
          </rPr>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工事工程区分未定のため、保留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会社009</author>
  </authors>
  <commentList>
    <comment ref="G16" authorId="0" shapeId="0" xr:uid="{5127CEC5-4275-4FC7-A9B5-A4A8C0B7F2F3}">
      <text>
        <r>
          <rPr>
            <b/>
            <sz val="9"/>
            <color indexed="81"/>
            <rFont val="ＭＳ Ｐゴシック"/>
            <family val="3"/>
            <charset val="128"/>
          </rPr>
          <t>会社</t>
        </r>
        <r>
          <rPr>
            <b/>
            <sz val="9"/>
            <color indexed="81"/>
            <rFont val="MS P ゴシック"/>
            <family val="2"/>
          </rPr>
          <t>009:</t>
        </r>
        <r>
          <rPr>
            <sz val="9"/>
            <color indexed="81"/>
            <rFont val="MS P ゴシック"/>
            <family val="2"/>
          </rPr>
          <t xml:space="preserve">
</t>
        </r>
        <r>
          <rPr>
            <sz val="9"/>
            <color indexed="81"/>
            <rFont val="ＭＳ Ｐゴシック"/>
            <family val="3"/>
            <charset val="128"/>
          </rPr>
          <t>営業部門コード→営業部門</t>
        </r>
        <r>
          <rPr>
            <sz val="9"/>
            <color indexed="81"/>
            <rFont val="MS P ゴシック"/>
            <family val="2"/>
          </rPr>
          <t>ID</t>
        </r>
        <r>
          <rPr>
            <sz val="9"/>
            <color indexed="81"/>
            <rFont val="ＭＳ Ｐゴシック"/>
            <family val="3"/>
            <charset val="128"/>
          </rPr>
          <t>に変更</t>
        </r>
      </text>
    </comment>
    <comment ref="G116" authorId="0" shapeId="0" xr:uid="{5EEE747C-F04A-49B6-B832-F353F61CF8E6}">
      <text>
        <r>
          <rPr>
            <b/>
            <sz val="9"/>
            <color indexed="81"/>
            <rFont val="ＭＳ Ｐゴシック"/>
            <family val="3"/>
            <charset val="128"/>
          </rPr>
          <t>会社</t>
        </r>
        <r>
          <rPr>
            <b/>
            <sz val="9"/>
            <color indexed="81"/>
            <rFont val="MS P ゴシック"/>
            <family val="2"/>
          </rPr>
          <t>009:</t>
        </r>
        <r>
          <rPr>
            <sz val="9"/>
            <color indexed="81"/>
            <rFont val="MS P ゴシック"/>
            <family val="2"/>
          </rPr>
          <t xml:space="preserve">
</t>
        </r>
        <r>
          <rPr>
            <sz val="9"/>
            <color indexed="81"/>
            <rFont val="ＭＳ Ｐゴシック"/>
            <family val="3"/>
            <charset val="128"/>
          </rPr>
          <t>案件請求情報→案件請求条件に変更</t>
        </r>
      </text>
    </comment>
    <comment ref="G118" authorId="0" shapeId="0" xr:uid="{15A542E9-C8B5-4C2E-91BD-FADD742EA52E}">
      <text>
        <r>
          <rPr>
            <b/>
            <sz val="9"/>
            <color indexed="81"/>
            <rFont val="ＭＳ Ｐゴシック"/>
            <family val="3"/>
            <charset val="128"/>
          </rPr>
          <t>会社</t>
        </r>
        <r>
          <rPr>
            <b/>
            <sz val="9"/>
            <color indexed="81"/>
            <rFont val="MS P ゴシック"/>
            <family val="2"/>
          </rPr>
          <t>009:</t>
        </r>
        <r>
          <rPr>
            <sz val="9"/>
            <color indexed="81"/>
            <rFont val="MS P ゴシック"/>
            <family val="2"/>
          </rPr>
          <t xml:space="preserve">
</t>
        </r>
        <r>
          <rPr>
            <sz val="9"/>
            <color indexed="81"/>
            <rFont val="ＭＳ Ｐゴシック"/>
            <family val="3"/>
            <charset val="128"/>
          </rPr>
          <t>案件請求情報→案件請求条件に変更</t>
        </r>
      </text>
    </comment>
    <comment ref="G149" authorId="0" shapeId="0" xr:uid="{EA8A62BC-2B59-404B-A5FE-0E5030D78148}">
      <text>
        <r>
          <rPr>
            <b/>
            <sz val="9"/>
            <color indexed="81"/>
            <rFont val="ＭＳ Ｐゴシック"/>
            <family val="3"/>
            <charset val="128"/>
          </rPr>
          <t>会社</t>
        </r>
        <r>
          <rPr>
            <b/>
            <sz val="9"/>
            <color indexed="81"/>
            <rFont val="MS P ゴシック"/>
            <family val="2"/>
          </rPr>
          <t>009:</t>
        </r>
        <r>
          <rPr>
            <sz val="9"/>
            <color indexed="81"/>
            <rFont val="MS P ゴシック"/>
            <family val="2"/>
          </rPr>
          <t xml:space="preserve">
</t>
        </r>
        <r>
          <rPr>
            <sz val="9"/>
            <color indexed="81"/>
            <rFont val="ＭＳ Ｐゴシック"/>
            <family val="3"/>
            <charset val="128"/>
          </rPr>
          <t>案件要望明細情報→案件要望明細に変更</t>
        </r>
      </text>
    </comment>
    <comment ref="P161" authorId="0" shapeId="0" xr:uid="{180ABCC4-9061-44D0-B5C4-A93CFB7578A5}">
      <text>
        <r>
          <rPr>
            <b/>
            <sz val="9"/>
            <color indexed="81"/>
            <rFont val="MS P ゴシック"/>
            <family val="2"/>
          </rPr>
          <t>会社009:</t>
        </r>
        <r>
          <rPr>
            <sz val="9"/>
            <color indexed="81"/>
            <rFont val="MS P ゴシック"/>
            <family val="2"/>
          </rPr>
          <t xml:space="preserve">
先行作業作業内諾書明細情報→先行作業明細？</t>
        </r>
      </text>
    </comment>
    <comment ref="G162" authorId="0" shapeId="0" xr:uid="{6436DB9D-16C1-4DD7-B055-1BF2930DDD85}">
      <text>
        <r>
          <rPr>
            <b/>
            <sz val="9"/>
            <color indexed="81"/>
            <rFont val="ＭＳ Ｐゴシック"/>
            <family val="3"/>
            <charset val="128"/>
          </rPr>
          <t>会社</t>
        </r>
        <r>
          <rPr>
            <b/>
            <sz val="9"/>
            <color indexed="81"/>
            <rFont val="MS P ゴシック"/>
            <family val="2"/>
          </rPr>
          <t>009:</t>
        </r>
        <r>
          <rPr>
            <sz val="9"/>
            <color indexed="81"/>
            <rFont val="MS P ゴシック"/>
            <family val="2"/>
          </rPr>
          <t xml:space="preserve">
</t>
        </r>
        <r>
          <rPr>
            <sz val="9"/>
            <color indexed="81"/>
            <rFont val="ＭＳ Ｐゴシック"/>
            <family val="3"/>
            <charset val="128"/>
          </rPr>
          <t>先行作業内諾書明細情報→先行作業明細に「変更</t>
        </r>
      </text>
    </comment>
    <comment ref="Z233" authorId="0" shapeId="0" xr:uid="{759B7A41-326F-4587-B3EB-FE7B635DF2C9}">
      <text>
        <r>
          <rPr>
            <b/>
            <sz val="9"/>
            <color indexed="81"/>
            <rFont val="ＭＳ Ｐゴシック"/>
            <family val="3"/>
            <charset val="128"/>
          </rPr>
          <t>会社</t>
        </r>
        <r>
          <rPr>
            <b/>
            <sz val="9"/>
            <color indexed="81"/>
            <rFont val="MS P ゴシック"/>
            <family val="2"/>
          </rPr>
          <t>009:</t>
        </r>
        <r>
          <rPr>
            <sz val="9"/>
            <color indexed="81"/>
            <rFont val="MS P ゴシック"/>
            <family val="2"/>
          </rPr>
          <t xml:space="preserve">
</t>
        </r>
        <r>
          <rPr>
            <sz val="9"/>
            <color indexed="81"/>
            <rFont val="ＭＳ Ｐゴシック"/>
            <family val="3"/>
            <charset val="128"/>
          </rPr>
          <t>見積日付取得元不明
見積情報？</t>
        </r>
      </text>
    </comment>
  </commentList>
</comments>
</file>

<file path=xl/sharedStrings.xml><?xml version="1.0" encoding="utf-8"?>
<sst xmlns="http://schemas.openxmlformats.org/spreadsheetml/2006/main" count="3775" uniqueCount="1317">
  <si>
    <t>API名称</t>
  </si>
  <si>
    <t>物理名称</t>
  </si>
  <si>
    <t>作成者</t>
  </si>
  <si>
    <t>作成日</t>
  </si>
  <si>
    <t>修正者</t>
  </si>
  <si>
    <t>修正日</t>
  </si>
  <si>
    <t>１．パラメータ</t>
  </si>
  <si>
    <t>No</t>
  </si>
  <si>
    <t>物理名</t>
  </si>
  <si>
    <t>理論名</t>
  </si>
  <si>
    <t>桁数</t>
  </si>
  <si>
    <t>タイプ</t>
  </si>
  <si>
    <t>必須</t>
  </si>
  <si>
    <t>備考</t>
  </si>
  <si>
    <t>２．処理概要</t>
  </si>
  <si>
    <t>戻り値</t>
    <rPh sb="0" eb="1">
      <t>モド</t>
    </rPh>
    <rPh sb="2" eb="3">
      <t>チ</t>
    </rPh>
    <phoneticPr fontId="3"/>
  </si>
  <si>
    <t>ステータス</t>
  </si>
  <si>
    <t>連結Key</t>
  </si>
  <si>
    <t>取得元データ</t>
  </si>
  <si>
    <t>３．出力例</t>
  </si>
  <si>
    <t>＜成功＞</t>
  </si>
  <si>
    <t>{</t>
  </si>
  <si>
    <t xml:space="preserve">    "status": 200,</t>
  </si>
  <si>
    <t xml:space="preserve">    "message": "Success",</t>
  </si>
  <si>
    <t xml:space="preserve">    "data": {</t>
  </si>
  <si>
    <t xml:space="preserve">    }</t>
  </si>
  <si>
    <t>}</t>
  </si>
  <si>
    <t>＜失敗＞</t>
  </si>
  <si>
    <t xml:space="preserve">    "data": {}</t>
  </si>
  <si>
    <t>１．</t>
    <phoneticPr fontId="3"/>
  </si>
  <si>
    <t>２．</t>
    <phoneticPr fontId="3"/>
  </si>
  <si>
    <t>３．</t>
    <phoneticPr fontId="3"/>
  </si>
  <si>
    <t xml:space="preserve">    "status": 200,</t>
    <phoneticPr fontId="3"/>
  </si>
  <si>
    <t>案件枝コード</t>
    <rPh sb="0" eb="2">
      <t>アンケン</t>
    </rPh>
    <rPh sb="2" eb="3">
      <t>エダ</t>
    </rPh>
    <phoneticPr fontId="3"/>
  </si>
  <si>
    <t>Anken_EdaCode</t>
    <phoneticPr fontId="3"/>
  </si>
  <si>
    <t>条件</t>
    <rPh sb="0" eb="2">
      <t>ジョウケン</t>
    </rPh>
    <phoneticPr fontId="3"/>
  </si>
  <si>
    <t>選択項目取得API</t>
    <rPh sb="0" eb="4">
      <t>センタクコウモク</t>
    </rPh>
    <rPh sb="4" eb="6">
      <t>シュトク</t>
    </rPh>
    <phoneticPr fontId="3"/>
  </si>
  <si>
    <t>getSentakuKoumoku</t>
    <phoneticPr fontId="3"/>
  </si>
  <si>
    <t>＜初期表示（初期表示）＞</t>
    <rPh sb="1" eb="5">
      <t>ショキヒョウジ</t>
    </rPh>
    <rPh sb="6" eb="10">
      <t>ショキヒョウジ</t>
    </rPh>
    <phoneticPr fontId="3"/>
  </si>
  <si>
    <t>案件区分TBLから案件区分の選択肢を取得</t>
    <rPh sb="0" eb="4">
      <t>アンケンクブン</t>
    </rPh>
    <rPh sb="9" eb="13">
      <t>アンケンクブン</t>
    </rPh>
    <rPh sb="14" eb="17">
      <t>センタクシ</t>
    </rPh>
    <rPh sb="18" eb="20">
      <t>シュトク</t>
    </rPh>
    <phoneticPr fontId="3"/>
  </si>
  <si>
    <t xml:space="preserve">    "status": 404,</t>
    <phoneticPr fontId="3"/>
  </si>
  <si>
    <t>案件コード</t>
    <rPh sb="0" eb="2">
      <t>アンケン</t>
    </rPh>
    <phoneticPr fontId="3"/>
  </si>
  <si>
    <t>Anken_Code</t>
    <phoneticPr fontId="3"/>
  </si>
  <si>
    <t>String</t>
    <phoneticPr fontId="3"/>
  </si>
  <si>
    <t>〇</t>
    <phoneticPr fontId="3"/>
  </si>
  <si>
    <t>案件一覧から受け取った変数</t>
    <rPh sb="0" eb="2">
      <t>アンケン</t>
    </rPh>
    <rPh sb="2" eb="4">
      <t>イチラン</t>
    </rPh>
    <rPh sb="6" eb="7">
      <t>ウ</t>
    </rPh>
    <rPh sb="8" eb="9">
      <t>ト</t>
    </rPh>
    <rPh sb="11" eb="13">
      <t>ヘンスウ</t>
    </rPh>
    <phoneticPr fontId="3"/>
  </si>
  <si>
    <t>６．</t>
    <phoneticPr fontId="3"/>
  </si>
  <si>
    <t>７．</t>
    <phoneticPr fontId="3"/>
  </si>
  <si>
    <t>１～６で取得した値を戻り値として返して、処理を終了する。</t>
    <rPh sb="16" eb="17">
      <t>カエ</t>
    </rPh>
    <phoneticPr fontId="3"/>
  </si>
  <si>
    <t xml:space="preserve">    "status": 201,</t>
    <phoneticPr fontId="3"/>
  </si>
  <si>
    <t>]</t>
    <phoneticPr fontId="3"/>
  </si>
  <si>
    <t>＜初期表示（編集）、初期表示（参照）＞</t>
    <rPh sb="1" eb="5">
      <t>ショキヒョウジ</t>
    </rPh>
    <rPh sb="6" eb="8">
      <t>ヘンシュウ</t>
    </rPh>
    <rPh sb="15" eb="17">
      <t>サンショウ</t>
    </rPh>
    <phoneticPr fontId="3"/>
  </si>
  <si>
    <t>1-1．取得件数が１件以上の場合は内部変数に値を格納する。</t>
    <rPh sb="4" eb="8">
      <t>シュトクケンスウ</t>
    </rPh>
    <rPh sb="10" eb="11">
      <t>ケン</t>
    </rPh>
    <rPh sb="11" eb="13">
      <t>イジョウ</t>
    </rPh>
    <rPh sb="14" eb="16">
      <t>バアイ</t>
    </rPh>
    <rPh sb="17" eb="21">
      <t>ナイブヘンスウ</t>
    </rPh>
    <rPh sb="22" eb="23">
      <t>アタイ</t>
    </rPh>
    <rPh sb="24" eb="26">
      <t>カクノウ</t>
    </rPh>
    <phoneticPr fontId="3"/>
  </si>
  <si>
    <t>2-1．取得件数が１件以上の場合は内部変数に値を格納する。</t>
    <rPh sb="4" eb="8">
      <t>シュトクケンスウ</t>
    </rPh>
    <rPh sb="10" eb="11">
      <t>ケン</t>
    </rPh>
    <rPh sb="11" eb="13">
      <t>イジョウ</t>
    </rPh>
    <rPh sb="14" eb="16">
      <t>バアイ</t>
    </rPh>
    <rPh sb="17" eb="21">
      <t>ナイブヘンスウ</t>
    </rPh>
    <rPh sb="22" eb="23">
      <t>アタイ</t>
    </rPh>
    <rPh sb="24" eb="26">
      <t>カクノウ</t>
    </rPh>
    <phoneticPr fontId="3"/>
  </si>
  <si>
    <t>3-1．取得件数が１件以上の場合は内部変数に値を格納する。</t>
    <rPh sb="4" eb="8">
      <t>シュトクケンスウ</t>
    </rPh>
    <rPh sb="10" eb="11">
      <t>ケン</t>
    </rPh>
    <rPh sb="11" eb="13">
      <t>イジョウ</t>
    </rPh>
    <rPh sb="14" eb="16">
      <t>バアイ</t>
    </rPh>
    <rPh sb="17" eb="21">
      <t>ナイブヘンスウ</t>
    </rPh>
    <rPh sb="22" eb="23">
      <t>アタイ</t>
    </rPh>
    <rPh sb="24" eb="26">
      <t>カクノウ</t>
    </rPh>
    <phoneticPr fontId="3"/>
  </si>
  <si>
    <t>案件コード</t>
  </si>
  <si>
    <t>概算コード</t>
  </si>
  <si>
    <t>概算日付</t>
  </si>
  <si>
    <t>物件住所１</t>
  </si>
  <si>
    <t>物件住所２</t>
  </si>
  <si>
    <t>顧客コード</t>
  </si>
  <si>
    <t>官民区分</t>
  </si>
  <si>
    <t>見積提出期限</t>
  </si>
  <si>
    <t>戸数</t>
  </si>
  <si>
    <t>受注見込日</t>
  </si>
  <si>
    <t>着工希望日</t>
  </si>
  <si>
    <t>1-2.取得件数が１件以上の場合は内部変数に値を格納する。</t>
    <phoneticPr fontId="3"/>
  </si>
  <si>
    <t>1-1.取得件数が０件だった場合は、戻り値を返して処理を終了。</t>
    <phoneticPr fontId="3"/>
  </si>
  <si>
    <t>2．</t>
    <phoneticPr fontId="3"/>
  </si>
  <si>
    <t>３-1.取得件数が１件以上の場合は内部変数に値を格納する。</t>
    <phoneticPr fontId="3"/>
  </si>
  <si>
    <t>２-1.取得件数が１件以上の場合は内部変数に値を格納する。</t>
    <phoneticPr fontId="3"/>
  </si>
  <si>
    <t>{</t>
    <phoneticPr fontId="3"/>
  </si>
  <si>
    <t>}</t>
    <phoneticPr fontId="3"/>
  </si>
  <si>
    <t>柳　達也</t>
    <rPh sb="0" eb="1">
      <t>ヤナギ</t>
    </rPh>
    <rPh sb="2" eb="4">
      <t>タツヤ</t>
    </rPh>
    <phoneticPr fontId="3"/>
  </si>
  <si>
    <t>大工事コード</t>
    <rPh sb="0" eb="3">
      <t>ダイコウジ</t>
    </rPh>
    <phoneticPr fontId="3"/>
  </si>
  <si>
    <t>4．</t>
    <phoneticPr fontId="3"/>
  </si>
  <si>
    <t>"Kubun_Name": "exampleKubun_Name",</t>
  </si>
  <si>
    <t>"Daikouji_Code": "exampleDaikouji_Code",</t>
  </si>
  <si>
    <t>"Daikouji_Name": "exampleDaikouji_Name",</t>
  </si>
  <si>
    <t>"Syoukouji_Code": "exampleSyoukouji_Code",</t>
  </si>
  <si>
    <t>区分コード</t>
    <rPh sb="0" eb="2">
      <t>クブン</t>
    </rPh>
    <phoneticPr fontId="3"/>
  </si>
  <si>
    <t>区分名称</t>
    <rPh sb="0" eb="2">
      <t>クブン</t>
    </rPh>
    <rPh sb="2" eb="4">
      <t>メイショウ</t>
    </rPh>
    <phoneticPr fontId="3"/>
  </si>
  <si>
    <t>現場区分TBLから現場区分の選択肢を取得</t>
    <rPh sb="0" eb="4">
      <t>ゲンバクブン</t>
    </rPh>
    <rPh sb="9" eb="13">
      <t>ゲンバクブン</t>
    </rPh>
    <rPh sb="14" eb="17">
      <t>センタクシ</t>
    </rPh>
    <rPh sb="18" eb="20">
      <t>シュトク</t>
    </rPh>
    <phoneticPr fontId="3"/>
  </si>
  <si>
    <t>現場区分リスト</t>
    <rPh sb="0" eb="4">
      <t>ゲンバクブン</t>
    </rPh>
    <phoneticPr fontId="3"/>
  </si>
  <si>
    <t>現場区分コード</t>
    <rPh sb="0" eb="4">
      <t>ゲンバクブン</t>
    </rPh>
    <phoneticPr fontId="3"/>
  </si>
  <si>
    <t>現場区分名称</t>
    <rPh sb="0" eb="6">
      <t>ゲンバクブンメイショウ</t>
    </rPh>
    <phoneticPr fontId="3"/>
  </si>
  <si>
    <t xml:space="preserve">        "List_KousyuMST": [</t>
    <phoneticPr fontId="3"/>
  </si>
  <si>
    <t>{"Kubun_Code": "exampleKubun_Code",</t>
    <phoneticPr fontId="3"/>
  </si>
  <si>
    <t>"Syoukouji_Name": "exampleSyoukouji_Name",}</t>
    <phoneticPr fontId="3"/>
  </si>
  <si>
    <t>"List_SoshikiInfo":[</t>
    <phoneticPr fontId="3"/>
  </si>
  <si>
    <t>"Busyo_Name": "exampleBusyo_Name",</t>
  </si>
  <si>
    <t>"Kaisou": "exampleKaisou",</t>
  </si>
  <si>
    <t>{"Busyo_Code": "exampleBusyo_Code",</t>
    <phoneticPr fontId="3"/>
  </si>
  <si>
    <t>"Kaisou_Code": "exampleKaisou_Code",}</t>
    <phoneticPr fontId="3"/>
  </si>
  <si>
    <t>"List_GenbaKubunInfo[</t>
    <phoneticPr fontId="3"/>
  </si>
  <si>
    <t>{"Shincyokudo_Code": "exampleShincyokudo_Code",</t>
    <phoneticPr fontId="3"/>
  </si>
  <si>
    <t>"Shincyokudo": "exampleShincyokudo",}</t>
    <phoneticPr fontId="3"/>
  </si>
  <si>
    <t>消費税率</t>
    <rPh sb="0" eb="4">
      <t>ショウヒゼイリツ</t>
    </rPh>
    <phoneticPr fontId="3"/>
  </si>
  <si>
    <t>案件区分リスト</t>
    <rPh sb="0" eb="4">
      <t>アンケンクブン</t>
    </rPh>
    <phoneticPr fontId="3"/>
  </si>
  <si>
    <t>受注状態リスト</t>
    <rPh sb="0" eb="4">
      <t>ジュチュウジョウタイ</t>
    </rPh>
    <phoneticPr fontId="3"/>
  </si>
  <si>
    <t>官民区分TBLから官民区分の選択肢を取得</t>
    <rPh sb="0" eb="2">
      <t>カンミン</t>
    </rPh>
    <rPh sb="2" eb="4">
      <t>クブン</t>
    </rPh>
    <rPh sb="9" eb="11">
      <t>カンミン</t>
    </rPh>
    <rPh sb="11" eb="13">
      <t>クブン</t>
    </rPh>
    <rPh sb="14" eb="17">
      <t>センタクシ</t>
    </rPh>
    <rPh sb="18" eb="20">
      <t>シュトク</t>
    </rPh>
    <phoneticPr fontId="3"/>
  </si>
  <si>
    <t>官民区分リスト</t>
    <rPh sb="0" eb="2">
      <t>カンミン</t>
    </rPh>
    <rPh sb="2" eb="4">
      <t>クブン</t>
    </rPh>
    <phoneticPr fontId="3"/>
  </si>
  <si>
    <t>官民区分コード</t>
    <rPh sb="0" eb="2">
      <t>カンミン</t>
    </rPh>
    <rPh sb="2" eb="4">
      <t>クブン</t>
    </rPh>
    <phoneticPr fontId="3"/>
  </si>
  <si>
    <t>官民区分名称</t>
    <rPh sb="0" eb="2">
      <t>カンミン</t>
    </rPh>
    <rPh sb="2" eb="4">
      <t>クブン</t>
    </rPh>
    <rPh sb="4" eb="6">
      <t>メイショウ</t>
    </rPh>
    <phoneticPr fontId="3"/>
  </si>
  <si>
    <t>受注状態コード</t>
    <rPh sb="0" eb="2">
      <t>ジュチュウ</t>
    </rPh>
    <rPh sb="2" eb="4">
      <t>ジョウタイ</t>
    </rPh>
    <phoneticPr fontId="3"/>
  </si>
  <si>
    <t>受注状態名</t>
    <rPh sb="0" eb="2">
      <t>ジュチュウ</t>
    </rPh>
    <rPh sb="2" eb="4">
      <t>ジョウタイ</t>
    </rPh>
    <rPh sb="4" eb="5">
      <t>メイ</t>
    </rPh>
    <phoneticPr fontId="3"/>
  </si>
  <si>
    <t>受注状態TBLから受注状態の選択肢を取得</t>
    <rPh sb="0" eb="4">
      <t>ジュチュウジョウタイ</t>
    </rPh>
    <rPh sb="9" eb="13">
      <t>ジュチュウジョウタイ</t>
    </rPh>
    <rPh sb="14" eb="17">
      <t>センタクシ</t>
    </rPh>
    <rPh sb="18" eb="20">
      <t>シュトク</t>
    </rPh>
    <phoneticPr fontId="3"/>
  </si>
  <si>
    <t>４．</t>
    <phoneticPr fontId="3"/>
  </si>
  <si>
    <t>進捗度情報TBLから進捗度情報の選択肢を取得</t>
    <rPh sb="0" eb="3">
      <t>シンチョクド</t>
    </rPh>
    <rPh sb="3" eb="5">
      <t>ジョウホウ</t>
    </rPh>
    <rPh sb="10" eb="13">
      <t>シンチョクド</t>
    </rPh>
    <rPh sb="13" eb="15">
      <t>ジョウホウ</t>
    </rPh>
    <rPh sb="16" eb="19">
      <t>センタクシ</t>
    </rPh>
    <rPh sb="20" eb="22">
      <t>シュトク</t>
    </rPh>
    <phoneticPr fontId="3"/>
  </si>
  <si>
    <t>進捗度リスト</t>
    <rPh sb="0" eb="3">
      <t>シンチョクド</t>
    </rPh>
    <phoneticPr fontId="3"/>
  </si>
  <si>
    <t>進捗度コード</t>
    <rPh sb="0" eb="3">
      <t>シンチョクド</t>
    </rPh>
    <phoneticPr fontId="3"/>
  </si>
  <si>
    <t>進捗度名称</t>
    <rPh sb="0" eb="3">
      <t>シンチョクド</t>
    </rPh>
    <rPh sb="3" eb="5">
      <t>メイショウ</t>
    </rPh>
    <phoneticPr fontId="3"/>
  </si>
  <si>
    <t>５．</t>
    <phoneticPr fontId="3"/>
  </si>
  <si>
    <t>工事工程区分TBLから部門の選択肢を取得</t>
    <rPh sb="0" eb="6">
      <t>コウジコウテイクブン</t>
    </rPh>
    <rPh sb="11" eb="13">
      <t>ブモン</t>
    </rPh>
    <rPh sb="14" eb="17">
      <t>センタクシ</t>
    </rPh>
    <rPh sb="18" eb="20">
      <t>シュトク</t>
    </rPh>
    <phoneticPr fontId="3"/>
  </si>
  <si>
    <t>工事工程区分TBL.削除フラグ　＝　"0"（未削除）</t>
    <rPh sb="0" eb="4">
      <t>コウジコウテイ</t>
    </rPh>
    <rPh sb="4" eb="6">
      <t>クブン</t>
    </rPh>
    <rPh sb="10" eb="12">
      <t>サクジョ</t>
    </rPh>
    <rPh sb="22" eb="23">
      <t>ミ</t>
    </rPh>
    <rPh sb="23" eb="25">
      <t>サクジョ</t>
    </rPh>
    <phoneticPr fontId="3"/>
  </si>
  <si>
    <t>4-1．取得件数が１件以上の場合は内部変数に値を格納する。</t>
    <rPh sb="4" eb="8">
      <t>シュトクケンスウ</t>
    </rPh>
    <rPh sb="10" eb="11">
      <t>ケン</t>
    </rPh>
    <rPh sb="11" eb="13">
      <t>イジョウ</t>
    </rPh>
    <rPh sb="14" eb="16">
      <t>バアイ</t>
    </rPh>
    <rPh sb="17" eb="21">
      <t>ナイブヘンスウ</t>
    </rPh>
    <rPh sb="22" eb="23">
      <t>アタイ</t>
    </rPh>
    <rPh sb="24" eb="26">
      <t>カクノウ</t>
    </rPh>
    <phoneticPr fontId="3"/>
  </si>
  <si>
    <t>5-1．取得件数が１件以上の場合は内部変数に値を格納する。</t>
    <rPh sb="4" eb="8">
      <t>シュトクケンスウ</t>
    </rPh>
    <rPh sb="10" eb="11">
      <t>ケン</t>
    </rPh>
    <rPh sb="11" eb="13">
      <t>イジョウ</t>
    </rPh>
    <rPh sb="14" eb="16">
      <t>バアイ</t>
    </rPh>
    <rPh sb="17" eb="21">
      <t>ナイブヘンスウ</t>
    </rPh>
    <rPh sb="22" eb="23">
      <t>アタイ</t>
    </rPh>
    <rPh sb="24" eb="26">
      <t>カクノウ</t>
    </rPh>
    <phoneticPr fontId="3"/>
  </si>
  <si>
    <t>工事工程区分リスト</t>
    <rPh sb="0" eb="6">
      <t>コウジコウテイクブン</t>
    </rPh>
    <phoneticPr fontId="3"/>
  </si>
  <si>
    <t>工程区分コード</t>
    <rPh sb="0" eb="4">
      <t>コウテイクブン</t>
    </rPh>
    <phoneticPr fontId="3"/>
  </si>
  <si>
    <t>工程区分名</t>
    <rPh sb="0" eb="5">
      <t>コウテイクブンメイ</t>
    </rPh>
    <phoneticPr fontId="3"/>
  </si>
  <si>
    <t>6-1．取得件数が１件以上の場合は内部変数に値を格納する。</t>
    <rPh sb="4" eb="8">
      <t>シュトクケンスウ</t>
    </rPh>
    <rPh sb="10" eb="11">
      <t>ケン</t>
    </rPh>
    <rPh sb="11" eb="13">
      <t>イジョウ</t>
    </rPh>
    <rPh sb="14" eb="16">
      <t>バアイ</t>
    </rPh>
    <rPh sb="17" eb="21">
      <t>ナイブヘンスウ</t>
    </rPh>
    <rPh sb="22" eb="23">
      <t>アタイ</t>
    </rPh>
    <rPh sb="24" eb="26">
      <t>カクノウ</t>
    </rPh>
    <phoneticPr fontId="3"/>
  </si>
  <si>
    <t>対象現場コード</t>
    <rPh sb="0" eb="2">
      <t>タイショウ</t>
    </rPh>
    <rPh sb="2" eb="4">
      <t>ゲンバ</t>
    </rPh>
    <phoneticPr fontId="5"/>
  </si>
  <si>
    <t>現場名</t>
    <rPh sb="0" eb="3">
      <t>ゲンバメイ</t>
    </rPh>
    <phoneticPr fontId="5"/>
  </si>
  <si>
    <t>物件コード</t>
    <rPh sb="0" eb="2">
      <t>ブッケン</t>
    </rPh>
    <phoneticPr fontId="5"/>
  </si>
  <si>
    <t>物件名</t>
    <rPh sb="0" eb="3">
      <t>ブッケンメイ</t>
    </rPh>
    <phoneticPr fontId="5"/>
  </si>
  <si>
    <t>物件カナ名</t>
    <rPh sb="0" eb="2">
      <t>ブッケン</t>
    </rPh>
    <rPh sb="4" eb="5">
      <t>メイ</t>
    </rPh>
    <phoneticPr fontId="5"/>
  </si>
  <si>
    <t>概算コード</t>
    <rPh sb="0" eb="2">
      <t>ガイサン</t>
    </rPh>
    <phoneticPr fontId="5"/>
  </si>
  <si>
    <t>案件情報取得API</t>
    <rPh sb="0" eb="2">
      <t>アンケン</t>
    </rPh>
    <rPh sb="2" eb="4">
      <t>ジョウホウ</t>
    </rPh>
    <rPh sb="4" eb="6">
      <t>シュトク</t>
    </rPh>
    <phoneticPr fontId="3"/>
  </si>
  <si>
    <t>getAnkenInfo</t>
    <phoneticPr fontId="3"/>
  </si>
  <si>
    <t>条件_1</t>
    <rPh sb="0" eb="2">
      <t>ジョウケン</t>
    </rPh>
    <phoneticPr fontId="3"/>
  </si>
  <si>
    <t>＝</t>
    <phoneticPr fontId="3"/>
  </si>
  <si>
    <t>パラメータ.案件コード</t>
    <rPh sb="6" eb="8">
      <t>アンケン</t>
    </rPh>
    <phoneticPr fontId="3"/>
  </si>
  <si>
    <t>連結テーブル</t>
    <rPh sb="0" eb="2">
      <t>レンケツ</t>
    </rPh>
    <phoneticPr fontId="3"/>
  </si>
  <si>
    <t>案件情報.案件コード</t>
    <rPh sb="0" eb="2">
      <t>アンケン</t>
    </rPh>
    <rPh sb="2" eb="4">
      <t>ジョウホウ</t>
    </rPh>
    <rPh sb="5" eb="7">
      <t>アンケン</t>
    </rPh>
    <phoneticPr fontId="3"/>
  </si>
  <si>
    <t>最新フラグ</t>
  </si>
  <si>
    <t>受注状態コード</t>
  </si>
  <si>
    <t>想定金額</t>
  </si>
  <si>
    <t>郵便番号</t>
  </si>
  <si>
    <t>現場住所１</t>
  </si>
  <si>
    <t>現場住所２</t>
  </si>
  <si>
    <t>営業管理職コード</t>
  </si>
  <si>
    <t>営業担当者コード</t>
  </si>
  <si>
    <t>進捗度コード</t>
  </si>
  <si>
    <t>案件区分</t>
  </si>
  <si>
    <t>敷地面積</t>
  </si>
  <si>
    <t>建築面積</t>
  </si>
  <si>
    <t>延床面積</t>
  </si>
  <si>
    <t>施工床面積</t>
  </si>
  <si>
    <t>専有面積</t>
  </si>
  <si>
    <t>施工面積</t>
  </si>
  <si>
    <t>階数（地上）</t>
  </si>
  <si>
    <t>階数（地下）</t>
  </si>
  <si>
    <t>締日</t>
  </si>
  <si>
    <t>支払日</t>
  </si>
  <si>
    <t>不成約理由</t>
  </si>
  <si>
    <t>案件コード</t>
    <rPh sb="0" eb="2">
      <t>アンケン</t>
    </rPh>
    <phoneticPr fontId="7"/>
  </si>
  <si>
    <t>案件枝コード</t>
    <rPh sb="0" eb="2">
      <t>アンケン</t>
    </rPh>
    <rPh sb="2" eb="3">
      <t>エダ</t>
    </rPh>
    <phoneticPr fontId="7"/>
  </si>
  <si>
    <t>案件名</t>
    <rPh sb="0" eb="3">
      <t>アンケンメイ</t>
    </rPh>
    <phoneticPr fontId="7"/>
  </si>
  <si>
    <t>案件カナ名</t>
    <rPh sb="0" eb="2">
      <t>アンケン</t>
    </rPh>
    <rPh sb="4" eb="5">
      <t>メイ</t>
    </rPh>
    <phoneticPr fontId="7"/>
  </si>
  <si>
    <t>受注状態</t>
  </si>
  <si>
    <t>顧客名</t>
    <rPh sb="2" eb="3">
      <t>メイ</t>
    </rPh>
    <phoneticPr fontId="7"/>
  </si>
  <si>
    <t>営業部門コード</t>
  </si>
  <si>
    <t>営業部門名</t>
    <rPh sb="4" eb="5">
      <t>メイ</t>
    </rPh>
    <phoneticPr fontId="7"/>
  </si>
  <si>
    <t>進捗度</t>
  </si>
  <si>
    <t>支払日区分</t>
  </si>
  <si>
    <t>案件情報</t>
    <rPh sb="0" eb="2">
      <t>アンケン</t>
    </rPh>
    <rPh sb="2" eb="4">
      <t>ジョウホウ</t>
    </rPh>
    <phoneticPr fontId="3"/>
  </si>
  <si>
    <t>案件ID</t>
    <rPh sb="0" eb="2">
      <t>アンケン</t>
    </rPh>
    <phoneticPr fontId="7"/>
  </si>
  <si>
    <t>1.受注状態.項目内容</t>
    <rPh sb="2" eb="6">
      <t>ジュチュウジョウタイ</t>
    </rPh>
    <rPh sb="7" eb="9">
      <t>コウモク</t>
    </rPh>
    <rPh sb="9" eb="11">
      <t>ナイヨウ</t>
    </rPh>
    <phoneticPr fontId="3"/>
  </si>
  <si>
    <t>1.顧客情報.顧客名</t>
    <rPh sb="2" eb="4">
      <t>コキャク</t>
    </rPh>
    <rPh sb="4" eb="6">
      <t>ジョウホウ</t>
    </rPh>
    <rPh sb="7" eb="9">
      <t>コキャク</t>
    </rPh>
    <rPh sb="9" eb="10">
      <t>メイ</t>
    </rPh>
    <phoneticPr fontId="3"/>
  </si>
  <si>
    <t>1.顧客情報.郵便番号</t>
    <rPh sb="2" eb="4">
      <t>コキャク</t>
    </rPh>
    <rPh sb="4" eb="6">
      <t>ジョウホウ</t>
    </rPh>
    <rPh sb="7" eb="11">
      <t>ユウビンバンゴウ</t>
    </rPh>
    <phoneticPr fontId="3"/>
  </si>
  <si>
    <t>顧客郵便番号</t>
    <rPh sb="0" eb="2">
      <t>コキャク</t>
    </rPh>
    <phoneticPr fontId="3"/>
  </si>
  <si>
    <t>顧客住所１</t>
    <rPh sb="0" eb="2">
      <t>コキャク</t>
    </rPh>
    <phoneticPr fontId="3"/>
  </si>
  <si>
    <t>顧客住所２</t>
    <rPh sb="0" eb="2">
      <t>コキャク</t>
    </rPh>
    <phoneticPr fontId="3"/>
  </si>
  <si>
    <t>営業担当者氏名</t>
    <rPh sb="5" eb="7">
      <t>シメイ</t>
    </rPh>
    <phoneticPr fontId="7"/>
  </si>
  <si>
    <t>1.進捗度.項目内容</t>
    <rPh sb="2" eb="5">
      <t>シンチョクド</t>
    </rPh>
    <rPh sb="6" eb="8">
      <t>コウモク</t>
    </rPh>
    <rPh sb="8" eb="10">
      <t>ナイヨウ</t>
    </rPh>
    <phoneticPr fontId="3"/>
  </si>
  <si>
    <t>1.案件区分.項目内容</t>
    <rPh sb="2" eb="6">
      <t>アンケンクブン</t>
    </rPh>
    <rPh sb="7" eb="11">
      <t>コウモクナイヨウ</t>
    </rPh>
    <phoneticPr fontId="3"/>
  </si>
  <si>
    <t>1.官民区分.項目内容</t>
    <rPh sb="2" eb="6">
      <t>カンミンクブン</t>
    </rPh>
    <rPh sb="7" eb="11">
      <t>コウモクナイヨウ</t>
    </rPh>
    <phoneticPr fontId="3"/>
  </si>
  <si>
    <t>物件、概算情報を取得</t>
    <rPh sb="0" eb="2">
      <t>ブッケン</t>
    </rPh>
    <rPh sb="3" eb="5">
      <t>ガイサン</t>
    </rPh>
    <rPh sb="5" eb="7">
      <t>ジョウホウ</t>
    </rPh>
    <rPh sb="8" eb="10">
      <t>シュトク</t>
    </rPh>
    <phoneticPr fontId="3"/>
  </si>
  <si>
    <t>パラメータを基に案件請求条件情報を取得</t>
    <rPh sb="6" eb="7">
      <t>モト</t>
    </rPh>
    <rPh sb="8" eb="10">
      <t>アンケン</t>
    </rPh>
    <rPh sb="10" eb="14">
      <t>セイキュウジョウケン</t>
    </rPh>
    <rPh sb="14" eb="16">
      <t>ジョウホウ</t>
    </rPh>
    <rPh sb="17" eb="19">
      <t>シュトク</t>
    </rPh>
    <phoneticPr fontId="3"/>
  </si>
  <si>
    <t>案件ID</t>
    <rPh sb="0" eb="2">
      <t>アンケン</t>
    </rPh>
    <phoneticPr fontId="3"/>
  </si>
  <si>
    <t>連番</t>
    <rPh sb="0" eb="2">
      <t>レンバン</t>
    </rPh>
    <phoneticPr fontId="3"/>
  </si>
  <si>
    <t>割合</t>
    <rPh sb="0" eb="2">
      <t>ワリアイ</t>
    </rPh>
    <phoneticPr fontId="3"/>
  </si>
  <si>
    <t>請求金額</t>
    <rPh sb="0" eb="4">
      <t>セイキュウキンガク</t>
    </rPh>
    <phoneticPr fontId="3"/>
  </si>
  <si>
    <t>消費税率区分</t>
    <rPh sb="0" eb="4">
      <t>ショウヒゼイリツ</t>
    </rPh>
    <rPh sb="4" eb="6">
      <t>クブン</t>
    </rPh>
    <phoneticPr fontId="3"/>
  </si>
  <si>
    <t>請求条件コード</t>
    <rPh sb="0" eb="4">
      <t>セイキュウジョウケン</t>
    </rPh>
    <phoneticPr fontId="3"/>
  </si>
  <si>
    <t>請求条件区分</t>
    <rPh sb="0" eb="4">
      <t>セイキュウジョウケン</t>
    </rPh>
    <rPh sb="4" eb="6">
      <t>クブン</t>
    </rPh>
    <phoneticPr fontId="3"/>
  </si>
  <si>
    <t>請求条件区分名</t>
    <rPh sb="0" eb="4">
      <t>セイキュウジョウケン</t>
    </rPh>
    <rPh sb="4" eb="7">
      <t>クブンメイ</t>
    </rPh>
    <phoneticPr fontId="3"/>
  </si>
  <si>
    <t>消費税金額</t>
    <rPh sb="0" eb="5">
      <t>ショウヒゼイキンガク</t>
    </rPh>
    <phoneticPr fontId="3"/>
  </si>
  <si>
    <t>合計金額</t>
    <rPh sb="0" eb="4">
      <t>ゴウケイキンガク</t>
    </rPh>
    <phoneticPr fontId="3"/>
  </si>
  <si>
    <t>パラメータを基に現場棟明細情報を取得</t>
    <rPh sb="6" eb="7">
      <t>モト</t>
    </rPh>
    <rPh sb="8" eb="10">
      <t>ゲンバ</t>
    </rPh>
    <rPh sb="10" eb="11">
      <t>トウ</t>
    </rPh>
    <rPh sb="11" eb="13">
      <t>メイサイ</t>
    </rPh>
    <rPh sb="13" eb="15">
      <t>ジョウホウ</t>
    </rPh>
    <rPh sb="16" eb="18">
      <t>シュトク</t>
    </rPh>
    <phoneticPr fontId="3"/>
  </si>
  <si>
    <t>棟コード</t>
    <rPh sb="0" eb="1">
      <t>トウ</t>
    </rPh>
    <phoneticPr fontId="3"/>
  </si>
  <si>
    <t>棟番号工事名</t>
    <rPh sb="0" eb="1">
      <t>トウ</t>
    </rPh>
    <rPh sb="1" eb="3">
      <t>バンゴウ</t>
    </rPh>
    <rPh sb="3" eb="6">
      <t>コウジメイ</t>
    </rPh>
    <phoneticPr fontId="3"/>
  </si>
  <si>
    <t>削除フラグ</t>
    <rPh sb="0" eb="2">
      <t>サクジョ</t>
    </rPh>
    <phoneticPr fontId="3"/>
  </si>
  <si>
    <t>4-1.取得件数が１件以上の場合は内部変数に値を格納する。</t>
    <phoneticPr fontId="3"/>
  </si>
  <si>
    <t>現場棟明細リスト</t>
    <rPh sb="0" eb="2">
      <t>ゲンバ</t>
    </rPh>
    <rPh sb="2" eb="3">
      <t>トウ</t>
    </rPh>
    <rPh sb="3" eb="5">
      <t>メイサイ</t>
    </rPh>
    <phoneticPr fontId="3"/>
  </si>
  <si>
    <t>請求条件明細リスト</t>
  </si>
  <si>
    <t>請求条件明細リスト</t>
    <rPh sb="0" eb="4">
      <t>セイキュウジョウケン</t>
    </rPh>
    <rPh sb="4" eb="6">
      <t>メイサイ</t>
    </rPh>
    <phoneticPr fontId="3"/>
  </si>
  <si>
    <t>パラメータを基に案件要望明細情報を取得</t>
    <rPh sb="6" eb="7">
      <t>モト</t>
    </rPh>
    <rPh sb="8" eb="10">
      <t>アンケン</t>
    </rPh>
    <rPh sb="10" eb="12">
      <t>ヨウボウ</t>
    </rPh>
    <rPh sb="12" eb="14">
      <t>メイサイ</t>
    </rPh>
    <rPh sb="14" eb="16">
      <t>ジョウホウ</t>
    </rPh>
    <rPh sb="17" eb="19">
      <t>シュトク</t>
    </rPh>
    <phoneticPr fontId="3"/>
  </si>
  <si>
    <t>案件要望明細リスト</t>
  </si>
  <si>
    <t>案件要望明細リスト</t>
    <rPh sb="0" eb="4">
      <t>アンケンヨウボウ</t>
    </rPh>
    <rPh sb="4" eb="6">
      <t>メイサイ</t>
    </rPh>
    <phoneticPr fontId="3"/>
  </si>
  <si>
    <t>5．</t>
    <phoneticPr fontId="3"/>
  </si>
  <si>
    <t>5-1.取得件数が１件以上の場合は内部変数に値を格納する。</t>
    <phoneticPr fontId="3"/>
  </si>
  <si>
    <t>発生年月日</t>
    <rPh sb="0" eb="5">
      <t>ハッセイネンガッピ</t>
    </rPh>
    <phoneticPr fontId="3"/>
  </si>
  <si>
    <t>要望内容</t>
    <rPh sb="0" eb="4">
      <t>ヨウボウナイヨウ</t>
    </rPh>
    <phoneticPr fontId="3"/>
  </si>
  <si>
    <t>対応内容</t>
    <rPh sb="0" eb="2">
      <t>タイオウ</t>
    </rPh>
    <rPh sb="2" eb="4">
      <t>ナイヨウ</t>
    </rPh>
    <phoneticPr fontId="3"/>
  </si>
  <si>
    <t>6．</t>
    <phoneticPr fontId="3"/>
  </si>
  <si>
    <t>パラメータを基に先行作業内諾書明細情報を取得</t>
    <rPh sb="6" eb="7">
      <t>モト</t>
    </rPh>
    <rPh sb="8" eb="12">
      <t>センコウサギョウ</t>
    </rPh>
    <rPh sb="12" eb="15">
      <t>ナイダクショ</t>
    </rPh>
    <rPh sb="15" eb="17">
      <t>メイサイ</t>
    </rPh>
    <rPh sb="17" eb="19">
      <t>ジョウホウ</t>
    </rPh>
    <rPh sb="20" eb="22">
      <t>シュトク</t>
    </rPh>
    <phoneticPr fontId="3"/>
  </si>
  <si>
    <t>大工事名</t>
    <rPh sb="0" eb="3">
      <t>ダイコウジ</t>
    </rPh>
    <rPh sb="3" eb="4">
      <t>メイ</t>
    </rPh>
    <phoneticPr fontId="3"/>
  </si>
  <si>
    <t>小工事コード</t>
    <rPh sb="0" eb="3">
      <t>ショウコウジ</t>
    </rPh>
    <phoneticPr fontId="3"/>
  </si>
  <si>
    <t>小工事名</t>
    <rPh sb="0" eb="3">
      <t>ショウコウジ</t>
    </rPh>
    <rPh sb="3" eb="4">
      <t>メイ</t>
    </rPh>
    <phoneticPr fontId="3"/>
  </si>
  <si>
    <t>計画概要</t>
    <rPh sb="0" eb="4">
      <t>ケイカクガイヨウ</t>
    </rPh>
    <phoneticPr fontId="3"/>
  </si>
  <si>
    <t>見積日付</t>
    <rPh sb="0" eb="2">
      <t>ミツモリ</t>
    </rPh>
    <rPh sb="2" eb="4">
      <t>ヒヅケ</t>
    </rPh>
    <phoneticPr fontId="3"/>
  </si>
  <si>
    <t>先行工事内容</t>
    <rPh sb="0" eb="4">
      <t>センコウコウジ</t>
    </rPh>
    <rPh sb="4" eb="6">
      <t>ナイヨウ</t>
    </rPh>
    <phoneticPr fontId="3"/>
  </si>
  <si>
    <t>工事原価</t>
    <rPh sb="0" eb="4">
      <t>コウジゲンカ</t>
    </rPh>
    <phoneticPr fontId="3"/>
  </si>
  <si>
    <t>支払条件</t>
    <rPh sb="0" eb="4">
      <t>シハライジョウケン</t>
    </rPh>
    <phoneticPr fontId="3"/>
  </si>
  <si>
    <t>添付ファイルID</t>
    <rPh sb="0" eb="2">
      <t>テンプ</t>
    </rPh>
    <phoneticPr fontId="3"/>
  </si>
  <si>
    <t>パラメータを基に先行作業発注情報明細を取得</t>
    <rPh sb="6" eb="7">
      <t>モト</t>
    </rPh>
    <rPh sb="8" eb="12">
      <t>センコウサギョウ</t>
    </rPh>
    <rPh sb="12" eb="16">
      <t>ハッチュウジョウホウ</t>
    </rPh>
    <rPh sb="16" eb="18">
      <t>メイサイ</t>
    </rPh>
    <rPh sb="19" eb="21">
      <t>シュトク</t>
    </rPh>
    <phoneticPr fontId="3"/>
  </si>
  <si>
    <t>先行作業発注情報明細リスト</t>
    <rPh sb="0" eb="4">
      <t>センコウサギョウ</t>
    </rPh>
    <rPh sb="4" eb="8">
      <t>ハッチュウジョウホウ</t>
    </rPh>
    <rPh sb="8" eb="10">
      <t>メイサイ</t>
    </rPh>
    <phoneticPr fontId="3"/>
  </si>
  <si>
    <t>6-1.取得件数が１件以上の場合は内部変数に値を格納する。</t>
    <phoneticPr fontId="3"/>
  </si>
  <si>
    <t>6.見積日付</t>
    <rPh sb="2" eb="6">
      <t>ミツモリヒヅケ</t>
    </rPh>
    <phoneticPr fontId="3"/>
  </si>
  <si>
    <t>6.大工事情報.大工事名</t>
    <rPh sb="2" eb="7">
      <t>ダイコウジジョウホウ</t>
    </rPh>
    <rPh sb="8" eb="12">
      <t>ダイコウジメイ</t>
    </rPh>
    <phoneticPr fontId="3"/>
  </si>
  <si>
    <t>6.小工事情報.小工事名</t>
    <rPh sb="2" eb="7">
      <t>ショウコウジジョウホウ</t>
    </rPh>
    <rPh sb="8" eb="11">
      <t>ショウコウジ</t>
    </rPh>
    <rPh sb="11" eb="12">
      <t>メイ</t>
    </rPh>
    <phoneticPr fontId="3"/>
  </si>
  <si>
    <t>注文書№</t>
    <rPh sb="0" eb="3">
      <t>チュウモンショ</t>
    </rPh>
    <phoneticPr fontId="3"/>
  </si>
  <si>
    <t>協力業者コード</t>
    <rPh sb="0" eb="2">
      <t>キョウリョク</t>
    </rPh>
    <rPh sb="2" eb="4">
      <t>ギョウシャ</t>
    </rPh>
    <phoneticPr fontId="3"/>
  </si>
  <si>
    <t>協力業者名</t>
    <rPh sb="0" eb="2">
      <t>キョウリョク</t>
    </rPh>
    <rPh sb="2" eb="4">
      <t>ギョウシャ</t>
    </rPh>
    <rPh sb="4" eb="5">
      <t>メイ</t>
    </rPh>
    <phoneticPr fontId="3"/>
  </si>
  <si>
    <t>7．</t>
    <phoneticPr fontId="3"/>
  </si>
  <si>
    <t>7-1.取得件数が１件以上の場合は内部変数に値を格納する。</t>
    <phoneticPr fontId="3"/>
  </si>
  <si>
    <t>数量</t>
    <rPh sb="0" eb="2">
      <t>スウリョウ</t>
    </rPh>
    <phoneticPr fontId="3"/>
  </si>
  <si>
    <t>発注金額</t>
    <rPh sb="0" eb="4">
      <t>ハッチュウキンガク</t>
    </rPh>
    <phoneticPr fontId="3"/>
  </si>
  <si>
    <t>7.業者情報.業者名</t>
    <rPh sb="2" eb="4">
      <t>ギョウシャ</t>
    </rPh>
    <rPh sb="4" eb="6">
      <t>ジョウホウ</t>
    </rPh>
    <rPh sb="7" eb="10">
      <t>ギョウシャメイ</t>
    </rPh>
    <phoneticPr fontId="3"/>
  </si>
  <si>
    <t>7.大工事情報.大工事名</t>
    <rPh sb="2" eb="7">
      <t>ダイコウジジョウホウ</t>
    </rPh>
    <rPh sb="8" eb="12">
      <t>ダイコウジメイ</t>
    </rPh>
    <phoneticPr fontId="3"/>
  </si>
  <si>
    <t>1～7で取得した値を戻り値として返して、処理を終了する。</t>
    <rPh sb="16" eb="17">
      <t>カエ</t>
    </rPh>
    <phoneticPr fontId="3"/>
  </si>
  <si>
    <t>物件情報</t>
    <rPh sb="0" eb="2">
      <t>ブッケン</t>
    </rPh>
    <rPh sb="2" eb="4">
      <t>ジョウホウ</t>
    </rPh>
    <phoneticPr fontId="3"/>
  </si>
  <si>
    <t>"案件ID","example案件ID",</t>
  </si>
  <si>
    <t>"案件情報": [</t>
    <rPh sb="1" eb="5">
      <t>アンケンジョウホウ</t>
    </rPh>
    <phoneticPr fontId="3"/>
  </si>
  <si>
    <t>"現場情報":[</t>
    <rPh sb="1" eb="5">
      <t>ゲンバジョウホウ</t>
    </rPh>
    <phoneticPr fontId="3"/>
  </si>
  <si>
    <t>"連番","example連番",</t>
  </si>
  <si>
    <t>"請求条件リスト": [</t>
    <rPh sb="1" eb="3">
      <t>セイキュウ</t>
    </rPh>
    <rPh sb="3" eb="5">
      <t>ジョウケン</t>
    </rPh>
    <phoneticPr fontId="3"/>
  </si>
  <si>
    <t>"棟番号","example棟番号",</t>
  </si>
  <si>
    <t>"棟番号工事名","example棟番号工事名",</t>
  </si>
  <si>
    <t>"現場棟明細リスト": [</t>
    <rPh sb="1" eb="3">
      <t>ゲンバ</t>
    </rPh>
    <rPh sb="3" eb="4">
      <t>トウ</t>
    </rPh>
    <rPh sb="4" eb="6">
      <t>メイサイ</t>
    </rPh>
    <phoneticPr fontId="3"/>
  </si>
  <si>
    <t>"発生年月日","example発生年月日",</t>
  </si>
  <si>
    <t>"要望内容","example要望内容",</t>
  </si>
  <si>
    <t>"対応内容","example対応内容",</t>
  </si>
  <si>
    <t>"案件要望明細リスト": [</t>
    <rPh sb="1" eb="3">
      <t>アンケン</t>
    </rPh>
    <rPh sb="3" eb="5">
      <t>ヨウボウ</t>
    </rPh>
    <rPh sb="5" eb="7">
      <t>メイサイ</t>
    </rPh>
    <phoneticPr fontId="3"/>
  </si>
  <si>
    <t>"先行作業内諾書明細リスト": [</t>
    <rPh sb="1" eb="10">
      <t>センコウサギョウナイダクショメイサイ</t>
    </rPh>
    <phoneticPr fontId="3"/>
  </si>
  <si>
    <t>顧客郵便番号</t>
    <rPh sb="0" eb="2">
      <t>コキャク</t>
    </rPh>
    <phoneticPr fontId="7"/>
  </si>
  <si>
    <t>顧客住所１</t>
    <rPh sb="0" eb="2">
      <t>コキャク</t>
    </rPh>
    <phoneticPr fontId="7"/>
  </si>
  <si>
    <t>顧客住所２</t>
    <rPh sb="0" eb="2">
      <t>コキャク</t>
    </rPh>
    <phoneticPr fontId="7"/>
  </si>
  <si>
    <t>営業管理職氏名</t>
    <rPh sb="5" eb="7">
      <t>シメイ</t>
    </rPh>
    <phoneticPr fontId="7"/>
  </si>
  <si>
    <t>請求条件区分名</t>
    <rPh sb="0" eb="4">
      <t>セイキュウジョウケン</t>
    </rPh>
    <rPh sb="4" eb="6">
      <t>クブン</t>
    </rPh>
    <rPh sb="6" eb="7">
      <t>メイ</t>
    </rPh>
    <phoneticPr fontId="3"/>
  </si>
  <si>
    <t>消費税率区分</t>
    <rPh sb="0" eb="3">
      <t>ショウヒゼイ</t>
    </rPh>
    <rPh sb="3" eb="4">
      <t>リツ</t>
    </rPh>
    <rPh sb="4" eb="6">
      <t>クブン</t>
    </rPh>
    <phoneticPr fontId="3"/>
  </si>
  <si>
    <t>消費税率</t>
    <rPh sb="0" eb="3">
      <t>ショウヒゼイ</t>
    </rPh>
    <rPh sb="3" eb="4">
      <t>リツ</t>
    </rPh>
    <phoneticPr fontId="3"/>
  </si>
  <si>
    <t>先行作業内諾書明細リスト</t>
    <rPh sb="0" eb="7">
      <t>センコウサギョウナイダクショ</t>
    </rPh>
    <rPh sb="7" eb="9">
      <t>メイサイ</t>
    </rPh>
    <phoneticPr fontId="7"/>
  </si>
  <si>
    <t>先行作業発注情報明細リスト</t>
    <rPh sb="0" eb="2">
      <t>センコウ</t>
    </rPh>
    <rPh sb="2" eb="4">
      <t>サギョウ</t>
    </rPh>
    <rPh sb="4" eb="6">
      <t>ハッチュウ</t>
    </rPh>
    <rPh sb="6" eb="8">
      <t>ジョウホウ</t>
    </rPh>
    <rPh sb="8" eb="10">
      <t>メイサイ</t>
    </rPh>
    <phoneticPr fontId="7"/>
  </si>
  <si>
    <t>注文書№</t>
    <rPh sb="0" eb="4">
      <t>チュウモンショナンバー</t>
    </rPh>
    <phoneticPr fontId="3"/>
  </si>
  <si>
    <t>協力業者名</t>
    <rPh sb="0" eb="4">
      <t>キョウリョクギョウシャ</t>
    </rPh>
    <rPh sb="4" eb="5">
      <t>メイ</t>
    </rPh>
    <phoneticPr fontId="3"/>
  </si>
  <si>
    <t>必須</t>
    <phoneticPr fontId="3"/>
  </si>
  <si>
    <t>パラメータを基に案件情報を取得</t>
    <rPh sb="6" eb="7">
      <t>モト</t>
    </rPh>
    <rPh sb="8" eb="10">
      <t>アンケン</t>
    </rPh>
    <rPh sb="10" eb="12">
      <t>ジョウホウ</t>
    </rPh>
    <rPh sb="13" eb="15">
      <t>シュトク</t>
    </rPh>
    <phoneticPr fontId="3"/>
  </si>
  <si>
    <t>歴番</t>
    <rPh sb="0" eb="2">
      <t>レキバン</t>
    </rPh>
    <phoneticPr fontId="3"/>
  </si>
  <si>
    <t>概算合計金額</t>
  </si>
  <si>
    <t>概算部門ID</t>
  </si>
  <si>
    <t>概算担当者コード</t>
  </si>
  <si>
    <t>担当事業所コード</t>
  </si>
  <si>
    <t>単価地域ID</t>
  </si>
  <si>
    <t>”1”</t>
    <phoneticPr fontId="3"/>
  </si>
  <si>
    <t>空白</t>
    <rPh sb="0" eb="2">
      <t>クウハク</t>
    </rPh>
    <phoneticPr fontId="3"/>
  </si>
  <si>
    <t>精積算ヘッダID</t>
  </si>
  <si>
    <t>精積算コード</t>
  </si>
  <si>
    <t>精積算合計金額</t>
  </si>
  <si>
    <t>精積算日付</t>
  </si>
  <si>
    <t>精積算部門ID</t>
  </si>
  <si>
    <t>精積算担当者コード</t>
  </si>
  <si>
    <t>案件登録から受け取った変数</t>
    <rPh sb="0" eb="2">
      <t>アンケン</t>
    </rPh>
    <rPh sb="2" eb="4">
      <t>トウロク</t>
    </rPh>
    <rPh sb="6" eb="7">
      <t>ウ</t>
    </rPh>
    <rPh sb="8" eb="9">
      <t>ト</t>
    </rPh>
    <rPh sb="11" eb="13">
      <t>ヘンスウ</t>
    </rPh>
    <phoneticPr fontId="3"/>
  </si>
  <si>
    <t>物件ID</t>
  </si>
  <si>
    <t>物件コード</t>
  </si>
  <si>
    <t>物件名</t>
  </si>
  <si>
    <t>物件カナ名</t>
  </si>
  <si>
    <t>受注年月日</t>
  </si>
  <si>
    <t>着工日</t>
  </si>
  <si>
    <t>完工日</t>
  </si>
  <si>
    <t>物件郵便番号</t>
  </si>
  <si>
    <t>現場コード</t>
  </si>
  <si>
    <t>現場明細</t>
    <rPh sb="0" eb="2">
      <t>ゲンバ</t>
    </rPh>
    <rPh sb="2" eb="4">
      <t>メイサイ</t>
    </rPh>
    <phoneticPr fontId="3"/>
  </si>
  <si>
    <t>現場コード</t>
    <rPh sb="0" eb="2">
      <t>ゲンバ</t>
    </rPh>
    <phoneticPr fontId="3"/>
  </si>
  <si>
    <t>実行予算コード</t>
    <rPh sb="0" eb="4">
      <t>ジッコウヨサン</t>
    </rPh>
    <phoneticPr fontId="3"/>
  </si>
  <si>
    <t>精積算コード</t>
    <rPh sb="0" eb="3">
      <t>セイセキサン</t>
    </rPh>
    <phoneticPr fontId="3"/>
  </si>
  <si>
    <t>精積算明細ID</t>
    <rPh sb="0" eb="3">
      <t>セイセキサン</t>
    </rPh>
    <rPh sb="3" eb="5">
      <t>メイサイ</t>
    </rPh>
    <phoneticPr fontId="3"/>
  </si>
  <si>
    <t>精積算ヘッダID</t>
    <rPh sb="0" eb="3">
      <t>セイセキサン</t>
    </rPh>
    <phoneticPr fontId="3"/>
  </si>
  <si>
    <t>※現場明細リストを参照し、リストのレコード分だけループをし、データ取得を行う</t>
    <rPh sb="0" eb="1">
      <t>トウ</t>
    </rPh>
    <rPh sb="1" eb="5">
      <t>ゲンバメイサイ</t>
    </rPh>
    <rPh sb="8" eb="10">
      <t>サンショウ</t>
    </rPh>
    <rPh sb="20" eb="21">
      <t>ブン</t>
    </rPh>
    <rPh sb="33" eb="35">
      <t>シュトク</t>
    </rPh>
    <rPh sb="36" eb="37">
      <t>オコナ</t>
    </rPh>
    <phoneticPr fontId="3"/>
  </si>
  <si>
    <t>※現場明細リストを参照し、リストのレコード分だけループをし、データ保存を行う。</t>
    <rPh sb="0" eb="1">
      <t>トウ</t>
    </rPh>
    <rPh sb="1" eb="5">
      <t>ゲンバメイサイ</t>
    </rPh>
    <rPh sb="8" eb="10">
      <t>サンショウ</t>
    </rPh>
    <rPh sb="20" eb="21">
      <t>ブン</t>
    </rPh>
    <rPh sb="33" eb="35">
      <t>ホゾン</t>
    </rPh>
    <rPh sb="36" eb="37">
      <t>オコナ</t>
    </rPh>
    <phoneticPr fontId="3"/>
  </si>
  <si>
    <t>現場明細リスト</t>
    <rPh sb="0" eb="2">
      <t>ゲンバ</t>
    </rPh>
    <rPh sb="2" eb="4">
      <t>メイサイ</t>
    </rPh>
    <phoneticPr fontId="3"/>
  </si>
  <si>
    <t>”01”（固定値）</t>
    <rPh sb="5" eb="8">
      <t>コテイチ</t>
    </rPh>
    <phoneticPr fontId="3"/>
  </si>
  <si>
    <t>”1"（固定値）</t>
    <rPh sb="4" eb="7">
      <t>コテイチ</t>
    </rPh>
    <phoneticPr fontId="3"/>
  </si>
  <si>
    <t>”0"（有効）</t>
    <rPh sb="4" eb="6">
      <t>ユウコウ</t>
    </rPh>
    <phoneticPr fontId="3"/>
  </si>
  <si>
    <t>実行予算ヘッダID</t>
    <rPh sb="0" eb="4">
      <t>ジッコウヨサン</t>
    </rPh>
    <phoneticPr fontId="3"/>
  </si>
  <si>
    <t>”0”（有効）</t>
    <rPh sb="4" eb="6">
      <t>ユウコウ</t>
    </rPh>
    <phoneticPr fontId="3"/>
  </si>
  <si>
    <t>概算ヘッダID</t>
    <rPh sb="0" eb="2">
      <t>ガイサン</t>
    </rPh>
    <phoneticPr fontId="3"/>
  </si>
  <si>
    <t>＜成功＞</t>
    <rPh sb="1" eb="3">
      <t>セイコウ</t>
    </rPh>
    <phoneticPr fontId="3"/>
  </si>
  <si>
    <t>項目リスト設定.項目分類コード＝"D0002"（案件区分）
AND項目リスト設定.削除フラグ　＝　"0"（未削除）</t>
    <rPh sb="0" eb="2">
      <t>コウモク</t>
    </rPh>
    <rPh sb="5" eb="7">
      <t>セッテイ</t>
    </rPh>
    <rPh sb="8" eb="10">
      <t>コウモク</t>
    </rPh>
    <rPh sb="10" eb="12">
      <t>ブンルイ</t>
    </rPh>
    <rPh sb="24" eb="28">
      <t>アンケンクブン</t>
    </rPh>
    <rPh sb="33" eb="35">
      <t>コウモク</t>
    </rPh>
    <rPh sb="38" eb="40">
      <t>セッテイ</t>
    </rPh>
    <rPh sb="41" eb="43">
      <t>サクジョ</t>
    </rPh>
    <rPh sb="53" eb="54">
      <t>ミ</t>
    </rPh>
    <rPh sb="54" eb="56">
      <t>サクジョ</t>
    </rPh>
    <phoneticPr fontId="3"/>
  </si>
  <si>
    <t>項目リスト設定.項目分類コード＝"D0006"（官民区分）
AND項目リスト設定.削除フラグ　＝　"0"（未削除）</t>
    <rPh sb="0" eb="2">
      <t>コウモク</t>
    </rPh>
    <rPh sb="5" eb="7">
      <t>セッテイ</t>
    </rPh>
    <rPh sb="8" eb="10">
      <t>コウモク</t>
    </rPh>
    <rPh sb="10" eb="12">
      <t>ブンルイ</t>
    </rPh>
    <rPh sb="24" eb="26">
      <t>カンミン</t>
    </rPh>
    <rPh sb="26" eb="28">
      <t>クブン</t>
    </rPh>
    <rPh sb="33" eb="35">
      <t>コウモク</t>
    </rPh>
    <rPh sb="38" eb="40">
      <t>セッテイ</t>
    </rPh>
    <rPh sb="41" eb="43">
      <t>サクジョ</t>
    </rPh>
    <rPh sb="53" eb="54">
      <t>ミ</t>
    </rPh>
    <rPh sb="54" eb="56">
      <t>サクジョ</t>
    </rPh>
    <phoneticPr fontId="3"/>
  </si>
  <si>
    <t>項目リスト設定.項目分類コード＝"D0001"（受注状態）
AND項目リスト設定.削除フラグ　＝　"0"（未削除）</t>
    <rPh sb="0" eb="2">
      <t>コウモク</t>
    </rPh>
    <rPh sb="5" eb="7">
      <t>セッテイ</t>
    </rPh>
    <rPh sb="8" eb="10">
      <t>コウモク</t>
    </rPh>
    <rPh sb="10" eb="12">
      <t>ブンルイ</t>
    </rPh>
    <rPh sb="24" eb="26">
      <t>ジュチュウ</t>
    </rPh>
    <rPh sb="26" eb="28">
      <t>ジョウタイ</t>
    </rPh>
    <rPh sb="33" eb="35">
      <t>コウモク</t>
    </rPh>
    <rPh sb="38" eb="40">
      <t>セッテイ</t>
    </rPh>
    <rPh sb="41" eb="43">
      <t>サクジョ</t>
    </rPh>
    <rPh sb="53" eb="54">
      <t>ミ</t>
    </rPh>
    <rPh sb="54" eb="56">
      <t>サクジョ</t>
    </rPh>
    <phoneticPr fontId="3"/>
  </si>
  <si>
    <t>項目リスト設定.項目分類コード＝"D0003"（進捗度情報）
AND項目リスト設定.削除フラグ　＝　"0"（未削除）</t>
    <rPh sb="0" eb="2">
      <t>コウモク</t>
    </rPh>
    <rPh sb="5" eb="7">
      <t>セッテイ</t>
    </rPh>
    <rPh sb="8" eb="10">
      <t>コウモク</t>
    </rPh>
    <rPh sb="10" eb="12">
      <t>ブンルイ</t>
    </rPh>
    <rPh sb="24" eb="27">
      <t>シンチョクド</t>
    </rPh>
    <rPh sb="27" eb="29">
      <t>ジョウホウ</t>
    </rPh>
    <rPh sb="34" eb="36">
      <t>コウモク</t>
    </rPh>
    <rPh sb="39" eb="41">
      <t>セッテイ</t>
    </rPh>
    <rPh sb="42" eb="44">
      <t>サクジョ</t>
    </rPh>
    <rPh sb="54" eb="55">
      <t>ミ</t>
    </rPh>
    <rPh sb="55" eb="57">
      <t>サクジョ</t>
    </rPh>
    <phoneticPr fontId="3"/>
  </si>
  <si>
    <t>項目リスト設定.項目分類コード＝"D0005"（現場区分）
AND項目リスト設定.削除フラグ　＝　"0"（未削除）</t>
    <rPh sb="0" eb="2">
      <t>コウモク</t>
    </rPh>
    <rPh sb="5" eb="7">
      <t>セッテイ</t>
    </rPh>
    <rPh sb="8" eb="10">
      <t>コウモク</t>
    </rPh>
    <rPh sb="10" eb="12">
      <t>ブンルイ</t>
    </rPh>
    <rPh sb="24" eb="26">
      <t>ゲンバ</t>
    </rPh>
    <rPh sb="26" eb="28">
      <t>クブン</t>
    </rPh>
    <rPh sb="33" eb="35">
      <t>コウモク</t>
    </rPh>
    <rPh sb="38" eb="40">
      <t>セッテイ</t>
    </rPh>
    <rPh sb="41" eb="43">
      <t>サクジョ</t>
    </rPh>
    <rPh sb="53" eb="54">
      <t>ミ</t>
    </rPh>
    <rPh sb="54" eb="56">
      <t>サクジョ</t>
    </rPh>
    <phoneticPr fontId="3"/>
  </si>
  <si>
    <t>1.項目コード</t>
    <rPh sb="2" eb="4">
      <t>コウモク</t>
    </rPh>
    <phoneticPr fontId="3"/>
  </si>
  <si>
    <t>1.項目内容</t>
    <rPh sb="2" eb="4">
      <t>コウモク</t>
    </rPh>
    <rPh sb="4" eb="6">
      <t>ナイヨウ</t>
    </rPh>
    <phoneticPr fontId="3"/>
  </si>
  <si>
    <t>2.項目コード</t>
    <rPh sb="2" eb="4">
      <t>コウモク</t>
    </rPh>
    <phoneticPr fontId="3"/>
  </si>
  <si>
    <t>2.項目内容</t>
    <rPh sb="2" eb="4">
      <t>コウモク</t>
    </rPh>
    <rPh sb="4" eb="6">
      <t>ナイヨウ</t>
    </rPh>
    <phoneticPr fontId="3"/>
  </si>
  <si>
    <t>3.項目コード</t>
    <rPh sb="2" eb="4">
      <t>コウモク</t>
    </rPh>
    <phoneticPr fontId="3"/>
  </si>
  <si>
    <t>3.項目内容</t>
    <rPh sb="2" eb="4">
      <t>コウモク</t>
    </rPh>
    <rPh sb="4" eb="6">
      <t>ナイヨウ</t>
    </rPh>
    <phoneticPr fontId="3"/>
  </si>
  <si>
    <t>4.項目コード</t>
    <rPh sb="2" eb="4">
      <t>コウモク</t>
    </rPh>
    <phoneticPr fontId="3"/>
  </si>
  <si>
    <t>4.項目内容</t>
    <rPh sb="2" eb="4">
      <t>コウモク</t>
    </rPh>
    <rPh sb="4" eb="6">
      <t>ナイヨウ</t>
    </rPh>
    <phoneticPr fontId="3"/>
  </si>
  <si>
    <t>5.項目コード</t>
    <rPh sb="2" eb="4">
      <t>コウモク</t>
    </rPh>
    <phoneticPr fontId="3"/>
  </si>
  <si>
    <t>5.項目内容</t>
    <rPh sb="2" eb="4">
      <t>コウモク</t>
    </rPh>
    <rPh sb="4" eb="6">
      <t>ナイヨウ</t>
    </rPh>
    <phoneticPr fontId="3"/>
  </si>
  <si>
    <t>1.案件情報.案件ID</t>
    <rPh sb="2" eb="6">
      <t>アンケンジョウホウ</t>
    </rPh>
    <rPh sb="7" eb="9">
      <t>アンケン</t>
    </rPh>
    <phoneticPr fontId="3"/>
  </si>
  <si>
    <t>1.案件情報.案件コード</t>
    <rPh sb="2" eb="6">
      <t>アンケンジョウホウ</t>
    </rPh>
    <rPh sb="7" eb="9">
      <t>アンケン</t>
    </rPh>
    <phoneticPr fontId="3"/>
  </si>
  <si>
    <t>1.案件情報.歴番</t>
    <rPh sb="2" eb="6">
      <t>アンケンジョウホウ</t>
    </rPh>
    <rPh sb="7" eb="9">
      <t>レキバン</t>
    </rPh>
    <phoneticPr fontId="3"/>
  </si>
  <si>
    <t>1.案件情報.案件名</t>
    <rPh sb="2" eb="6">
      <t>アンケンジョウホウ</t>
    </rPh>
    <rPh sb="7" eb="10">
      <t>アンケンメイ</t>
    </rPh>
    <phoneticPr fontId="3"/>
  </si>
  <si>
    <t>1.案件情報.案件カナ名</t>
    <rPh sb="2" eb="6">
      <t>アンケンジョウホウ</t>
    </rPh>
    <rPh sb="7" eb="9">
      <t>アンケン</t>
    </rPh>
    <rPh sb="11" eb="12">
      <t>メイ</t>
    </rPh>
    <phoneticPr fontId="3"/>
  </si>
  <si>
    <t>1.案件情報.受注状態コード</t>
    <rPh sb="2" eb="6">
      <t>アンケンジョウホウ</t>
    </rPh>
    <rPh sb="7" eb="11">
      <t>ジュチュウジョウタイ</t>
    </rPh>
    <phoneticPr fontId="3"/>
  </si>
  <si>
    <t>1.案件情報.想定金額</t>
    <rPh sb="2" eb="6">
      <t>アンケンジョウホウ</t>
    </rPh>
    <rPh sb="7" eb="11">
      <t>ソウテイキンガク</t>
    </rPh>
    <phoneticPr fontId="3"/>
  </si>
  <si>
    <t>1.案件情報.郵便番号</t>
    <rPh sb="2" eb="6">
      <t>アンケンジョウホウ</t>
    </rPh>
    <rPh sb="7" eb="11">
      <t>ユウビンバンゴウ</t>
    </rPh>
    <phoneticPr fontId="3"/>
  </si>
  <si>
    <t>1.案件情報.現場住所1</t>
    <rPh sb="2" eb="6">
      <t>アンケンジョウホウ</t>
    </rPh>
    <rPh sb="7" eb="11">
      <t>ゲンバジュウショ</t>
    </rPh>
    <phoneticPr fontId="3"/>
  </si>
  <si>
    <t>1.案件情報.現場住所2</t>
    <rPh sb="2" eb="6">
      <t>アンケンジョウホウ</t>
    </rPh>
    <rPh sb="7" eb="9">
      <t>ゲンバ</t>
    </rPh>
    <rPh sb="9" eb="11">
      <t>ジュウショ</t>
    </rPh>
    <phoneticPr fontId="3"/>
  </si>
  <si>
    <t>1.案件情報.受注見込日</t>
    <rPh sb="2" eb="6">
      <t>アンケンジョウホウ</t>
    </rPh>
    <rPh sb="7" eb="9">
      <t>ジュチュウ</t>
    </rPh>
    <rPh sb="9" eb="11">
      <t>ミコミ</t>
    </rPh>
    <rPh sb="11" eb="12">
      <t>ビ</t>
    </rPh>
    <phoneticPr fontId="3"/>
  </si>
  <si>
    <t>1.案件情報.着工希望日</t>
    <rPh sb="2" eb="6">
      <t>アンケンジョウホウ</t>
    </rPh>
    <rPh sb="7" eb="9">
      <t>チャッコウ</t>
    </rPh>
    <rPh sb="9" eb="12">
      <t>キボウビ</t>
    </rPh>
    <phoneticPr fontId="3"/>
  </si>
  <si>
    <t>1.組織情報.組織名</t>
    <rPh sb="2" eb="6">
      <t>ソシキジョウホウ</t>
    </rPh>
    <rPh sb="7" eb="10">
      <t>ソシキメイ</t>
    </rPh>
    <phoneticPr fontId="3"/>
  </si>
  <si>
    <t>1.案件情報.案件区分</t>
    <rPh sb="2" eb="6">
      <t>アンケンジョウホウ</t>
    </rPh>
    <rPh sb="7" eb="9">
      <t>アンケン</t>
    </rPh>
    <rPh sb="9" eb="11">
      <t>クブン</t>
    </rPh>
    <phoneticPr fontId="3"/>
  </si>
  <si>
    <t>1.案件情報.官民区分</t>
    <rPh sb="2" eb="6">
      <t>アンケンジョウホウ</t>
    </rPh>
    <rPh sb="7" eb="11">
      <t>カンミンクブン</t>
    </rPh>
    <phoneticPr fontId="3"/>
  </si>
  <si>
    <t>支払区分</t>
    <phoneticPr fontId="3"/>
  </si>
  <si>
    <t>1.現場情報.現場コード</t>
    <rPh sb="2" eb="4">
      <t>ゲンバ</t>
    </rPh>
    <rPh sb="4" eb="6">
      <t>ジョウホウ</t>
    </rPh>
    <rPh sb="7" eb="9">
      <t>ゲンバ</t>
    </rPh>
    <phoneticPr fontId="3"/>
  </si>
  <si>
    <t>1.現場情報.現場名</t>
    <rPh sb="2" eb="6">
      <t>ゲンバジョウホウ</t>
    </rPh>
    <rPh sb="7" eb="10">
      <t>ゲンバメイ</t>
    </rPh>
    <phoneticPr fontId="3"/>
  </si>
  <si>
    <t>1.物件情報.物件コード</t>
    <rPh sb="2" eb="4">
      <t>ブッケン</t>
    </rPh>
    <rPh sb="4" eb="6">
      <t>ジョウホウ</t>
    </rPh>
    <rPh sb="7" eb="9">
      <t>ブッケン</t>
    </rPh>
    <phoneticPr fontId="3"/>
  </si>
  <si>
    <t>1.物件情報.物件名</t>
    <rPh sb="2" eb="4">
      <t>ブッケン</t>
    </rPh>
    <rPh sb="4" eb="6">
      <t>ジョウホウ</t>
    </rPh>
    <rPh sb="7" eb="9">
      <t>ブッケン</t>
    </rPh>
    <rPh sb="9" eb="10">
      <t>メイ</t>
    </rPh>
    <phoneticPr fontId="3"/>
  </si>
  <si>
    <t>1.物件情報.物件カナ名</t>
    <rPh sb="2" eb="6">
      <t>ブッケンジョウホウ</t>
    </rPh>
    <rPh sb="7" eb="9">
      <t>ブッケン</t>
    </rPh>
    <rPh sb="11" eb="12">
      <t>メイ</t>
    </rPh>
    <phoneticPr fontId="3"/>
  </si>
  <si>
    <t>1.概算ヘッダ.概算コード</t>
    <rPh sb="2" eb="4">
      <t>ガイサン</t>
    </rPh>
    <rPh sb="8" eb="10">
      <t>ガイサン</t>
    </rPh>
    <phoneticPr fontId="3"/>
  </si>
  <si>
    <t>案件請求条件.案件ID＝1.案件ID</t>
    <rPh sb="0" eb="2">
      <t>アンケン</t>
    </rPh>
    <rPh sb="2" eb="4">
      <t>セイキュウ</t>
    </rPh>
    <rPh sb="4" eb="6">
      <t>ジョウケン</t>
    </rPh>
    <rPh sb="7" eb="9">
      <t>アンケン</t>
    </rPh>
    <rPh sb="14" eb="16">
      <t>アンケン</t>
    </rPh>
    <phoneticPr fontId="3"/>
  </si>
  <si>
    <t>3.案件請求条件.案件ID</t>
    <rPh sb="2" eb="8">
      <t>アンケンセイキュウジョウケン</t>
    </rPh>
    <rPh sb="9" eb="11">
      <t>アンケン</t>
    </rPh>
    <phoneticPr fontId="3"/>
  </si>
  <si>
    <t>3.案件請求条件.連番</t>
    <rPh sb="2" eb="8">
      <t>アンケンセイキュウジョウケン</t>
    </rPh>
    <rPh sb="9" eb="11">
      <t>レンバン</t>
    </rPh>
    <phoneticPr fontId="3"/>
  </si>
  <si>
    <t>3.案件請求条件.請求条件コード</t>
    <rPh sb="2" eb="8">
      <t>アンケンセイキュウジョウケン</t>
    </rPh>
    <rPh sb="9" eb="13">
      <t>セイキュウジョウケン</t>
    </rPh>
    <phoneticPr fontId="3"/>
  </si>
  <si>
    <t>3.案件請求条件.割合</t>
    <rPh sb="2" eb="8">
      <t>アンケンセイキュウジョウケン</t>
    </rPh>
    <rPh sb="9" eb="11">
      <t>ワリアイ</t>
    </rPh>
    <phoneticPr fontId="3"/>
  </si>
  <si>
    <t>3.案件請求条件.税抜請求金額</t>
    <rPh sb="2" eb="8">
      <t>アンケンセイキュウジョウケン</t>
    </rPh>
    <rPh sb="9" eb="11">
      <t>ゼイヌキ</t>
    </rPh>
    <rPh sb="11" eb="15">
      <t>セイキュウキンガク</t>
    </rPh>
    <phoneticPr fontId="3"/>
  </si>
  <si>
    <t>3.案件請求条件.消費税率ID</t>
    <rPh sb="2" eb="8">
      <t>アンケンセイキュウジョウケン</t>
    </rPh>
    <rPh sb="9" eb="12">
      <t>ショウヒゼイ</t>
    </rPh>
    <rPh sb="12" eb="13">
      <t>リツ</t>
    </rPh>
    <phoneticPr fontId="3"/>
  </si>
  <si>
    <t>3.案件請求条件.消費税金額</t>
    <rPh sb="2" eb="8">
      <t>アンケンセイキュウジョウケン</t>
    </rPh>
    <rPh sb="9" eb="14">
      <t>ショウヒゼイキンガク</t>
    </rPh>
    <phoneticPr fontId="3"/>
  </si>
  <si>
    <t>3.案件請求条件.税込請求金額</t>
    <rPh sb="2" eb="8">
      <t>アンケンセイキュウジョウケン</t>
    </rPh>
    <rPh sb="9" eb="11">
      <t>ゼイコミ</t>
    </rPh>
    <rPh sb="11" eb="15">
      <t>セイキュウキンガク</t>
    </rPh>
    <phoneticPr fontId="3"/>
  </si>
  <si>
    <t>4.現場棟明細.案件ID</t>
    <rPh sb="2" eb="5">
      <t>ゲンバトウ</t>
    </rPh>
    <rPh sb="5" eb="7">
      <t>メイサイ</t>
    </rPh>
    <rPh sb="8" eb="10">
      <t>アンケン</t>
    </rPh>
    <phoneticPr fontId="3"/>
  </si>
  <si>
    <t>4.現場棟明細.連番</t>
    <rPh sb="2" eb="7">
      <t>ゲンバトウメイサイ</t>
    </rPh>
    <rPh sb="8" eb="10">
      <t>レンバン</t>
    </rPh>
    <phoneticPr fontId="3"/>
  </si>
  <si>
    <t>4.現場棟明細.棟コード</t>
    <rPh sb="2" eb="4">
      <t>ゲンバ</t>
    </rPh>
    <rPh sb="4" eb="5">
      <t>トウ</t>
    </rPh>
    <rPh sb="5" eb="7">
      <t>メイサイ</t>
    </rPh>
    <rPh sb="8" eb="9">
      <t>トウ</t>
    </rPh>
    <phoneticPr fontId="3"/>
  </si>
  <si>
    <t>4.現場棟明細.棟番号工事名</t>
    <rPh sb="2" eb="7">
      <t>ゲンバトウメイサイ</t>
    </rPh>
    <rPh sb="8" eb="11">
      <t>トウバンゴウ</t>
    </rPh>
    <rPh sb="11" eb="14">
      <t>コウジメイ</t>
    </rPh>
    <phoneticPr fontId="3"/>
  </si>
  <si>
    <t>案件要望明細.案件ID＝1.案件ID
AND 削除フラグ=”0”（有効）</t>
    <rPh sb="0" eb="4">
      <t>アンケンヨウボウ</t>
    </rPh>
    <rPh sb="4" eb="6">
      <t>メイサイ</t>
    </rPh>
    <rPh sb="7" eb="9">
      <t>アンケン</t>
    </rPh>
    <rPh sb="14" eb="16">
      <t>アンケン</t>
    </rPh>
    <rPh sb="23" eb="25">
      <t>サクジョ</t>
    </rPh>
    <rPh sb="33" eb="35">
      <t>ユウコウ</t>
    </rPh>
    <phoneticPr fontId="3"/>
  </si>
  <si>
    <t>先行作業明細.案件ID＝1.案件ID
AND 削除フラグ=”0”（有効）</t>
    <rPh sb="0" eb="4">
      <t>センコウサギョウ</t>
    </rPh>
    <rPh sb="4" eb="6">
      <t>メイサイ</t>
    </rPh>
    <rPh sb="7" eb="9">
      <t>アンケン</t>
    </rPh>
    <rPh sb="14" eb="16">
      <t>アンケン</t>
    </rPh>
    <rPh sb="23" eb="25">
      <t>サクジョ</t>
    </rPh>
    <rPh sb="33" eb="35">
      <t>ユウコウ</t>
    </rPh>
    <phoneticPr fontId="3"/>
  </si>
  <si>
    <t>4.案件要望明細.案件ID</t>
    <rPh sb="2" eb="8">
      <t>アンケンヨウボウメイサイ</t>
    </rPh>
    <rPh sb="9" eb="11">
      <t>アンケン</t>
    </rPh>
    <phoneticPr fontId="3"/>
  </si>
  <si>
    <t>4.案件要望明細.連番</t>
    <rPh sb="2" eb="8">
      <t>アンケンヨウボウメイサイ</t>
    </rPh>
    <rPh sb="9" eb="11">
      <t>レンバン</t>
    </rPh>
    <phoneticPr fontId="3"/>
  </si>
  <si>
    <t>4.案件要望明細.要望発生年月日</t>
    <rPh sb="2" eb="6">
      <t>アンケンヨウボウ</t>
    </rPh>
    <rPh sb="6" eb="8">
      <t>メイサイ</t>
    </rPh>
    <rPh sb="9" eb="11">
      <t>ヨウボウ</t>
    </rPh>
    <rPh sb="11" eb="16">
      <t>ハッセイネンガッピ</t>
    </rPh>
    <phoneticPr fontId="3"/>
  </si>
  <si>
    <t>4.案件要望明細.要望内容</t>
    <rPh sb="2" eb="6">
      <t>アンケンヨウボウ</t>
    </rPh>
    <rPh sb="6" eb="8">
      <t>メイサイ</t>
    </rPh>
    <rPh sb="9" eb="13">
      <t>ヨウボウナイヨウ</t>
    </rPh>
    <phoneticPr fontId="3"/>
  </si>
  <si>
    <t>4.案件要望明細.要望回答内容</t>
    <rPh sb="2" eb="6">
      <t>アンケンヨウボウ</t>
    </rPh>
    <rPh sb="6" eb="8">
      <t>メイサイ</t>
    </rPh>
    <rPh sb="9" eb="11">
      <t>ヨウボウ</t>
    </rPh>
    <rPh sb="11" eb="13">
      <t>カイトウ</t>
    </rPh>
    <rPh sb="13" eb="15">
      <t>ナイヨウ</t>
    </rPh>
    <phoneticPr fontId="3"/>
  </si>
  <si>
    <t>先行作業明細リスト</t>
    <rPh sb="0" eb="4">
      <t>センコウサギョウ</t>
    </rPh>
    <rPh sb="4" eb="6">
      <t>メイサイ</t>
    </rPh>
    <phoneticPr fontId="3"/>
  </si>
  <si>
    <t>6.大工事情報.大工事コード</t>
    <rPh sb="2" eb="5">
      <t>ダイコウジ</t>
    </rPh>
    <rPh sb="5" eb="7">
      <t>ジョウホウ</t>
    </rPh>
    <rPh sb="8" eb="11">
      <t>ダイコウジ</t>
    </rPh>
    <phoneticPr fontId="3"/>
  </si>
  <si>
    <t>6.小工事情報.小工事コード</t>
    <rPh sb="2" eb="5">
      <t>ショウコウジ</t>
    </rPh>
    <rPh sb="5" eb="7">
      <t>ジョウホウ</t>
    </rPh>
    <rPh sb="8" eb="11">
      <t>ショウコウジ</t>
    </rPh>
    <phoneticPr fontId="3"/>
  </si>
  <si>
    <t>6.先行作業明細.計画概要</t>
    <rPh sb="2" eb="8">
      <t>センコウサギョウメイサイ</t>
    </rPh>
    <rPh sb="9" eb="13">
      <t>ケイカクガイヨウ</t>
    </rPh>
    <phoneticPr fontId="3"/>
  </si>
  <si>
    <t>6.先行作業明細.先行工事内容</t>
    <rPh sb="2" eb="8">
      <t>センコウサギョウメイサイ</t>
    </rPh>
    <rPh sb="9" eb="15">
      <t>センコウコウジナイヨウ</t>
    </rPh>
    <phoneticPr fontId="3"/>
  </si>
  <si>
    <t>6.先行作業明細.工事原価</t>
    <rPh sb="2" eb="8">
      <t>センコウサギョウメイサイ</t>
    </rPh>
    <rPh sb="9" eb="13">
      <t>コウジゲンカ</t>
    </rPh>
    <phoneticPr fontId="3"/>
  </si>
  <si>
    <t>6.先行作業明細.支払条件</t>
    <rPh sb="2" eb="8">
      <t>センコウサギョウメイサイ</t>
    </rPh>
    <rPh sb="9" eb="13">
      <t>シハライジョウケン</t>
    </rPh>
    <phoneticPr fontId="3"/>
  </si>
  <si>
    <t>6.先行作業明細.添付ファイルID</t>
    <rPh sb="2" eb="8">
      <t>センコウサギョウメイサイ</t>
    </rPh>
    <rPh sb="9" eb="11">
      <t>テンプ</t>
    </rPh>
    <phoneticPr fontId="3"/>
  </si>
  <si>
    <t>要望回答内容</t>
    <rPh sb="0" eb="2">
      <t>ヨウボウ</t>
    </rPh>
    <rPh sb="2" eb="4">
      <t>カイトウ</t>
    </rPh>
    <rPh sb="4" eb="6">
      <t>ナイヨウ</t>
    </rPh>
    <phoneticPr fontId="3"/>
  </si>
  <si>
    <t>工事工程区分リスト</t>
    <rPh sb="0" eb="2">
      <t>コウジ</t>
    </rPh>
    <rPh sb="2" eb="4">
      <t>コウテイ</t>
    </rPh>
    <rPh sb="4" eb="6">
      <t>クブン</t>
    </rPh>
    <phoneticPr fontId="3"/>
  </si>
  <si>
    <t>棟コード</t>
  </si>
  <si>
    <t>顧客支店コード</t>
  </si>
  <si>
    <t>地域コード</t>
  </si>
  <si>
    <t>現場区分</t>
  </si>
  <si>
    <t>精積算作成フラグ</t>
  </si>
  <si>
    <t>概算作成フラグ</t>
  </si>
  <si>
    <t>末尾に追加。</t>
    <rPh sb="0" eb="2">
      <t>マツビ</t>
    </rPh>
    <rPh sb="3" eb="5">
      <t>ツイカ</t>
    </rPh>
    <phoneticPr fontId="3"/>
  </si>
  <si>
    <t>案件ID</t>
  </si>
  <si>
    <t>連番</t>
  </si>
  <si>
    <t>先行作業明細ID</t>
  </si>
  <si>
    <t>大工事コード</t>
  </si>
  <si>
    <t>小工事コード</t>
  </si>
  <si>
    <t>工事連番</t>
  </si>
  <si>
    <t>精積算明細ID</t>
  </si>
  <si>
    <t>見積日</t>
  </si>
  <si>
    <t>計画概要</t>
  </si>
  <si>
    <t>先行工事内容</t>
  </si>
  <si>
    <t>工事原価</t>
  </si>
  <si>
    <t>支払条件</t>
  </si>
  <si>
    <t>その他</t>
  </si>
  <si>
    <t>添付ファイルID</t>
  </si>
  <si>
    <t>先行作業処理区分</t>
  </si>
  <si>
    <t>注文書ヘッダID</t>
  </si>
  <si>
    <t>案件名</t>
  </si>
  <si>
    <t>案件カナ名</t>
  </si>
  <si>
    <t>完了希望日</t>
  </si>
  <si>
    <t>営業部門ID</t>
  </si>
  <si>
    <t>設計業者名</t>
  </si>
  <si>
    <t>設計担当者名</t>
  </si>
  <si>
    <t>グリンサイトフラグ</t>
  </si>
  <si>
    <t>工事経費率</t>
  </si>
  <si>
    <t>工事経費金額</t>
  </si>
  <si>
    <t>販売管理費率</t>
  </si>
  <si>
    <t>販売管理費金額</t>
  </si>
  <si>
    <t>調整金額</t>
  </si>
  <si>
    <t>雇用保険率</t>
  </si>
  <si>
    <t>健康保険保険率</t>
  </si>
  <si>
    <t>介護保険率</t>
  </si>
  <si>
    <t>厚生年金率</t>
  </si>
  <si>
    <t>締日区分</t>
  </si>
  <si>
    <t>支払区分</t>
  </si>
  <si>
    <t>取得元データ</t>
    <rPh sb="0" eb="3">
      <t>シュトクモト</t>
    </rPh>
    <phoneticPr fontId="3"/>
  </si>
  <si>
    <t>請求条件コード</t>
  </si>
  <si>
    <t>割合</t>
  </si>
  <si>
    <t>税抜請求金額</t>
  </si>
  <si>
    <t>税込請求金額</t>
  </si>
  <si>
    <t>消費税率ID</t>
  </si>
  <si>
    <t>消費税金額</t>
  </si>
  <si>
    <t>要望発生年月日</t>
  </si>
  <si>
    <t>要望内容</t>
  </si>
  <si>
    <t>要望回答内容</t>
  </si>
  <si>
    <t>対象テーブル</t>
    <rPh sb="0" eb="2">
      <t>タイショウ</t>
    </rPh>
    <phoneticPr fontId="3"/>
  </si>
  <si>
    <t>概算情報</t>
    <rPh sb="0" eb="4">
      <t>ガイサンジョウホウ</t>
    </rPh>
    <phoneticPr fontId="3"/>
  </si>
  <si>
    <t>先行作業明細</t>
    <rPh sb="0" eb="6">
      <t>センコウサギョウメイサイ</t>
    </rPh>
    <phoneticPr fontId="3"/>
  </si>
  <si>
    <t>案件要望明細</t>
    <rPh sb="0" eb="6">
      <t>アンケンヨウボウメイサイ</t>
    </rPh>
    <phoneticPr fontId="3"/>
  </si>
  <si>
    <t>現場棟明細</t>
    <rPh sb="0" eb="5">
      <t>ゲンバトウメイサイ</t>
    </rPh>
    <phoneticPr fontId="3"/>
  </si>
  <si>
    <t>請求条件明細</t>
    <rPh sb="0" eb="6">
      <t>セイキュウジョウケンメイサイ</t>
    </rPh>
    <phoneticPr fontId="3"/>
  </si>
  <si>
    <t>”１”（最新）</t>
    <rPh sb="3" eb="5">
      <t>サイシン</t>
    </rPh>
    <phoneticPr fontId="3"/>
  </si>
  <si>
    <t>”0”（未作成）</t>
    <rPh sb="4" eb="7">
      <t>ミサクセイ</t>
    </rPh>
    <phoneticPr fontId="3"/>
  </si>
  <si>
    <t>”0”</t>
    <phoneticPr fontId="3"/>
  </si>
  <si>
    <t>”000”（本社）</t>
    <rPh sb="6" eb="8">
      <t>ホンシャ</t>
    </rPh>
    <phoneticPr fontId="3"/>
  </si>
  <si>
    <t>付帯工事コード</t>
  </si>
  <si>
    <t>精積算情報</t>
    <rPh sb="0" eb="5">
      <t>セイセキサンジョウホウ</t>
    </rPh>
    <phoneticPr fontId="3"/>
  </si>
  <si>
    <t>物件情報</t>
    <rPh sb="0" eb="4">
      <t>ブッケンジョウホウ</t>
    </rPh>
    <phoneticPr fontId="3"/>
  </si>
  <si>
    <t>現場情報</t>
    <rPh sb="0" eb="4">
      <t>ゲンバジョウホウ</t>
    </rPh>
    <phoneticPr fontId="3"/>
  </si>
  <si>
    <t>条件_2</t>
    <rPh sb="0" eb="2">
      <t>ジョウケン</t>
    </rPh>
    <phoneticPr fontId="3"/>
  </si>
  <si>
    <t>条件_3</t>
    <rPh sb="0" eb="2">
      <t>ジョウケン</t>
    </rPh>
    <phoneticPr fontId="3"/>
  </si>
  <si>
    <t>規格</t>
  </si>
  <si>
    <t>数量</t>
  </si>
  <si>
    <t>単価</t>
  </si>
  <si>
    <t>単位区分</t>
  </si>
  <si>
    <t>精積算金額</t>
  </si>
  <si>
    <t>業者見積No</t>
  </si>
  <si>
    <t>協力業者コード</t>
  </si>
  <si>
    <t>協力業者見積詳細ID</t>
  </si>
  <si>
    <t>実行予算ヘッダID</t>
  </si>
  <si>
    <t>目標予算金額</t>
  </si>
  <si>
    <t>増減合計金額</t>
  </si>
  <si>
    <t>予算申請日</t>
  </si>
  <si>
    <t>予算作成部門ID</t>
  </si>
  <si>
    <t>予算作成者コード</t>
  </si>
  <si>
    <t>実行予算合計金額</t>
  </si>
  <si>
    <t>精積算明細リスト</t>
    <rPh sb="0" eb="3">
      <t>セイセキサン</t>
    </rPh>
    <rPh sb="3" eb="5">
      <t>メイサイ</t>
    </rPh>
    <phoneticPr fontId="7"/>
  </si>
  <si>
    <t>実行予算ヘッダ情報</t>
    <rPh sb="0" eb="4">
      <t>ジッコウヨサン</t>
    </rPh>
    <rPh sb="7" eb="9">
      <t>ジョウホウ</t>
    </rPh>
    <phoneticPr fontId="3"/>
  </si>
  <si>
    <t>精積算合計金額</t>
    <rPh sb="0" eb="3">
      <t>セイセキサン</t>
    </rPh>
    <rPh sb="3" eb="7">
      <t>ゴウケイキンガク</t>
    </rPh>
    <phoneticPr fontId="3"/>
  </si>
  <si>
    <t>概算コード</t>
    <rPh sb="0" eb="2">
      <t>ガイサン</t>
    </rPh>
    <phoneticPr fontId="3"/>
  </si>
  <si>
    <t>Update値</t>
    <rPh sb="6" eb="7">
      <t>チ</t>
    </rPh>
    <phoneticPr fontId="3"/>
  </si>
  <si>
    <t>出来高登録日</t>
    <rPh sb="0" eb="6">
      <t>デキダカトウロクビ</t>
    </rPh>
    <phoneticPr fontId="3"/>
  </si>
  <si>
    <t>現場明細リストの末尾に追加。</t>
    <rPh sb="8" eb="10">
      <t>マツビ</t>
    </rPh>
    <rPh sb="11" eb="13">
      <t>ツイカ</t>
    </rPh>
    <phoneticPr fontId="3"/>
  </si>
  <si>
    <t>出来高シミュレーション情報</t>
    <rPh sb="0" eb="3">
      <t>デキダカ</t>
    </rPh>
    <rPh sb="11" eb="13">
      <t>ジョウホウ</t>
    </rPh>
    <phoneticPr fontId="3"/>
  </si>
  <si>
    <t>出来高シミュレーションID</t>
  </si>
  <si>
    <t>出来高シミュレーションID</t>
    <rPh sb="0" eb="3">
      <t>デキダカ</t>
    </rPh>
    <phoneticPr fontId="3"/>
  </si>
  <si>
    <t>メインTBL</t>
    <phoneticPr fontId="3"/>
  </si>
  <si>
    <t>出来高シミュレーション</t>
    <rPh sb="0" eb="3">
      <t>デキダカ</t>
    </rPh>
    <phoneticPr fontId="3"/>
  </si>
  <si>
    <t>実行予算ヘッダ</t>
    <rPh sb="0" eb="4">
      <t>ジッコウヨサン</t>
    </rPh>
    <phoneticPr fontId="3"/>
  </si>
  <si>
    <t>実行予算明細</t>
    <rPh sb="0" eb="4">
      <t>ジッコウヨサン</t>
    </rPh>
    <rPh sb="4" eb="6">
      <t>メイサイ</t>
    </rPh>
    <phoneticPr fontId="3"/>
  </si>
  <si>
    <t>グルーピング</t>
    <phoneticPr fontId="3"/>
  </si>
  <si>
    <t>OrderBy</t>
    <phoneticPr fontId="3"/>
  </si>
  <si>
    <t>実行予算明細合計リスト</t>
    <rPh sb="0" eb="4">
      <t>ジッコウヨサン</t>
    </rPh>
    <rPh sb="4" eb="6">
      <t>メイサイ</t>
    </rPh>
    <rPh sb="6" eb="8">
      <t>ゴウケイ</t>
    </rPh>
    <phoneticPr fontId="3"/>
  </si>
  <si>
    <t>該当工期開始年月</t>
  </si>
  <si>
    <t>該当工期終了年月</t>
  </si>
  <si>
    <t>メッセージId</t>
  </si>
  <si>
    <t>K00003</t>
    <phoneticPr fontId="3"/>
  </si>
  <si>
    <t>メッセージ</t>
    <phoneticPr fontId="3"/>
  </si>
  <si>
    <t>保存が正常に完了しました。</t>
    <rPh sb="0" eb="2">
      <t>ホゾン</t>
    </rPh>
    <rPh sb="3" eb="5">
      <t>セイジョウ</t>
    </rPh>
    <rPh sb="6" eb="8">
      <t>カンリョウ</t>
    </rPh>
    <phoneticPr fontId="3"/>
  </si>
  <si>
    <t>顧客支店コード</t>
    <rPh sb="2" eb="4">
      <t>シテン</t>
    </rPh>
    <phoneticPr fontId="3"/>
  </si>
  <si>
    <t>1.顧客情報.顧客支店コード</t>
    <rPh sb="2" eb="6">
      <t>コキャクジョウホウ</t>
    </rPh>
    <rPh sb="7" eb="9">
      <t>コキャク</t>
    </rPh>
    <rPh sb="9" eb="11">
      <t>シテン</t>
    </rPh>
    <phoneticPr fontId="3"/>
  </si>
  <si>
    <t>1.顧客情報.顧客住所1</t>
    <rPh sb="2" eb="4">
      <t>コキャク</t>
    </rPh>
    <rPh sb="4" eb="6">
      <t>ジョウホウ</t>
    </rPh>
    <rPh sb="7" eb="11">
      <t>コキャクジュウショ</t>
    </rPh>
    <phoneticPr fontId="3"/>
  </si>
  <si>
    <t>1.顧客情報.顧客住所2</t>
    <rPh sb="2" eb="4">
      <t>コキャク</t>
    </rPh>
    <rPh sb="4" eb="6">
      <t>ジョウホウ</t>
    </rPh>
    <rPh sb="7" eb="11">
      <t>コキャクジュウショ</t>
    </rPh>
    <phoneticPr fontId="3"/>
  </si>
  <si>
    <t>完了希望日</t>
    <rPh sb="0" eb="5">
      <t>カンリョウキボウビ</t>
    </rPh>
    <phoneticPr fontId="3"/>
  </si>
  <si>
    <t>1.案件情報.完了希望日</t>
    <rPh sb="2" eb="6">
      <t>アンケンジョウホウ</t>
    </rPh>
    <rPh sb="7" eb="12">
      <t>カンリョウキボウビ</t>
    </rPh>
    <phoneticPr fontId="3"/>
  </si>
  <si>
    <t>営業部門コード</t>
    <phoneticPr fontId="3"/>
  </si>
  <si>
    <t>営業管理職氏名</t>
    <rPh sb="5" eb="6">
      <t>シ</t>
    </rPh>
    <rPh sb="6" eb="7">
      <t>メイ</t>
    </rPh>
    <phoneticPr fontId="7"/>
  </si>
  <si>
    <t>1.営業管理職.従業員氏名</t>
    <rPh sb="2" eb="7">
      <t>エイギョウカンリショク</t>
    </rPh>
    <rPh sb="8" eb="13">
      <t>ジュウギョウインシメイ</t>
    </rPh>
    <phoneticPr fontId="3"/>
  </si>
  <si>
    <t>1.営業担当者.従業員氏名</t>
    <rPh sb="2" eb="7">
      <t>エイギョウタントウシャ</t>
    </rPh>
    <rPh sb="8" eb="13">
      <t>ジュウギョウインシメイ</t>
    </rPh>
    <phoneticPr fontId="3"/>
  </si>
  <si>
    <t>案件区分名</t>
    <rPh sb="4" eb="5">
      <t>メイ</t>
    </rPh>
    <phoneticPr fontId="3"/>
  </si>
  <si>
    <t>官民区分名</t>
    <rPh sb="4" eb="5">
      <t>メイ</t>
    </rPh>
    <phoneticPr fontId="3"/>
  </si>
  <si>
    <t>メインテーブル</t>
    <phoneticPr fontId="3"/>
  </si>
  <si>
    <t>物件情報.案件コード</t>
    <rPh sb="0" eb="4">
      <t>ブッケンジョウホウ</t>
    </rPh>
    <rPh sb="5" eb="7">
      <t>アンケン</t>
    </rPh>
    <phoneticPr fontId="3"/>
  </si>
  <si>
    <t>LEFT JOIN 現場情報</t>
    <rPh sb="10" eb="14">
      <t>ゲンバジョウホウ</t>
    </rPh>
    <phoneticPr fontId="3"/>
  </si>
  <si>
    <t>現場情報.物件ID</t>
    <rPh sb="0" eb="4">
      <t>ゲンバジョウホウ</t>
    </rPh>
    <rPh sb="5" eb="7">
      <t>ブッケン</t>
    </rPh>
    <phoneticPr fontId="3"/>
  </si>
  <si>
    <t>物件情報.物件ID</t>
    <rPh sb="0" eb="4">
      <t>ブッケンジョウホウ</t>
    </rPh>
    <rPh sb="5" eb="7">
      <t>ブッケン</t>
    </rPh>
    <phoneticPr fontId="3"/>
  </si>
  <si>
    <t>LEFT JOIN 概算ヘッダ</t>
    <rPh sb="10" eb="12">
      <t>ガイサン</t>
    </rPh>
    <phoneticPr fontId="3"/>
  </si>
  <si>
    <t>概算ヘッダ.案件コード</t>
    <rPh sb="0" eb="2">
      <t>ガイサン</t>
    </rPh>
    <rPh sb="6" eb="8">
      <t>アンケン</t>
    </rPh>
    <phoneticPr fontId="3"/>
  </si>
  <si>
    <t>3.案件請求条件.棟コード</t>
    <rPh sb="2" eb="8">
      <t>アンケンセイキュウジョウケン</t>
    </rPh>
    <rPh sb="9" eb="10">
      <t>トウ</t>
    </rPh>
    <phoneticPr fontId="3"/>
  </si>
  <si>
    <t>3.請求条件情報.請求条件名</t>
    <rPh sb="2" eb="6">
      <t>セイキュウジョウケン</t>
    </rPh>
    <rPh sb="6" eb="8">
      <t>ジョウホウ</t>
    </rPh>
    <rPh sb="9" eb="14">
      <t>セイキュウジョウケンメイ</t>
    </rPh>
    <phoneticPr fontId="3"/>
  </si>
  <si>
    <t>3.消費税率情報.消費税率</t>
    <rPh sb="2" eb="8">
      <t>ショウヒゼイリツジョウホウ</t>
    </rPh>
    <rPh sb="9" eb="13">
      <t>ショウヒゼイリツ</t>
    </rPh>
    <phoneticPr fontId="3"/>
  </si>
  <si>
    <t>LEFT JOIN 請求条件情報
請求条件情報.請求条件コード＝案件請求条件.請求条件コード
LEFT JOIN 消費税率情報
消費税率情報.消費税率ID＝案件請求条件.消費税率ID
AND消費税率情報.適用開始日＜サーバ.システム日付
AND消費税率情報.適用終了日＞サーバ.システム日付</t>
    <rPh sb="0" eb="2">
      <t>アンケン</t>
    </rPh>
    <rPh sb="2" eb="6">
      <t>セイキュウジョウホウ</t>
    </rPh>
    <rPh sb="7" eb="9">
      <t>アンケン</t>
    </rPh>
    <rPh sb="10" eb="16">
      <t>セイキュウジョウケンジョウホウ</t>
    </rPh>
    <rPh sb="17" eb="23">
      <t>セイキュウジョウケンジョウホウ</t>
    </rPh>
    <rPh sb="24" eb="28">
      <t>セイキュウジョウケン</t>
    </rPh>
    <rPh sb="32" eb="36">
      <t>アンケンセイキュウ</t>
    </rPh>
    <rPh sb="36" eb="38">
      <t>ジョウケン</t>
    </rPh>
    <rPh sb="39" eb="43">
      <t>セイキュウジョウケン</t>
    </rPh>
    <rPh sb="57" eb="61">
      <t>ショウヒゼイリツ</t>
    </rPh>
    <rPh sb="61" eb="63">
      <t>ジョウホウ</t>
    </rPh>
    <rPh sb="64" eb="68">
      <t>ショウヒゼイリツ</t>
    </rPh>
    <rPh sb="68" eb="70">
      <t>ジョウホウ</t>
    </rPh>
    <rPh sb="71" eb="75">
      <t>ショウヒゼイリツ</t>
    </rPh>
    <rPh sb="78" eb="84">
      <t>アンケンセイキュウジョウケン</t>
    </rPh>
    <rPh sb="85" eb="89">
      <t>ショウヒゼイリツ</t>
    </rPh>
    <rPh sb="95" eb="99">
      <t>ショウヒゼイリツ</t>
    </rPh>
    <rPh sb="99" eb="101">
      <t>ジョウホウ</t>
    </rPh>
    <rPh sb="102" eb="107">
      <t>テキヨウカイシビ</t>
    </rPh>
    <rPh sb="116" eb="118">
      <t>ヒヅケ</t>
    </rPh>
    <rPh sb="122" eb="128">
      <t>ショウヒゼイリツジョウホウ</t>
    </rPh>
    <rPh sb="129" eb="134">
      <t>テキヨウシュウリョウビ</t>
    </rPh>
    <rPh sb="143" eb="145">
      <t>ヒヅケ</t>
    </rPh>
    <phoneticPr fontId="3"/>
  </si>
  <si>
    <t>工事連番</t>
    <rPh sb="0" eb="4">
      <t>コウジレンバン</t>
    </rPh>
    <phoneticPr fontId="3"/>
  </si>
  <si>
    <t>6.単価情報.工事連番</t>
    <rPh sb="2" eb="6">
      <t>タンカジョウホウ</t>
    </rPh>
    <rPh sb="7" eb="11">
      <t>コウジレンバン</t>
    </rPh>
    <phoneticPr fontId="3"/>
  </si>
  <si>
    <t>6.先行作業明細.精積算明細ID</t>
    <rPh sb="2" eb="8">
      <t>センコウサギョウメイサイ</t>
    </rPh>
    <rPh sb="9" eb="12">
      <t>セイセキサン</t>
    </rPh>
    <rPh sb="12" eb="14">
      <t>メイサイ</t>
    </rPh>
    <phoneticPr fontId="3"/>
  </si>
  <si>
    <t>先行工事作業処理区分</t>
    <rPh sb="0" eb="4">
      <t>センコウコウジ</t>
    </rPh>
    <rPh sb="4" eb="8">
      <t>サギョウショリ</t>
    </rPh>
    <rPh sb="8" eb="10">
      <t>クブン</t>
    </rPh>
    <phoneticPr fontId="3"/>
  </si>
  <si>
    <t>注文書ヘッダID</t>
    <rPh sb="0" eb="3">
      <t>チュウモンショ</t>
    </rPh>
    <phoneticPr fontId="3"/>
  </si>
  <si>
    <t>6.先行作業明細.注文書ヘッダID</t>
    <rPh sb="2" eb="8">
      <t>センコウサギョウメイサイ</t>
    </rPh>
    <rPh sb="9" eb="12">
      <t>チュウモンショ</t>
    </rPh>
    <phoneticPr fontId="3"/>
  </si>
  <si>
    <t>6.先行作業明細.先行工事作業処理区分</t>
    <rPh sb="2" eb="8">
      <t>センコウサギョウメイサイ</t>
    </rPh>
    <rPh sb="9" eb="11">
      <t>センコウ</t>
    </rPh>
    <rPh sb="11" eb="13">
      <t>コウジ</t>
    </rPh>
    <rPh sb="13" eb="15">
      <t>サギョウ</t>
    </rPh>
    <rPh sb="15" eb="17">
      <t>ショリ</t>
    </rPh>
    <rPh sb="17" eb="19">
      <t>クブン</t>
    </rPh>
    <phoneticPr fontId="3"/>
  </si>
  <si>
    <t>7.注文書ヘッダ.注文書№</t>
    <rPh sb="2" eb="5">
      <t>チュウモンショ</t>
    </rPh>
    <rPh sb="9" eb="12">
      <t>チュウモンショ</t>
    </rPh>
    <phoneticPr fontId="3"/>
  </si>
  <si>
    <t>"案件ID","example案件ID"</t>
  </si>
  <si>
    <t>"案件コード","example案件コード"</t>
  </si>
  <si>
    <t>"案件枝コード","example案件枝コード"</t>
  </si>
  <si>
    <t>"案件名","example案件名"</t>
  </si>
  <si>
    <t>"案件カナ名","example案件カナ名"</t>
  </si>
  <si>
    <t>"受注状態コード","example受注状態コード"</t>
  </si>
  <si>
    <t>"受注状態","example受注状態"</t>
  </si>
  <si>
    <t>"顧客支店コード","example顧客支店コード"</t>
  </si>
  <si>
    <t>"顧客名","example顧客名"</t>
  </si>
  <si>
    <t>"想定金額","example想定金額"</t>
  </si>
  <si>
    <t>"顧客郵便番号","example顧客郵便番号"</t>
  </si>
  <si>
    <t>"顧客住所１","example顧客住所１"</t>
  </si>
  <si>
    <t>"顧客住所２","example顧客住所２"</t>
  </si>
  <si>
    <t>"郵便番号","example郵便番号"</t>
  </si>
  <si>
    <t>"現場住所１","example現場住所１"</t>
  </si>
  <si>
    <t>"現場住所２","example現場住所２"</t>
  </si>
  <si>
    <t>"受注見込日","example受注見込日"</t>
  </si>
  <si>
    <t>"着工希望日","example着工希望日"</t>
  </si>
  <si>
    <t>"完了希望日","example完了希望日"</t>
  </si>
  <si>
    <t>"営業部門コード","example営業部門コード"</t>
  </si>
  <si>
    <t>"営業部門名","example営業部門名"</t>
  </si>
  <si>
    <t>"営業管理職コード","example営業管理職コード"</t>
  </si>
  <si>
    <t>"営業管理職氏名","example営業管理職氏名"</t>
  </si>
  <si>
    <t>"営業担当者コード","example営業担当者コード"</t>
  </si>
  <si>
    <t>"営業担当者氏名","example営業担当者氏名"</t>
  </si>
  <si>
    <t>"進捗度コード","example進捗度コード"</t>
  </si>
  <si>
    <t>"進捗度","example進捗度"</t>
  </si>
  <si>
    <t>"案件区分","example案件区分"</t>
  </si>
  <si>
    <t>"案件区分名","example案件区分名"</t>
  </si>
  <si>
    <t>"官民区分","example官民区分"</t>
  </si>
  <si>
    <t>"官民区分名","example官民区分名"</t>
  </si>
  <si>
    <t>"見積提出期限","example見積提出期限"</t>
  </si>
  <si>
    <t>"敷地面積","example敷地面積"</t>
  </si>
  <si>
    <t>"建築面積","example建築面積"</t>
  </si>
  <si>
    <t>"延床面積","example延床面積"</t>
  </si>
  <si>
    <t>"施工床面積","example施工床面積"</t>
  </si>
  <si>
    <t>"専有面積","example専有面積"</t>
  </si>
  <si>
    <t>"施工面積","example施工面積"</t>
  </si>
  <si>
    <t>"戸数","example戸数"</t>
  </si>
  <si>
    <t>"階数（地上）","example階数（地上）"</t>
  </si>
  <si>
    <t>"階数（地下）","example階数（地下）"</t>
  </si>
  <si>
    <t>"工事経費率","example工事経費率"</t>
  </si>
  <si>
    <t>"工事経費金額","example工事経費金額"</t>
  </si>
  <si>
    <t>"販売管理費率","example販売管理費率"</t>
  </si>
  <si>
    <t>"販売管理費金額","example販売管理費金額"</t>
  </si>
  <si>
    <t>"調整金額","example調整金額"</t>
  </si>
  <si>
    <t>"雇用保険率","example雇用保険率"</t>
  </si>
  <si>
    <t>"健康保険保険率","example健康保険保険率"</t>
  </si>
  <si>
    <t>"介護保険率","example介護保険率"</t>
  </si>
  <si>
    <t>"厚生年金率","example厚生年金率"</t>
  </si>
  <si>
    <t>"締日区分","example締日区分"</t>
  </si>
  <si>
    <t>"締日","example締日"</t>
  </si>
  <si>
    <t>"支払区分","example支払区分"</t>
  </si>
  <si>
    <t>"支払日","example支払日"</t>
  </si>
  <si>
    <t>"不成約理由","example不成約理由"</t>
  </si>
  <si>
    <t>"対象現場コード","example対象現場コード"</t>
  </si>
  <si>
    <t>"現場名","example現場名"</t>
  </si>
  <si>
    <t>"物件コード","example物件コード"</t>
  </si>
  <si>
    <t>"物件名","example物件名"</t>
  </si>
  <si>
    <t>"物件カナ名","example物件カナ名"</t>
  </si>
  <si>
    <t>"概算コード","example概算コード"</t>
  </si>
  <si>
    <t>"連番","example連番"</t>
  </si>
  <si>
    <t>"棟コード","example棟コード"</t>
  </si>
  <si>
    <t>"請求条件コード","example請求条件コード"</t>
  </si>
  <si>
    <t>"請求条件区分名","example請求条件区分名"</t>
  </si>
  <si>
    <t>"割合","example割合"</t>
  </si>
  <si>
    <t>"請求金額","example請求金額"</t>
  </si>
  <si>
    <t>"消費税率区分","example消費税率区分"</t>
  </si>
  <si>
    <t>"消費税率","example消費税率"</t>
  </si>
  <si>
    <t>"消費税金額","example消費税金額"</t>
  </si>
  <si>
    <t>"合計金額","example合計金額"</t>
  </si>
  <si>
    <t>"大工事コード","example大工事コード"</t>
  </si>
  <si>
    <t>"大工事名","example大工事名"</t>
  </si>
  <si>
    <t>"小工事コード","example小工事コード"</t>
  </si>
  <si>
    <t>"小工事名","example小工事名"</t>
  </si>
  <si>
    <t>"工事連番","example工事連番"</t>
  </si>
  <si>
    <t>"精積算明細ID","example精積算明細ID"</t>
  </si>
  <si>
    <t>"計画概要","example計画概要"</t>
  </si>
  <si>
    <t>"見積日付","example見積日付"</t>
  </si>
  <si>
    <t>"先行工事内容","example先行工事内容"</t>
  </si>
  <si>
    <t>"工事原価","example工事原価"</t>
  </si>
  <si>
    <t>"支払条件","example支払条件"</t>
  </si>
  <si>
    <t>"添付ファイルID","example添付ファイルID"</t>
  </si>
  <si>
    <t>"先行工事作業処理区分","example先行工事作業処理区分"</t>
  </si>
  <si>
    <t>"注文書ヘッダID","example注文書ヘッダID"</t>
  </si>
  <si>
    <t>"注文書№","example注文書№"</t>
  </si>
  <si>
    <t>"協力業者コード","example協力業者コード"</t>
  </si>
  <si>
    <t>"協力業者名","example協力業者名"</t>
  </si>
  <si>
    <t>"数量","example数量"</t>
  </si>
  <si>
    <t>"発注金額","example発注金額"</t>
  </si>
  <si>
    <t>"先行作業発注情報明細": [</t>
    <rPh sb="1" eb="5">
      <t>センコウサギョウ</t>
    </rPh>
    <rPh sb="5" eb="11">
      <t>ハッチュウジョウホウメイサイ</t>
    </rPh>
    <phoneticPr fontId="3"/>
  </si>
  <si>
    <t>LEFT JOIN 単価情報
先行作業明細.単価ID＝単価情報.単価ID
LEFT JOIN 大工事情報
単価情報.大工事コード = 大工事情報.大工事コード
LEFT JOIN 小工事情報
単価情報.大工事コード = 小工事情報.大工事コード
単価情報.小工事コード = 小工事情報.小工事コード
LEFT JOIN 添付ファイル情報
添付ファイル情報.添付ファイルID＝先行作業明細.添付ファイルID</t>
    <rPh sb="10" eb="12">
      <t>タンカ</t>
    </rPh>
    <rPh sb="12" eb="14">
      <t>ジョウホウ</t>
    </rPh>
    <rPh sb="22" eb="24">
      <t>タンカ</t>
    </rPh>
    <rPh sb="27" eb="31">
      <t>タンカジョウホウ</t>
    </rPh>
    <rPh sb="32" eb="34">
      <t>タンカ</t>
    </rPh>
    <rPh sb="47" eb="48">
      <t>ダイ</t>
    </rPh>
    <rPh sb="160" eb="162">
      <t>テンプ</t>
    </rPh>
    <rPh sb="166" eb="168">
      <t>ジョウホウ</t>
    </rPh>
    <rPh sb="169" eb="171">
      <t>テンプ</t>
    </rPh>
    <rPh sb="175" eb="177">
      <t>ジョウホウ</t>
    </rPh>
    <rPh sb="178" eb="180">
      <t>テンプ</t>
    </rPh>
    <rPh sb="187" eb="193">
      <t>センコウサギョウメイサイ</t>
    </rPh>
    <rPh sb="194" eb="196">
      <t>テンプ</t>
    </rPh>
    <phoneticPr fontId="3"/>
  </si>
  <si>
    <t>ファイル保存パス</t>
    <rPh sb="4" eb="6">
      <t>ホゾン</t>
    </rPh>
    <phoneticPr fontId="3"/>
  </si>
  <si>
    <t>ファイル名</t>
    <rPh sb="4" eb="5">
      <t>メイ</t>
    </rPh>
    <phoneticPr fontId="3"/>
  </si>
  <si>
    <t>ファイル拡張子</t>
    <rPh sb="4" eb="7">
      <t>カクチョウシ</t>
    </rPh>
    <phoneticPr fontId="3"/>
  </si>
  <si>
    <t>ファイルサイズ</t>
    <phoneticPr fontId="3"/>
  </si>
  <si>
    <t>6.添付ファイル情報.先行工事作業処理区分</t>
    <rPh sb="2" eb="4">
      <t>テンプ</t>
    </rPh>
    <rPh sb="8" eb="10">
      <t>ジョウホウ</t>
    </rPh>
    <rPh sb="11" eb="13">
      <t>センコウ</t>
    </rPh>
    <rPh sb="13" eb="15">
      <t>コウジ</t>
    </rPh>
    <rPh sb="15" eb="17">
      <t>サギョウ</t>
    </rPh>
    <rPh sb="17" eb="19">
      <t>ショリ</t>
    </rPh>
    <rPh sb="19" eb="21">
      <t>クブン</t>
    </rPh>
    <phoneticPr fontId="3"/>
  </si>
  <si>
    <t>INNER JOIN 顧客情報
顧客情報.顧客コード＝案件情報.案件コード
INNER JOIN 組織情報 営業組織
組織情報.組織コード= 案件情報.営業部門ID
LEFT JOIN 従業員情報 営業管理職
従業員情報,従業員コード=案件情報.営業管理職コード
LEFT JOIN 従業員情報 営業担当者
従業員情報.従業員コード=案件情報.営業担当者コード
LEFT JOIN 項目リスト設定 受注状態
項目リスト設定.項目分類コード＝”D0001”（受注状態）
LEFT JOIN 項目リスト設定 進捗度
項目リスト設定.項目分類コード＝”D0003”（進捗度）
LEFT JOIN 項目リスト設定 案件区分
項目リスト設定.項目分類コード＝”D0002”（受注状態）
LEFT JOIN 項目リスト設定 官民区分
項目リスト設定.項目分類コード＝”D0006”（官民区分）
LEFT JOIN 項目リスト設定 支払日区分
項目リスト設定.項目分類コード＝”D0007”（支払日区分）</t>
    <rPh sb="11" eb="15">
      <t>コキャクジョウホウ</t>
    </rPh>
    <rPh sb="16" eb="20">
      <t>コキャクジョウホウ</t>
    </rPh>
    <rPh sb="21" eb="23">
      <t>コキャク</t>
    </rPh>
    <rPh sb="27" eb="31">
      <t>アンケンジョウホウ</t>
    </rPh>
    <rPh sb="32" eb="34">
      <t>アンケン</t>
    </rPh>
    <rPh sb="49" eb="51">
      <t>ソシキ</t>
    </rPh>
    <rPh sb="51" eb="53">
      <t>ジョウホウ</t>
    </rPh>
    <rPh sb="54" eb="58">
      <t>エイギョウソシキ</t>
    </rPh>
    <rPh sb="59" eb="63">
      <t>ソシキジョウホウ</t>
    </rPh>
    <rPh sb="64" eb="66">
      <t>ソシキ</t>
    </rPh>
    <rPh sb="71" eb="75">
      <t>アンケンジョウホウ</t>
    </rPh>
    <rPh sb="76" eb="80">
      <t>エイギョウブモン</t>
    </rPh>
    <rPh sb="93" eb="96">
      <t>ジュウギョウイン</t>
    </rPh>
    <rPh sb="96" eb="98">
      <t>ジョウホウ</t>
    </rPh>
    <rPh sb="99" eb="104">
      <t>エイギョウカンリショク</t>
    </rPh>
    <rPh sb="105" eb="110">
      <t>ジュウギョウインジョウホウ</t>
    </rPh>
    <rPh sb="111" eb="114">
      <t>ジュウギョウイン</t>
    </rPh>
    <rPh sb="118" eb="122">
      <t>アンケンジョウホウ</t>
    </rPh>
    <rPh sb="123" eb="128">
      <t>エイギョウカンリショク</t>
    </rPh>
    <rPh sb="142" eb="147">
      <t>ジュウギョウインジョウホウ</t>
    </rPh>
    <rPh sb="148" eb="150">
      <t>エイギョウ</t>
    </rPh>
    <rPh sb="150" eb="153">
      <t>タントウシャ</t>
    </rPh>
    <rPh sb="154" eb="159">
      <t>ジュウギョウインジョウホウ</t>
    </rPh>
    <rPh sb="160" eb="163">
      <t>ジュウギョウイン</t>
    </rPh>
    <rPh sb="167" eb="171">
      <t>アンケンジョウホウ</t>
    </rPh>
    <rPh sb="172" eb="177">
      <t>エイギョウタントウシャ</t>
    </rPh>
    <rPh sb="191" eb="193">
      <t>コウモク</t>
    </rPh>
    <rPh sb="196" eb="198">
      <t>セッテイ</t>
    </rPh>
    <rPh sb="199" eb="203">
      <t>ジュチュウジョウタイ</t>
    </rPh>
    <rPh sb="204" eb="206">
      <t>コウモク</t>
    </rPh>
    <rPh sb="209" eb="211">
      <t>セッテイ</t>
    </rPh>
    <rPh sb="212" eb="216">
      <t>コウモクブンルイ</t>
    </rPh>
    <rPh sb="228" eb="232">
      <t>ジュチュウジョウタイ</t>
    </rPh>
    <rPh sb="252" eb="255">
      <t>シンチョクド</t>
    </rPh>
    <rPh sb="280" eb="283">
      <t>シンチョクド</t>
    </rPh>
    <rPh sb="303" eb="307">
      <t>アンケンクブン</t>
    </rPh>
    <rPh sb="356" eb="360">
      <t>カンミンクブン</t>
    </rPh>
    <rPh sb="385" eb="389">
      <t>カンミンクブン</t>
    </rPh>
    <phoneticPr fontId="3"/>
  </si>
  <si>
    <t>⇐2025/6/9 №138対応、締日を手入力にするため、締日区分を削除</t>
    <rPh sb="14" eb="16">
      <t>タイオウ</t>
    </rPh>
    <rPh sb="17" eb="19">
      <t>シメビ</t>
    </rPh>
    <rPh sb="20" eb="23">
      <t>テニュウリョク</t>
    </rPh>
    <rPh sb="29" eb="33">
      <t>シメビクブン</t>
    </rPh>
    <rPh sb="34" eb="36">
      <t>サクジョ</t>
    </rPh>
    <phoneticPr fontId="3"/>
  </si>
  <si>
    <t>1.案件情報.締日区分</t>
    <phoneticPr fontId="3"/>
  </si>
  <si>
    <t>支払区分名</t>
    <rPh sb="4" eb="5">
      <t>メイ</t>
    </rPh>
    <phoneticPr fontId="3"/>
  </si>
  <si>
    <t>⇐2025/6/9　№138対応 締日、支払日は手入力で支払区分は区分取得に変更</t>
    <rPh sb="14" eb="16">
      <t>タイオウ</t>
    </rPh>
    <rPh sb="17" eb="19">
      <t>シメビ</t>
    </rPh>
    <rPh sb="20" eb="23">
      <t>シハライビ</t>
    </rPh>
    <rPh sb="24" eb="27">
      <t>テニュウリョク</t>
    </rPh>
    <rPh sb="28" eb="32">
      <t>シハライクブン</t>
    </rPh>
    <rPh sb="33" eb="35">
      <t>クブン</t>
    </rPh>
    <rPh sb="35" eb="37">
      <t>シュトク</t>
    </rPh>
    <rPh sb="38" eb="40">
      <t>ヘンコウ</t>
    </rPh>
    <phoneticPr fontId="3"/>
  </si>
  <si>
    <t>サブクエリ</t>
    <phoneticPr fontId="3"/>
  </si>
  <si>
    <t>WITH 明細最小連番 AS (	
SELECT	
注文書明細.注文書明細ID
注文書明細.連番
注文書明細.大工事コード
注文書明細.小工事コード
注文書明細.数量	
    ROW_NUMBER() OVER (	
      PARTITION BY 注文書明細.注文書ヘッダID	
      ORDER BY 注文書明細.連番 ASC	
    ) AS 連番	
  FROM 注文書明細
）</t>
    <rPh sb="26" eb="31">
      <t>チュウモンショメイサイ</t>
    </rPh>
    <rPh sb="32" eb="35">
      <t>チュウモンショ</t>
    </rPh>
    <rPh sb="35" eb="37">
      <t>メイサイ</t>
    </rPh>
    <rPh sb="46" eb="48">
      <t>レンバン</t>
    </rPh>
    <rPh sb="55" eb="58">
      <t>ダイコウジ</t>
    </rPh>
    <rPh sb="68" eb="71">
      <t>ショウコウジ</t>
    </rPh>
    <rPh sb="81" eb="83">
      <t>スウリョウ</t>
    </rPh>
    <rPh sb="129" eb="132">
      <t>チュウモンショ</t>
    </rPh>
    <rPh sb="132" eb="134">
      <t>メイサイ</t>
    </rPh>
    <rPh sb="160" eb="163">
      <t>チュウモンショ</t>
    </rPh>
    <rPh sb="163" eb="165">
      <t>メイサイ</t>
    </rPh>
    <rPh sb="183" eb="185">
      <t>レンバン</t>
    </rPh>
    <phoneticPr fontId="3"/>
  </si>
  <si>
    <t>←2025/6/17　№77対応</t>
    <rPh sb="14" eb="16">
      <t>タイオウ</t>
    </rPh>
    <phoneticPr fontId="3"/>
  </si>
  <si>
    <t>明細最小連番</t>
    <rPh sb="0" eb="2">
      <t>メイサイ</t>
    </rPh>
    <rPh sb="2" eb="4">
      <t>サイショウ</t>
    </rPh>
    <rPh sb="4" eb="6">
      <t>レンバン</t>
    </rPh>
    <phoneticPr fontId="3"/>
  </si>
  <si>
    <t>連番＝1
AND 案件ID＝1-2.案件ID</t>
    <rPh sb="0" eb="2">
      <t>レンバン</t>
    </rPh>
    <rPh sb="9" eb="11">
      <t>アンケン</t>
    </rPh>
    <rPh sb="18" eb="20">
      <t>アンケン</t>
    </rPh>
    <phoneticPr fontId="3"/>
  </si>
  <si>
    <t>LEFT JOIN 注文書ヘッダ
ON 注文書ヘッダ.注文書ヘッダID = 明細最小連番.注文書ヘッダID
LEFT JOIN 協力業者情報 
ON 業者情報.協力業者コード = 注文書ヘッダ.協力業者コード
LEFT JOIN 大工事情報 
ON 大工事情報.大工事コード = 明細最小連番.大工事コード
LEFTJOIN 小工事情報
ON 小工事情報.大工事コード = 明細最小連番.大工事コード 
AND 小工事情報.小工事コード = 明細最小連番.小工事コード</t>
    <rPh sb="20" eb="23">
      <t>チュウモンショ</t>
    </rPh>
    <rPh sb="38" eb="40">
      <t>メイサイ</t>
    </rPh>
    <rPh sb="40" eb="42">
      <t>サイショウ</t>
    </rPh>
    <rPh sb="42" eb="44">
      <t>レンバン</t>
    </rPh>
    <rPh sb="75" eb="79">
      <t>ギョウシャジョウホウ</t>
    </rPh>
    <rPh sb="90" eb="93">
      <t>チュウモンショ</t>
    </rPh>
    <rPh sb="125" eb="130">
      <t>ダイコウジジョウホウ</t>
    </rPh>
    <rPh sb="140" eb="146">
      <t>メイサイサイショウレンバン</t>
    </rPh>
    <rPh sb="172" eb="177">
      <t>ショウコウジジョウホウ</t>
    </rPh>
    <rPh sb="187" eb="193">
      <t>メイサイサイショウレンバン</t>
    </rPh>
    <rPh sb="206" eb="211">
      <t>ショウコウジジョウホウ</t>
    </rPh>
    <rPh sb="221" eb="227">
      <t>メイサイサイショウレンバン</t>
    </rPh>
    <phoneticPr fontId="3"/>
  </si>
  <si>
    <t>7.小工事情報.小工事名</t>
    <rPh sb="2" eb="5">
      <t>ショウコウジ</t>
    </rPh>
    <rPh sb="5" eb="7">
      <t>ジョウホウ</t>
    </rPh>
    <rPh sb="8" eb="11">
      <t>ショウコウジ</t>
    </rPh>
    <rPh sb="11" eb="12">
      <t>メイ</t>
    </rPh>
    <phoneticPr fontId="3"/>
  </si>
  <si>
    <t>7.明細最小連番.数量</t>
    <rPh sb="2" eb="8">
      <t>メイサイサイショウレンバン</t>
    </rPh>
    <rPh sb="9" eb="11">
      <t>スウリョウ</t>
    </rPh>
    <phoneticPr fontId="3"/>
  </si>
  <si>
    <t>7.注文書ヘッダ.注文書金額合計</t>
    <rPh sb="2" eb="5">
      <t>チュウモンショ</t>
    </rPh>
    <rPh sb="9" eb="12">
      <t>チュウモンショ</t>
    </rPh>
    <rPh sb="12" eb="14">
      <t>キンガク</t>
    </rPh>
    <rPh sb="14" eb="16">
      <t>ゴウケイ</t>
    </rPh>
    <phoneticPr fontId="3"/>
  </si>
  <si>
    <t>連結テーブル</t>
  </si>
  <si>
    <t>屋良</t>
    <rPh sb="0" eb="2">
      <t>ヤラ</t>
    </rPh>
    <phoneticPr fontId="3"/>
  </si>
  <si>
    <t>案件情報</t>
    <rPh sb="0" eb="4">
      <t>アンケンジョウホウ</t>
    </rPh>
    <phoneticPr fontId="3"/>
  </si>
  <si>
    <t>案件情報．案件コード　=　パラメータ．案件コード</t>
    <rPh sb="5" eb="7">
      <t>アンケン</t>
    </rPh>
    <rPh sb="19" eb="21">
      <t>アンケン</t>
    </rPh>
    <phoneticPr fontId="3"/>
  </si>
  <si>
    <t>案件情報．削除フラグ　=　”0”（未取消）</t>
    <rPh sb="5" eb="7">
      <t>サクジョ</t>
    </rPh>
    <rPh sb="17" eb="20">
      <t>ミトリケシ</t>
    </rPh>
    <phoneticPr fontId="3"/>
  </si>
  <si>
    <t>案件情報．最新フラグ　=　”1”（最新）</t>
    <rPh sb="5" eb="7">
      <t>サイシン</t>
    </rPh>
    <rPh sb="17" eb="19">
      <t>サイシン</t>
    </rPh>
    <phoneticPr fontId="3"/>
  </si>
  <si>
    <t>INNER JOIN　物件情報</t>
    <rPh sb="11" eb="15">
      <t>ブッケンジョウホウ</t>
    </rPh>
    <phoneticPr fontId="3"/>
  </si>
  <si>
    <t>物件情報．削除フラグ　=　”0”（未取消）</t>
    <rPh sb="5" eb="7">
      <t>サクジョ</t>
    </rPh>
    <rPh sb="17" eb="20">
      <t>ミトリケシ</t>
    </rPh>
    <phoneticPr fontId="3"/>
  </si>
  <si>
    <t>物件情報．最新フラグ　=　”1”（最新）</t>
    <rPh sb="5" eb="7">
      <t>サイシン</t>
    </rPh>
    <rPh sb="17" eb="19">
      <t>サイシン</t>
    </rPh>
    <phoneticPr fontId="3"/>
  </si>
  <si>
    <t>物件情報．案件コード　=　案件情報．案件コード</t>
    <rPh sb="5" eb="7">
      <t>アンケン</t>
    </rPh>
    <rPh sb="18" eb="20">
      <t>アンケン</t>
    </rPh>
    <phoneticPr fontId="3"/>
  </si>
  <si>
    <t>INNER JOIN　現場情報</t>
    <rPh sb="11" eb="13">
      <t>ゲンバ</t>
    </rPh>
    <rPh sb="13" eb="15">
      <t>ジョウホウ</t>
    </rPh>
    <phoneticPr fontId="3"/>
  </si>
  <si>
    <t>現場情報．物件ID　=　物件情報．物件ID</t>
    <rPh sb="5" eb="7">
      <t>ブッケン</t>
    </rPh>
    <rPh sb="12" eb="14">
      <t>ブッケン</t>
    </rPh>
    <rPh sb="17" eb="19">
      <t>ブッケン</t>
    </rPh>
    <phoneticPr fontId="3"/>
  </si>
  <si>
    <t>現場情報．削除フラグ　=　”0”（未取消）</t>
    <rPh sb="5" eb="7">
      <t>サクジョ</t>
    </rPh>
    <rPh sb="17" eb="20">
      <t>ミトリケシ</t>
    </rPh>
    <phoneticPr fontId="3"/>
  </si>
  <si>
    <t>現場情報．最新フラグ　=　”1”（最新）</t>
    <rPh sb="5" eb="7">
      <t>サイシン</t>
    </rPh>
    <rPh sb="17" eb="19">
      <t>サイシン</t>
    </rPh>
    <phoneticPr fontId="3"/>
  </si>
  <si>
    <t>現場コードリスト</t>
    <rPh sb="0" eb="2">
      <t>ゲンバ</t>
    </rPh>
    <phoneticPr fontId="3"/>
  </si>
  <si>
    <t>０．現場情報．現場コード</t>
    <rPh sb="2" eb="6">
      <t>ゲンバジョウホウ</t>
    </rPh>
    <rPh sb="7" eb="9">
      <t>ゲンバ</t>
    </rPh>
    <phoneticPr fontId="3"/>
  </si>
  <si>
    <t>発注ヘッダ</t>
    <rPh sb="0" eb="2">
      <t>ハッチュウ</t>
    </rPh>
    <phoneticPr fontId="3"/>
  </si>
  <si>
    <t>発注ヘッダ．現場コード　IN　０-３．現場コードリスト</t>
    <rPh sb="6" eb="8">
      <t>ゲンバ</t>
    </rPh>
    <rPh sb="19" eb="21">
      <t>ゲンバ</t>
    </rPh>
    <phoneticPr fontId="3"/>
  </si>
  <si>
    <t>発注ヘッダ．削除フラグ　=　”0”（未取消）</t>
    <rPh sb="6" eb="8">
      <t>サクジョ</t>
    </rPh>
    <rPh sb="18" eb="21">
      <t>ミトリケシ</t>
    </rPh>
    <phoneticPr fontId="3"/>
  </si>
  <si>
    <t>発注ヘッダ．最新フラグ　=　”1”（最新）</t>
    <rPh sb="6" eb="8">
      <t>サイシン</t>
    </rPh>
    <rPh sb="18" eb="20">
      <t>サイシン</t>
    </rPh>
    <phoneticPr fontId="3"/>
  </si>
  <si>
    <t>INNER JOIN　査定明細情報</t>
    <rPh sb="11" eb="13">
      <t>サテイ</t>
    </rPh>
    <rPh sb="13" eb="15">
      <t>メイサイ</t>
    </rPh>
    <rPh sb="15" eb="17">
      <t>ジョウホウ</t>
    </rPh>
    <phoneticPr fontId="3"/>
  </si>
  <si>
    <t>査定明細情報．削除フラグ　=　”0”（未取消）</t>
    <rPh sb="7" eb="9">
      <t>サクジョ</t>
    </rPh>
    <rPh sb="19" eb="22">
      <t>ミトリケシ</t>
    </rPh>
    <phoneticPr fontId="3"/>
  </si>
  <si>
    <t>査定明細情報．最新フラグ　=　”1”（最新）</t>
    <rPh sb="7" eb="9">
      <t>サイシン</t>
    </rPh>
    <rPh sb="19" eb="21">
      <t>サイシン</t>
    </rPh>
    <phoneticPr fontId="3"/>
  </si>
  <si>
    <t>査定明細情報．注文書№　=　案件情報．注文書№</t>
    <rPh sb="7" eb="11">
      <t>チュウモンショナンバー</t>
    </rPh>
    <rPh sb="19" eb="22">
      <t>チュウモンショ</t>
    </rPh>
    <phoneticPr fontId="3"/>
  </si>
  <si>
    <t>Select</t>
    <phoneticPr fontId="3"/>
  </si>
  <si>
    <t>発注ヘッダ．注文書№、発注ヘッダ．注文書合計金額（SUM）、査定明細情報．当月査定金額（SUM)</t>
    <rPh sb="0" eb="2">
      <t>ハッチュウ</t>
    </rPh>
    <rPh sb="6" eb="10">
      <t>チュウモンショナンバー</t>
    </rPh>
    <rPh sb="11" eb="13">
      <t>ハッチュウ</t>
    </rPh>
    <rPh sb="17" eb="20">
      <t>チュウモンショ</t>
    </rPh>
    <rPh sb="20" eb="24">
      <t>ゴウケイキンガク</t>
    </rPh>
    <rPh sb="30" eb="34">
      <t>サテイメイサイ</t>
    </rPh>
    <rPh sb="34" eb="36">
      <t>ジョウホウ</t>
    </rPh>
    <rPh sb="37" eb="43">
      <t>トウゲツサテイキンガク</t>
    </rPh>
    <phoneticPr fontId="3"/>
  </si>
  <si>
    <t>発注ヘッダ．注文書№</t>
    <rPh sb="0" eb="2">
      <t>ハッチュウ</t>
    </rPh>
    <rPh sb="6" eb="9">
      <t>チュウモンショ</t>
    </rPh>
    <phoneticPr fontId="3"/>
  </si>
  <si>
    <t>GroupBy</t>
    <phoneticPr fontId="3"/>
  </si>
  <si>
    <t>未発注確認用リスト</t>
    <rPh sb="0" eb="3">
      <t>ミハッチュウ</t>
    </rPh>
    <rPh sb="3" eb="6">
      <t>カクニンヨウ</t>
    </rPh>
    <phoneticPr fontId="3"/>
  </si>
  <si>
    <t>査定済金額</t>
    <rPh sb="0" eb="3">
      <t>サテイズミ</t>
    </rPh>
    <rPh sb="3" eb="5">
      <t>キンガク</t>
    </rPh>
    <phoneticPr fontId="3"/>
  </si>
  <si>
    <t>０-４．発注ヘッダ．注文書№</t>
    <rPh sb="4" eb="6">
      <t>ハッチュウ</t>
    </rPh>
    <rPh sb="10" eb="14">
      <t>チュウモンショナンバー</t>
    </rPh>
    <phoneticPr fontId="3"/>
  </si>
  <si>
    <t>０-４．発注ヘッダ．注文書合計金額</t>
    <rPh sb="4" eb="6">
      <t>ハッチュウ</t>
    </rPh>
    <rPh sb="10" eb="13">
      <t>チュウモンショ</t>
    </rPh>
    <rPh sb="13" eb="15">
      <t>ゴウケイ</t>
    </rPh>
    <rPh sb="15" eb="17">
      <t>キンガク</t>
    </rPh>
    <phoneticPr fontId="3"/>
  </si>
  <si>
    <t>０-４．発注ヘッダ．当月査定金額</t>
    <rPh sb="4" eb="6">
      <t>ハッチュウ</t>
    </rPh>
    <rPh sb="10" eb="16">
      <t>トウゲツサテイキンガク</t>
    </rPh>
    <phoneticPr fontId="3"/>
  </si>
  <si>
    <t>①</t>
    <phoneticPr fontId="3"/>
  </si>
  <si>
    <t>発注金額　！=　査定済金額の場合は、以下の内部変数に追加して、次のループへ</t>
    <rPh sb="0" eb="4">
      <t>ハッチュウキンガク</t>
    </rPh>
    <rPh sb="8" eb="11">
      <t>サテイズミ</t>
    </rPh>
    <rPh sb="11" eb="13">
      <t>キンガク</t>
    </rPh>
    <phoneticPr fontId="3"/>
  </si>
  <si>
    <t>０-６．未発注確認用リスト．注文書№</t>
    <rPh sb="4" eb="5">
      <t>ミ</t>
    </rPh>
    <rPh sb="5" eb="7">
      <t>ハッチュウ</t>
    </rPh>
    <rPh sb="7" eb="10">
      <t>カクニンヨウ</t>
    </rPh>
    <rPh sb="14" eb="18">
      <t>チュウモンショナンバー</t>
    </rPh>
    <phoneticPr fontId="3"/>
  </si>
  <si>
    <t>未査定残有りリスト</t>
    <rPh sb="0" eb="1">
      <t>ミ</t>
    </rPh>
    <rPh sb="1" eb="3">
      <t>サテイ</t>
    </rPh>
    <rPh sb="3" eb="4">
      <t>ザン</t>
    </rPh>
    <rPh sb="4" eb="5">
      <t>ア</t>
    </rPh>
    <phoneticPr fontId="3"/>
  </si>
  <si>
    <t>メッセージID</t>
    <phoneticPr fontId="3"/>
  </si>
  <si>
    <t>B00007</t>
    <phoneticPr fontId="3"/>
  </si>
  <si>
    <t>未査定残が発生している注文書がある為、保存処理が実施できません。
未査定残を解消して、処理を再度実施してください。</t>
    <rPh sb="0" eb="1">
      <t>ミ</t>
    </rPh>
    <rPh sb="1" eb="3">
      <t>サテイ</t>
    </rPh>
    <rPh sb="3" eb="4">
      <t>ザン</t>
    </rPh>
    <rPh sb="5" eb="7">
      <t>ハッセイ</t>
    </rPh>
    <rPh sb="11" eb="14">
      <t>チュウモンショ</t>
    </rPh>
    <rPh sb="17" eb="18">
      <t>タメ</t>
    </rPh>
    <rPh sb="19" eb="21">
      <t>ホゾン</t>
    </rPh>
    <rPh sb="21" eb="23">
      <t>ショリ</t>
    </rPh>
    <rPh sb="24" eb="26">
      <t>ジッシ</t>
    </rPh>
    <rPh sb="33" eb="34">
      <t>ミ</t>
    </rPh>
    <rPh sb="34" eb="36">
      <t>サテイ</t>
    </rPh>
    <rPh sb="36" eb="37">
      <t>ザン</t>
    </rPh>
    <rPh sb="38" eb="40">
      <t>カイショウ</t>
    </rPh>
    <rPh sb="43" eb="45">
      <t>ショリ</t>
    </rPh>
    <rPh sb="46" eb="48">
      <t>サイド</t>
    </rPh>
    <rPh sb="48" eb="50">
      <t>ジッシ</t>
    </rPh>
    <phoneticPr fontId="3"/>
  </si>
  <si>
    <t>操作</t>
    <rPh sb="0" eb="2">
      <t>ソウサ</t>
    </rPh>
    <phoneticPr fontId="3"/>
  </si>
  <si>
    <t>更新（UpDate）</t>
    <rPh sb="0" eb="2">
      <t>コウシン</t>
    </rPh>
    <phoneticPr fontId="3"/>
  </si>
  <si>
    <t>2025/9/9　懸案№37（屋良）</t>
  </si>
  <si>
    <t>登録（Create）</t>
    <rPh sb="0" eb="2">
      <t>トウロク</t>
    </rPh>
    <phoneticPr fontId="3"/>
  </si>
  <si>
    <t>０-２．取得件数が０件だった場合は、№１へ</t>
  </si>
  <si>
    <t>０-５．取得件数が０件だった場合は、№１へ</t>
  </si>
  <si>
    <t>1-2．案件ID</t>
    <rPh sb="4" eb="6">
      <t>アンケン</t>
    </rPh>
    <phoneticPr fontId="3"/>
  </si>
  <si>
    <t>パラメータ．案件要望明細リスト．連番</t>
    <rPh sb="6" eb="10">
      <t>アンケンヨウボウ</t>
    </rPh>
    <rPh sb="10" eb="12">
      <t>メイサイ</t>
    </rPh>
    <rPh sb="16" eb="18">
      <t>レンバン</t>
    </rPh>
    <phoneticPr fontId="3"/>
  </si>
  <si>
    <t>パラメータ．案件要望明細リスト．要望発生年月日</t>
    <rPh sb="16" eb="18">
      <t>ヨウボウ</t>
    </rPh>
    <rPh sb="18" eb="23">
      <t>ハッセイネンガッピ</t>
    </rPh>
    <phoneticPr fontId="3"/>
  </si>
  <si>
    <t>パラメータ．案件要望明細リスト．要望内容</t>
    <rPh sb="16" eb="20">
      <t>ヨウボウナイヨウ</t>
    </rPh>
    <phoneticPr fontId="3"/>
  </si>
  <si>
    <t>パラメータ．案件要望明細リスト．要望回答内容</t>
    <rPh sb="16" eb="18">
      <t>ヨウボウ</t>
    </rPh>
    <rPh sb="18" eb="20">
      <t>カイトウ</t>
    </rPh>
    <rPh sb="20" eb="22">
      <t>ナイヨウ</t>
    </rPh>
    <phoneticPr fontId="3"/>
  </si>
  <si>
    <t>サーバ．システム日付</t>
    <rPh sb="8" eb="10">
      <t>ヒヅケ</t>
    </rPh>
    <phoneticPr fontId="3"/>
  </si>
  <si>
    <t>パラメータ．案件コード</t>
    <rPh sb="6" eb="8">
      <t>アンケン</t>
    </rPh>
    <phoneticPr fontId="3"/>
  </si>
  <si>
    <t>パラメータ．現場棟明細リスト．棟コード</t>
  </si>
  <si>
    <t>パラメータ．現場棟明細リスト．棟コード</t>
    <rPh sb="6" eb="9">
      <t>ゲンバトウ</t>
    </rPh>
    <rPh sb="9" eb="11">
      <t>メイサイ</t>
    </rPh>
    <rPh sb="15" eb="16">
      <t>トウ</t>
    </rPh>
    <phoneticPr fontId="3"/>
  </si>
  <si>
    <t>パラメータ．顧客支店コード</t>
    <rPh sb="6" eb="10">
      <t>コキャクシテン</t>
    </rPh>
    <phoneticPr fontId="3"/>
  </si>
  <si>
    <t>7-1．保存が正常に終了した場合、11の処理へ</t>
    <rPh sb="4" eb="6">
      <t>ホゾン</t>
    </rPh>
    <rPh sb="7" eb="9">
      <t>セイジョウ</t>
    </rPh>
    <rPh sb="10" eb="12">
      <t>シュウリョウ</t>
    </rPh>
    <rPh sb="14" eb="16">
      <t>バアイ</t>
    </rPh>
    <rPh sb="20" eb="22">
      <t>ショリ</t>
    </rPh>
    <phoneticPr fontId="3"/>
  </si>
  <si>
    <t>パラメータ．システム日付</t>
    <rPh sb="10" eb="12">
      <t>ヒヅケ</t>
    </rPh>
    <phoneticPr fontId="3"/>
  </si>
  <si>
    <t>パラメータ．着工希望日</t>
    <rPh sb="6" eb="11">
      <t>チャッコウキボウビ</t>
    </rPh>
    <phoneticPr fontId="3"/>
  </si>
  <si>
    <t>パラメータ．物件郵便番号</t>
    <rPh sb="6" eb="8">
      <t>ブッケン</t>
    </rPh>
    <rPh sb="8" eb="12">
      <t>ユウビンバンゴウ</t>
    </rPh>
    <phoneticPr fontId="3"/>
  </si>
  <si>
    <t>9．現場コード</t>
    <rPh sb="2" eb="4">
      <t>ゲンバ</t>
    </rPh>
    <phoneticPr fontId="3"/>
  </si>
  <si>
    <t>パラメータ．現場棟明細．棟コード</t>
    <rPh sb="6" eb="9">
      <t>ゲンバトウ</t>
    </rPh>
    <rPh sb="9" eb="11">
      <t>メイサイ</t>
    </rPh>
    <rPh sb="12" eb="13">
      <t>トウ</t>
    </rPh>
    <phoneticPr fontId="3"/>
  </si>
  <si>
    <t>9-3．9-2で取得した現場明細リストを基に精積算情報を取得してリストに追加</t>
    <rPh sb="8" eb="10">
      <t>シュトク</t>
    </rPh>
    <rPh sb="12" eb="14">
      <t>ゲンバ</t>
    </rPh>
    <rPh sb="14" eb="16">
      <t>メイサイ</t>
    </rPh>
    <rPh sb="20" eb="21">
      <t>モト</t>
    </rPh>
    <rPh sb="22" eb="25">
      <t>セイセキサン</t>
    </rPh>
    <rPh sb="25" eb="27">
      <t>ジョウホウ</t>
    </rPh>
    <rPh sb="28" eb="30">
      <t>シュトク</t>
    </rPh>
    <rPh sb="36" eb="38">
      <t>ツイカ</t>
    </rPh>
    <phoneticPr fontId="3"/>
  </si>
  <si>
    <t>9-2．現場明細リスト．案件ID</t>
    <rPh sb="4" eb="8">
      <t>ゲンバメイサイ</t>
    </rPh>
    <rPh sb="12" eb="14">
      <t>アンケン</t>
    </rPh>
    <phoneticPr fontId="3"/>
  </si>
  <si>
    <t>9-2．現場明細リスト．案件コード</t>
    <rPh sb="12" eb="14">
      <t>アンケン</t>
    </rPh>
    <phoneticPr fontId="3"/>
  </si>
  <si>
    <t>9-2．現場明細リスト．現場コード</t>
    <rPh sb="12" eb="14">
      <t>ゲンバ</t>
    </rPh>
    <phoneticPr fontId="3"/>
  </si>
  <si>
    <t>9-2．現場明細リスト．現場棟明細．棟コード</t>
    <rPh sb="12" eb="15">
      <t>ゲンバトウ</t>
    </rPh>
    <rPh sb="15" eb="17">
      <t>メイサイ</t>
    </rPh>
    <rPh sb="18" eb="19">
      <t>トウ</t>
    </rPh>
    <phoneticPr fontId="3"/>
  </si>
  <si>
    <t>9-2．精積算情報．精積算ヘッダID</t>
    <rPh sb="4" eb="7">
      <t>セイセキサン</t>
    </rPh>
    <rPh sb="7" eb="9">
      <t>ジョウホウ</t>
    </rPh>
    <rPh sb="10" eb="13">
      <t>セイセキサン</t>
    </rPh>
    <phoneticPr fontId="3"/>
  </si>
  <si>
    <t>9-2．精積算情報．精積算コード</t>
    <rPh sb="4" eb="7">
      <t>セイセキサン</t>
    </rPh>
    <rPh sb="7" eb="9">
      <t>ジョウホウ</t>
    </rPh>
    <rPh sb="10" eb="13">
      <t>セイセキサン</t>
    </rPh>
    <phoneticPr fontId="3"/>
  </si>
  <si>
    <t>9-2．精積算情報．精積算合計金額</t>
    <rPh sb="4" eb="7">
      <t>セイセキサン</t>
    </rPh>
    <rPh sb="7" eb="9">
      <t>ジョウホウ</t>
    </rPh>
    <rPh sb="10" eb="13">
      <t>セイセキサン</t>
    </rPh>
    <rPh sb="13" eb="17">
      <t>ゴウケイキンガク</t>
    </rPh>
    <phoneticPr fontId="3"/>
  </si>
  <si>
    <t>9-3．9-2で取得した現場明細リストを基に精積算明細を取得してリストの末尾に追加</t>
    <rPh sb="8" eb="10">
      <t>シュトク</t>
    </rPh>
    <rPh sb="12" eb="14">
      <t>ゲンバ</t>
    </rPh>
    <rPh sb="14" eb="16">
      <t>メイサイ</t>
    </rPh>
    <rPh sb="20" eb="21">
      <t>モト</t>
    </rPh>
    <rPh sb="22" eb="25">
      <t>セイセキサン</t>
    </rPh>
    <rPh sb="25" eb="27">
      <t>メイサイ</t>
    </rPh>
    <rPh sb="28" eb="30">
      <t>シュトク</t>
    </rPh>
    <rPh sb="36" eb="38">
      <t>マツビ</t>
    </rPh>
    <rPh sb="39" eb="41">
      <t>ツイカ</t>
    </rPh>
    <phoneticPr fontId="3"/>
  </si>
  <si>
    <t>9-5．9-4で取得した現場明細リストを基に実行予算ヘッダにデータを保存する。</t>
    <rPh sb="8" eb="10">
      <t>シュトク</t>
    </rPh>
    <rPh sb="12" eb="14">
      <t>ゲンバ</t>
    </rPh>
    <rPh sb="14" eb="16">
      <t>メイサイ</t>
    </rPh>
    <rPh sb="20" eb="21">
      <t>モト</t>
    </rPh>
    <rPh sb="22" eb="26">
      <t>ジッコウヨサン</t>
    </rPh>
    <rPh sb="34" eb="36">
      <t>ホゾン</t>
    </rPh>
    <phoneticPr fontId="3"/>
  </si>
  <si>
    <t>9-4．現場明細リスト．現場コード</t>
    <rPh sb="4" eb="8">
      <t>ゲンバメイサイ</t>
    </rPh>
    <rPh sb="12" eb="14">
      <t>ゲンバ</t>
    </rPh>
    <phoneticPr fontId="3"/>
  </si>
  <si>
    <t>9-4．現場明細リスト．精積算コード</t>
    <rPh sb="4" eb="8">
      <t>ゲンバメイサイ</t>
    </rPh>
    <rPh sb="12" eb="15">
      <t>セイセキサン</t>
    </rPh>
    <phoneticPr fontId="3"/>
  </si>
  <si>
    <t>9-4．現場明細リスト．精積算合計金額</t>
    <rPh sb="4" eb="8">
      <t>ゲンバメイサイ</t>
    </rPh>
    <rPh sb="12" eb="19">
      <t>セイセキサンゴウケイキンガク</t>
    </rPh>
    <phoneticPr fontId="3"/>
  </si>
  <si>
    <t>9-6．9-4で取得した現場明細リストを基に実行予算ヘッダからデータを取得し、現場明細リストの</t>
    <rPh sb="8" eb="10">
      <t>シュトク</t>
    </rPh>
    <rPh sb="12" eb="14">
      <t>ゲンバ</t>
    </rPh>
    <rPh sb="14" eb="16">
      <t>メイサイ</t>
    </rPh>
    <rPh sb="20" eb="21">
      <t>モト</t>
    </rPh>
    <rPh sb="22" eb="26">
      <t>ジッコウヨサン</t>
    </rPh>
    <rPh sb="35" eb="37">
      <t>シュトク</t>
    </rPh>
    <rPh sb="39" eb="41">
      <t>ゲンバ</t>
    </rPh>
    <rPh sb="41" eb="43">
      <t>メイサイ</t>
    </rPh>
    <phoneticPr fontId="3"/>
  </si>
  <si>
    <t>現場明細リスト．案件ID</t>
    <rPh sb="8" eb="10">
      <t>アンケン</t>
    </rPh>
    <phoneticPr fontId="3"/>
  </si>
  <si>
    <t>現場明細リスト．案件コード</t>
    <rPh sb="8" eb="10">
      <t>アンケン</t>
    </rPh>
    <phoneticPr fontId="3"/>
  </si>
  <si>
    <t>現場明細リスト．現場コード</t>
    <rPh sb="8" eb="10">
      <t>ゲンバ</t>
    </rPh>
    <phoneticPr fontId="3"/>
  </si>
  <si>
    <t>現場明細リスト．棟工事明細．棟コード</t>
    <rPh sb="8" eb="9">
      <t>トウ</t>
    </rPh>
    <rPh sb="9" eb="11">
      <t>コウジ</t>
    </rPh>
    <rPh sb="11" eb="13">
      <t>メイサイ</t>
    </rPh>
    <rPh sb="14" eb="15">
      <t>トウ</t>
    </rPh>
    <phoneticPr fontId="3"/>
  </si>
  <si>
    <t>現場明細リスト．精積算ヘッダID</t>
    <rPh sb="8" eb="11">
      <t>セイセキサン</t>
    </rPh>
    <phoneticPr fontId="3"/>
  </si>
  <si>
    <t>現場明細リスト．精積算コード</t>
    <rPh sb="8" eb="11">
      <t>セイセキサン</t>
    </rPh>
    <phoneticPr fontId="3"/>
  </si>
  <si>
    <t>実行予算ヘッダ．実行予算ヘッダID</t>
    <rPh sb="0" eb="4">
      <t>ジッコウヨサン</t>
    </rPh>
    <rPh sb="8" eb="12">
      <t>ジッコウヨサン</t>
    </rPh>
    <phoneticPr fontId="3"/>
  </si>
  <si>
    <t>9-7．9-6で取得した現場明細リストを基に実行予算明細にデータを保存する</t>
    <rPh sb="8" eb="10">
      <t>シュトク</t>
    </rPh>
    <rPh sb="12" eb="14">
      <t>ゲンバ</t>
    </rPh>
    <rPh sb="14" eb="16">
      <t>メイサイ</t>
    </rPh>
    <rPh sb="20" eb="21">
      <t>モト</t>
    </rPh>
    <rPh sb="22" eb="26">
      <t>ジッコウヨサン</t>
    </rPh>
    <rPh sb="26" eb="28">
      <t>メイサイ</t>
    </rPh>
    <rPh sb="33" eb="35">
      <t>ホゾン</t>
    </rPh>
    <phoneticPr fontId="3"/>
  </si>
  <si>
    <t>9-6．現場明細リスト．実行予算ヘッダID</t>
    <rPh sb="4" eb="8">
      <t>ゲンバメイサイ</t>
    </rPh>
    <rPh sb="12" eb="16">
      <t>ジッコウヨサン</t>
    </rPh>
    <phoneticPr fontId="3"/>
  </si>
  <si>
    <t>9-6．現場明細リスト．精積算明細リスト．連番</t>
    <rPh sb="4" eb="8">
      <t>ゲンバメイサイ</t>
    </rPh>
    <rPh sb="12" eb="15">
      <t>セイセキサン</t>
    </rPh>
    <rPh sb="15" eb="17">
      <t>メイサイ</t>
    </rPh>
    <rPh sb="21" eb="23">
      <t>レンバン</t>
    </rPh>
    <phoneticPr fontId="3"/>
  </si>
  <si>
    <t>9-6．現場明細リスト．精積算明細リスト．大工事コード</t>
    <rPh sb="4" eb="8">
      <t>ゲンバメイサイ</t>
    </rPh>
    <rPh sb="12" eb="15">
      <t>セイセキサン</t>
    </rPh>
    <rPh sb="15" eb="17">
      <t>メイサイ</t>
    </rPh>
    <rPh sb="21" eb="24">
      <t>ダイコウジ</t>
    </rPh>
    <phoneticPr fontId="3"/>
  </si>
  <si>
    <t>9-6．現場明細リスト．精積算明細リスト．小工事コード</t>
    <rPh sb="4" eb="8">
      <t>ゲンバメイサイ</t>
    </rPh>
    <rPh sb="12" eb="17">
      <t>セイセキサンメイサイ</t>
    </rPh>
    <rPh sb="21" eb="24">
      <t>ショウコウジ</t>
    </rPh>
    <phoneticPr fontId="3"/>
  </si>
  <si>
    <t>9-6．現場明細リスト．精積算明細リスト．工事連番</t>
    <rPh sb="4" eb="8">
      <t>ゲンバメイサイ</t>
    </rPh>
    <rPh sb="12" eb="15">
      <t>セイセキサン</t>
    </rPh>
    <rPh sb="15" eb="17">
      <t>メイサイ</t>
    </rPh>
    <rPh sb="21" eb="25">
      <t>コウジレンバン</t>
    </rPh>
    <phoneticPr fontId="3"/>
  </si>
  <si>
    <t>9-6．現場明細リスト．精積算明細リスト．規格</t>
    <rPh sb="4" eb="8">
      <t>ゲンバメイサイ</t>
    </rPh>
    <rPh sb="12" eb="15">
      <t>セイセキサン</t>
    </rPh>
    <rPh sb="15" eb="17">
      <t>メイサイ</t>
    </rPh>
    <rPh sb="21" eb="23">
      <t>キカク</t>
    </rPh>
    <phoneticPr fontId="3"/>
  </si>
  <si>
    <t>9-7．現場明細リスト．精積算明細リスト．単価</t>
    <rPh sb="4" eb="8">
      <t>ゲンバメイサイ</t>
    </rPh>
    <rPh sb="12" eb="15">
      <t>セイセキサン</t>
    </rPh>
    <rPh sb="15" eb="17">
      <t>メイサイ</t>
    </rPh>
    <rPh sb="21" eb="23">
      <t>タンカ</t>
    </rPh>
    <phoneticPr fontId="3"/>
  </si>
  <si>
    <t>9-8．現場明細リスト．精積算明細リスト．数量</t>
    <rPh sb="4" eb="8">
      <t>ゲンバメイサイ</t>
    </rPh>
    <rPh sb="12" eb="15">
      <t>セイセキサン</t>
    </rPh>
    <rPh sb="15" eb="17">
      <t>メイサイ</t>
    </rPh>
    <rPh sb="21" eb="23">
      <t>スウリョウ</t>
    </rPh>
    <phoneticPr fontId="3"/>
  </si>
  <si>
    <t>9-9．現場明細リスト．精積算明細リスト．単位区分</t>
    <rPh sb="4" eb="8">
      <t>ゲンバメイサイ</t>
    </rPh>
    <rPh sb="12" eb="15">
      <t>セイセキサン</t>
    </rPh>
    <rPh sb="15" eb="17">
      <t>メイサイ</t>
    </rPh>
    <rPh sb="21" eb="25">
      <t>タンイクブン</t>
    </rPh>
    <phoneticPr fontId="3"/>
  </si>
  <si>
    <t>9-10．現場明細リスト．精積算明細リスト．精積算金額</t>
    <rPh sb="5" eb="9">
      <t>ゲンバメイサイ</t>
    </rPh>
    <rPh sb="13" eb="16">
      <t>セイセキサン</t>
    </rPh>
    <rPh sb="16" eb="18">
      <t>メイサイ</t>
    </rPh>
    <rPh sb="22" eb="27">
      <t>セイセキサンキンガク</t>
    </rPh>
    <phoneticPr fontId="3"/>
  </si>
  <si>
    <t>9-12．現場明細リスト．精積算明細リスト．備考</t>
    <rPh sb="5" eb="9">
      <t>ゲンバメイサイ</t>
    </rPh>
    <rPh sb="13" eb="16">
      <t>セイセキサン</t>
    </rPh>
    <rPh sb="16" eb="18">
      <t>メイサイ</t>
    </rPh>
    <rPh sb="22" eb="24">
      <t>ビコウ</t>
    </rPh>
    <phoneticPr fontId="3"/>
  </si>
  <si>
    <t>10-1．9-6で設定した現場明細リストを基に概算ヘッダからデータを取得し、現場明細リストの</t>
    <rPh sb="9" eb="11">
      <t>セッテイ</t>
    </rPh>
    <rPh sb="13" eb="15">
      <t>ゲンバ</t>
    </rPh>
    <rPh sb="15" eb="17">
      <t>メイサイ</t>
    </rPh>
    <rPh sb="21" eb="22">
      <t>モト</t>
    </rPh>
    <rPh sb="23" eb="25">
      <t>ガイサン</t>
    </rPh>
    <rPh sb="34" eb="36">
      <t>シュトク</t>
    </rPh>
    <rPh sb="38" eb="40">
      <t>ゲンバ</t>
    </rPh>
    <rPh sb="40" eb="42">
      <t>メイサイ</t>
    </rPh>
    <phoneticPr fontId="3"/>
  </si>
  <si>
    <t>9-6．実行予算ヘッダ．実行予算ヘッダID</t>
    <rPh sb="4" eb="8">
      <t>ジッコウヨサン</t>
    </rPh>
    <rPh sb="12" eb="16">
      <t>ジッコウヨサン</t>
    </rPh>
    <phoneticPr fontId="3"/>
  </si>
  <si>
    <t>10-1．概算ヘッダ．概算コード</t>
    <rPh sb="5" eb="7">
      <t>ガイサン</t>
    </rPh>
    <rPh sb="11" eb="13">
      <t>ガイサン</t>
    </rPh>
    <phoneticPr fontId="3"/>
  </si>
  <si>
    <t>10-2．取得した概算コードに紐づく出来高シミュレーションデータの削除フラグを”1”（取消）にする。</t>
    <rPh sb="5" eb="7">
      <t>シュトク</t>
    </rPh>
    <rPh sb="9" eb="11">
      <t>ガイサン</t>
    </rPh>
    <rPh sb="15" eb="16">
      <t>ヒモ</t>
    </rPh>
    <rPh sb="18" eb="21">
      <t>デキダカ</t>
    </rPh>
    <rPh sb="33" eb="35">
      <t>サクジョ</t>
    </rPh>
    <rPh sb="43" eb="45">
      <t>トリケシ</t>
    </rPh>
    <phoneticPr fontId="3"/>
  </si>
  <si>
    <t>10-3．現場明細リストを基に出来高シミュレーションデータを作成する。</t>
    <rPh sb="5" eb="9">
      <t>ゲンバメイサイ</t>
    </rPh>
    <rPh sb="13" eb="14">
      <t>モト</t>
    </rPh>
    <rPh sb="15" eb="18">
      <t>デキダカ</t>
    </rPh>
    <rPh sb="30" eb="32">
      <t>サクセイ</t>
    </rPh>
    <phoneticPr fontId="3"/>
  </si>
  <si>
    <t>10-1．現場明細リスト．現場コード</t>
    <rPh sb="5" eb="9">
      <t>ゲンバメイサイ</t>
    </rPh>
    <rPh sb="13" eb="15">
      <t>ゲンバ</t>
    </rPh>
    <phoneticPr fontId="3"/>
  </si>
  <si>
    <t>10-4．10-1で設定した現場明細リストを基に出来高シミュレーションからデータを取得し、</t>
    <rPh sb="10" eb="12">
      <t>セッテイ</t>
    </rPh>
    <rPh sb="14" eb="16">
      <t>ゲンバ</t>
    </rPh>
    <rPh sb="16" eb="18">
      <t>メイサイ</t>
    </rPh>
    <rPh sb="22" eb="23">
      <t>モト</t>
    </rPh>
    <rPh sb="24" eb="27">
      <t>デキダカ</t>
    </rPh>
    <rPh sb="41" eb="43">
      <t>シュトク</t>
    </rPh>
    <phoneticPr fontId="3"/>
  </si>
  <si>
    <t>10-4．出来高シミュレーション．出来高シミュレーションID</t>
    <rPh sb="5" eb="8">
      <t>デキダカ</t>
    </rPh>
    <rPh sb="17" eb="20">
      <t>デキダカ</t>
    </rPh>
    <phoneticPr fontId="3"/>
  </si>
  <si>
    <t>10-5．取得した出来高シミュレーションIDを基に、実行予算ヘッダからデータを取得し、新しくリストを作成する。</t>
    <rPh sb="5" eb="7">
      <t>シュトク</t>
    </rPh>
    <rPh sb="9" eb="12">
      <t>デキダカ</t>
    </rPh>
    <rPh sb="23" eb="24">
      <t>モト</t>
    </rPh>
    <rPh sb="26" eb="30">
      <t>ジッコウヨサン</t>
    </rPh>
    <rPh sb="39" eb="41">
      <t>シュトク</t>
    </rPh>
    <rPh sb="43" eb="44">
      <t>アタラ</t>
    </rPh>
    <rPh sb="50" eb="52">
      <t>サクセイ</t>
    </rPh>
    <phoneticPr fontId="3"/>
  </si>
  <si>
    <t>実行予算明細．大工事コード</t>
    <rPh sb="0" eb="4">
      <t>ジッコウヨサン</t>
    </rPh>
    <rPh sb="4" eb="6">
      <t>メイサイ</t>
    </rPh>
    <rPh sb="7" eb="10">
      <t>ダイコウジ</t>
    </rPh>
    <phoneticPr fontId="3"/>
  </si>
  <si>
    <t>10-5．出来高シミュレーション．出来高シミュレーションID</t>
    <rPh sb="5" eb="8">
      <t>デキダカ</t>
    </rPh>
    <rPh sb="17" eb="20">
      <t>デキダカ</t>
    </rPh>
    <phoneticPr fontId="3"/>
  </si>
  <si>
    <t>10-5．実行予算明細．大工事コード</t>
    <rPh sb="5" eb="11">
      <t>ジッコウヨサンメイサイ</t>
    </rPh>
    <rPh sb="12" eb="15">
      <t>ダイコウジ</t>
    </rPh>
    <phoneticPr fontId="3"/>
  </si>
  <si>
    <t>10-6．10-5で作成したリストを出来高シミュレーション予算項目テーブルに保存する</t>
    <rPh sb="10" eb="12">
      <t>サクセイ</t>
    </rPh>
    <rPh sb="18" eb="21">
      <t>デキダカ</t>
    </rPh>
    <rPh sb="29" eb="33">
      <t>ヨサンコウモク</t>
    </rPh>
    <rPh sb="38" eb="40">
      <t>ホゾン</t>
    </rPh>
    <phoneticPr fontId="3"/>
  </si>
  <si>
    <t>10-5．出来高シミュレーションID</t>
    <rPh sb="5" eb="8">
      <t>デキダカ</t>
    </rPh>
    <phoneticPr fontId="3"/>
  </si>
  <si>
    <t>10-5．大工事コード</t>
    <rPh sb="5" eb="8">
      <t>ダイコウジ</t>
    </rPh>
    <phoneticPr fontId="3"/>
  </si>
  <si>
    <t>11．すべての処理が終了した場合、メッセージを返して処理を終了する</t>
    <rPh sb="7" eb="9">
      <t>ショリ</t>
    </rPh>
    <rPh sb="10" eb="12">
      <t>シュウリョウ</t>
    </rPh>
    <rPh sb="14" eb="16">
      <t>バアイ</t>
    </rPh>
    <rPh sb="23" eb="24">
      <t>カエ</t>
    </rPh>
    <rPh sb="26" eb="28">
      <t>ショリ</t>
    </rPh>
    <rPh sb="29" eb="31">
      <t>シュウリョウ</t>
    </rPh>
    <phoneticPr fontId="3"/>
  </si>
  <si>
    <t>１．保存前の最新の歴番の取得</t>
    <rPh sb="2" eb="4">
      <t>ホゾン</t>
    </rPh>
    <rPh sb="4" eb="5">
      <t>マエ</t>
    </rPh>
    <rPh sb="6" eb="8">
      <t>サイシン</t>
    </rPh>
    <rPh sb="9" eb="11">
      <t>レキバン</t>
    </rPh>
    <rPh sb="12" eb="14">
      <t>シュトク</t>
    </rPh>
    <phoneticPr fontId="3"/>
  </si>
  <si>
    <t>※新規作成時（案件コードが未採番）の場合は実施しない。</t>
    <rPh sb="0" eb="5">
      <t>シンキサクセイジ</t>
    </rPh>
    <rPh sb="6" eb="8">
      <t>アンケン</t>
    </rPh>
    <rPh sb="12" eb="15">
      <t>ミサイバン</t>
    </rPh>
    <rPh sb="17" eb="19">
      <t>バアイ</t>
    </rPh>
    <rPh sb="20" eb="22">
      <t>ジッシ</t>
    </rPh>
    <phoneticPr fontId="3"/>
  </si>
  <si>
    <t>１-２．取得件数が１件以上の場合は内部変数に値を格納する。</t>
    <rPh sb="3" eb="7">
      <t>シュトクケンスウ</t>
    </rPh>
    <rPh sb="9" eb="10">
      <t>ケン</t>
    </rPh>
    <rPh sb="10" eb="12">
      <t>イジョウ</t>
    </rPh>
    <rPh sb="13" eb="15">
      <t>バアイ</t>
    </rPh>
    <rPh sb="16" eb="20">
      <t>ナイブヘンスウ</t>
    </rPh>
    <rPh sb="21" eb="22">
      <t>アタイ</t>
    </rPh>
    <rPh sb="23" eb="25">
      <t>カクノウ</t>
    </rPh>
    <phoneticPr fontId="3"/>
  </si>
  <si>
    <t>案件情報．削除フラグ　=　'0'（未取消）</t>
    <rPh sb="0" eb="2">
      <t>アンケン</t>
    </rPh>
    <rPh sb="2" eb="4">
      <t>ジョウホウ</t>
    </rPh>
    <rPh sb="5" eb="7">
      <t>サクジョ</t>
    </rPh>
    <rPh sb="17" eb="18">
      <t>ミ</t>
    </rPh>
    <rPh sb="18" eb="20">
      <t>トリケシ</t>
    </rPh>
    <phoneticPr fontId="3"/>
  </si>
  <si>
    <t>案件情報．最新フラグ　=　'1'（最新）</t>
    <rPh sb="0" eb="2">
      <t>アンケン</t>
    </rPh>
    <rPh sb="2" eb="4">
      <t>ジョウホウ</t>
    </rPh>
    <rPh sb="5" eb="7">
      <t>サイシン</t>
    </rPh>
    <rPh sb="17" eb="19">
      <t>サイシン</t>
    </rPh>
    <phoneticPr fontId="3"/>
  </si>
  <si>
    <t>１．案件情報．案件ID</t>
    <rPh sb="2" eb="4">
      <t>アンケン</t>
    </rPh>
    <rPh sb="4" eb="6">
      <t>ジョウホウ</t>
    </rPh>
    <rPh sb="7" eb="9">
      <t>アンケン</t>
    </rPh>
    <phoneticPr fontId="3"/>
  </si>
  <si>
    <t>歴番</t>
    <rPh sb="0" eb="2">
      <t>レキバン</t>
    </rPh>
    <phoneticPr fontId="4"/>
  </si>
  <si>
    <t>１．案件情報．歴番</t>
    <rPh sb="2" eb="4">
      <t>アンケン</t>
    </rPh>
    <rPh sb="4" eb="6">
      <t>ジョウホウ</t>
    </rPh>
    <rPh sb="7" eb="9">
      <t>レキバン</t>
    </rPh>
    <phoneticPr fontId="3"/>
  </si>
  <si>
    <t>2025/9/9　懸案対応中に記載漏れを発見したので追記（屋良）</t>
    <rPh sb="9" eb="14">
      <t>ケンアンタイオウチュウ</t>
    </rPh>
    <rPh sb="15" eb="18">
      <t>キサイモ</t>
    </rPh>
    <rPh sb="20" eb="22">
      <t>ハッケン</t>
    </rPh>
    <rPh sb="26" eb="28">
      <t>ツイキ</t>
    </rPh>
    <phoneticPr fontId="3"/>
  </si>
  <si>
    <t>案件情報．案件ID　=　１-２．案件ID</t>
    <rPh sb="5" eb="7">
      <t>アンケン</t>
    </rPh>
    <rPh sb="16" eb="18">
      <t>アンケン</t>
    </rPh>
    <phoneticPr fontId="3"/>
  </si>
  <si>
    <t>”2”（過去）</t>
    <rPh sb="4" eb="6">
      <t>カコ</t>
    </rPh>
    <phoneticPr fontId="3"/>
  </si>
  <si>
    <t>２-３．案件情報．案件ID</t>
    <rPh sb="4" eb="6">
      <t>アンケン</t>
    </rPh>
    <rPh sb="6" eb="8">
      <t>ジョウホウ</t>
    </rPh>
    <rPh sb="9" eb="11">
      <t>アンケン</t>
    </rPh>
    <phoneticPr fontId="3"/>
  </si>
  <si>
    <t>２-４．案件ID</t>
    <rPh sb="4" eb="6">
      <t>アンケン</t>
    </rPh>
    <phoneticPr fontId="3"/>
  </si>
  <si>
    <t>2025/9/9　懸案№40（屋良）</t>
    <rPh sb="9" eb="11">
      <t>ケンアン</t>
    </rPh>
    <rPh sb="15" eb="17">
      <t>ヤラ</t>
    </rPh>
    <phoneticPr fontId="5"/>
  </si>
  <si>
    <t>出来高請求案件フラグ</t>
    <phoneticPr fontId="3"/>
  </si>
  <si>
    <t>新規現場棟番号リスト</t>
    <phoneticPr fontId="3"/>
  </si>
  <si>
    <t>７．現場棟明細リストの棟コードを既存現場棟番号リストと比較して、既存棟コードとしてない新規のコードがある場合は、新規の棟番号の概算情報を作成する。</t>
    <rPh sb="2" eb="7">
      <t>ゲンバトウメイサイ</t>
    </rPh>
    <rPh sb="11" eb="12">
      <t>トウ</t>
    </rPh>
    <rPh sb="16" eb="18">
      <t>キゾン</t>
    </rPh>
    <rPh sb="18" eb="20">
      <t>ゲンバ</t>
    </rPh>
    <rPh sb="20" eb="23">
      <t>トウバンゴウ</t>
    </rPh>
    <rPh sb="27" eb="29">
      <t>ヒカク</t>
    </rPh>
    <rPh sb="32" eb="34">
      <t>キゾン</t>
    </rPh>
    <rPh sb="34" eb="35">
      <t>トウ</t>
    </rPh>
    <rPh sb="43" eb="45">
      <t>シンキ</t>
    </rPh>
    <rPh sb="52" eb="54">
      <t>バアイ</t>
    </rPh>
    <rPh sb="56" eb="58">
      <t>シンキ</t>
    </rPh>
    <rPh sb="59" eb="60">
      <t>トウ</t>
    </rPh>
    <rPh sb="60" eb="62">
      <t>バンゴウ</t>
    </rPh>
    <rPh sb="63" eb="65">
      <t>ガイサン</t>
    </rPh>
    <rPh sb="65" eb="67">
      <t>ジョウホウ</t>
    </rPh>
    <rPh sb="68" eb="70">
      <t>サクセイ</t>
    </rPh>
    <phoneticPr fontId="3"/>
  </si>
  <si>
    <t>※新規の棟コードの分だけ作成する。</t>
    <rPh sb="1" eb="3">
      <t>シンキ</t>
    </rPh>
    <rPh sb="4" eb="5">
      <t>トウ</t>
    </rPh>
    <rPh sb="9" eb="10">
      <t>ブン</t>
    </rPh>
    <rPh sb="12" eb="14">
      <t>サクセイ</t>
    </rPh>
    <phoneticPr fontId="3"/>
  </si>
  <si>
    <t>”G"+パラメータ．案件コード+パラメータ．現場棟明細リスト．棟コード</t>
    <rPh sb="10" eb="12">
      <t>アンケン</t>
    </rPh>
    <rPh sb="22" eb="24">
      <t>ゲンバ</t>
    </rPh>
    <rPh sb="24" eb="25">
      <t>トウ</t>
    </rPh>
    <rPh sb="25" eb="27">
      <t>メイサイ</t>
    </rPh>
    <rPh sb="31" eb="32">
      <t>トウ</t>
    </rPh>
    <phoneticPr fontId="3"/>
  </si>
  <si>
    <t>８．現場棟明細リストの棟コードを既存現場棟番号リストと比較して、既存棟コードとしてない新規のコードがある場合は、新規の棟番号の精積算情報を作成する。</t>
    <rPh sb="2" eb="7">
      <t>ゲンバトウメイサイ</t>
    </rPh>
    <rPh sb="11" eb="12">
      <t>トウ</t>
    </rPh>
    <rPh sb="16" eb="18">
      <t>キゾン</t>
    </rPh>
    <rPh sb="18" eb="20">
      <t>ゲンバ</t>
    </rPh>
    <rPh sb="20" eb="23">
      <t>トウバンゴウ</t>
    </rPh>
    <rPh sb="27" eb="29">
      <t>ヒカク</t>
    </rPh>
    <rPh sb="32" eb="34">
      <t>キゾン</t>
    </rPh>
    <rPh sb="34" eb="35">
      <t>トウ</t>
    </rPh>
    <rPh sb="43" eb="45">
      <t>シンキ</t>
    </rPh>
    <rPh sb="52" eb="54">
      <t>バアイ</t>
    </rPh>
    <rPh sb="56" eb="58">
      <t>シンキ</t>
    </rPh>
    <rPh sb="59" eb="60">
      <t>トウ</t>
    </rPh>
    <rPh sb="60" eb="62">
      <t>バンゴウ</t>
    </rPh>
    <rPh sb="63" eb="66">
      <t>セイセキサン</t>
    </rPh>
    <rPh sb="66" eb="68">
      <t>ジョウホウ</t>
    </rPh>
    <rPh sb="69" eb="71">
      <t>サクセイ</t>
    </rPh>
    <phoneticPr fontId="3"/>
  </si>
  <si>
    <t>”S"+パラメータ．案件コード+パラメータ．現場棟明細リスト．棟コード</t>
    <rPh sb="10" eb="12">
      <t>アンケン</t>
    </rPh>
    <rPh sb="22" eb="24">
      <t>ゲンバ</t>
    </rPh>
    <rPh sb="24" eb="25">
      <t>トウ</t>
    </rPh>
    <rPh sb="25" eb="27">
      <t>メイサイ</t>
    </rPh>
    <rPh sb="31" eb="32">
      <t>トウ</t>
    </rPh>
    <phoneticPr fontId="3"/>
  </si>
  <si>
    <t>不要な処理なので削除</t>
    <rPh sb="0" eb="2">
      <t>フヨウ</t>
    </rPh>
    <rPh sb="3" eb="5">
      <t>ショリ</t>
    </rPh>
    <rPh sb="8" eb="10">
      <t>サクジョ</t>
    </rPh>
    <phoneticPr fontId="3"/>
  </si>
  <si>
    <t>LEFT JOIN 物件情報</t>
    <rPh sb="10" eb="12">
      <t>ブッケン</t>
    </rPh>
    <rPh sb="12" eb="14">
      <t>ジョウホウ</t>
    </rPh>
    <phoneticPr fontId="3"/>
  </si>
  <si>
    <t>物件情報．物件コード　=　案件情報．物件コード</t>
    <phoneticPr fontId="3"/>
  </si>
  <si>
    <t>物件コード</t>
    <rPh sb="0" eb="2">
      <t>ブッケン</t>
    </rPh>
    <phoneticPr fontId="3"/>
  </si>
  <si>
    <t>物件名</t>
    <rPh sb="0" eb="3">
      <t>ブッケンメイ</t>
    </rPh>
    <phoneticPr fontId="3"/>
  </si>
  <si>
    <t>2025/9/9　懸案№51（屋良）</t>
    <phoneticPr fontId="3"/>
  </si>
  <si>
    <t>１．物件情報．物件コード</t>
    <rPh sb="2" eb="6">
      <t>ブッケンジョウホウ</t>
    </rPh>
    <rPh sb="7" eb="9">
      <t>ブッケン</t>
    </rPh>
    <phoneticPr fontId="3"/>
  </si>
  <si>
    <t>対象現場コード</t>
    <rPh sb="0" eb="4">
      <t>タイショウゲンバ</t>
    </rPh>
    <phoneticPr fontId="3"/>
  </si>
  <si>
    <t>１．物件情報．物件名</t>
    <rPh sb="2" eb="6">
      <t>ブッケンジョウホウ</t>
    </rPh>
    <rPh sb="7" eb="9">
      <t>ブッケン</t>
    </rPh>
    <rPh sb="9" eb="10">
      <t>メイ</t>
    </rPh>
    <phoneticPr fontId="3"/>
  </si>
  <si>
    <t>１．現場情報．現場名</t>
    <rPh sb="2" eb="4">
      <t>ゲンバ</t>
    </rPh>
    <rPh sb="4" eb="6">
      <t>ジョウホウ</t>
    </rPh>
    <rPh sb="7" eb="10">
      <t>ゲンバメイ</t>
    </rPh>
    <phoneticPr fontId="3"/>
  </si>
  <si>
    <t>対象現場名</t>
    <rPh sb="0" eb="4">
      <t>タイショウゲンバ</t>
    </rPh>
    <rPh sb="4" eb="5">
      <t>メイ</t>
    </rPh>
    <phoneticPr fontId="3"/>
  </si>
  <si>
    <t>LEFT JOIN 現場情報</t>
    <rPh sb="10" eb="12">
      <t>ゲンバ</t>
    </rPh>
    <rPh sb="12" eb="14">
      <t>ジョウホウ</t>
    </rPh>
    <phoneticPr fontId="3"/>
  </si>
  <si>
    <t>現場情報．現場コード　=　案件情報．対象現場コード</t>
    <rPh sb="5" eb="7">
      <t>ゲンバ</t>
    </rPh>
    <rPh sb="18" eb="22">
      <t>タイショウゲンバ</t>
    </rPh>
    <phoneticPr fontId="3"/>
  </si>
  <si>
    <t>API名称</t>
    <phoneticPr fontId="3"/>
  </si>
  <si>
    <t>桁数</t>
    <phoneticPr fontId="3"/>
  </si>
  <si>
    <t>＜初期表示＞</t>
    <rPh sb="1" eb="5">
      <t>ショキヒョウジ</t>
    </rPh>
    <phoneticPr fontId="3"/>
  </si>
  <si>
    <t xml:space="preserve">    "message": "success",</t>
  </si>
  <si>
    <t xml:space="preserve">        "社報情報": [</t>
    <rPh sb="11" eb="13">
      <t>ジョウホウ</t>
    </rPh>
    <phoneticPr fontId="3"/>
  </si>
  <si>
    <t>"一般申請情報ID","example一般申請情報ID",</t>
  </si>
  <si>
    <t>"発信№","example発信№</t>
  </si>
  <si>
    <t>"申請種別","example申請種別</t>
  </si>
  <si>
    <t>"宛先社員コード","example宛先社員コード</t>
  </si>
  <si>
    <t>"宛先社員名","example宛先社員名</t>
  </si>
  <si>
    <t>"発信者コード","example発信者コード</t>
  </si>
  <si>
    <t>"発信者名","example発信者名</t>
  </si>
  <si>
    <t>"件名","example件名</t>
  </si>
  <si>
    <t>"付帯文書","example付帯文書</t>
  </si>
  <si>
    <t>"申請内容","example申請内容</t>
  </si>
  <si>
    <t>"回答希望日","example回答希望日</t>
  </si>
  <si>
    <t>"申請者コード","example申請者コード</t>
  </si>
  <si>
    <t>"申請者連絡先","example申請者連絡先</t>
  </si>
  <si>
    <t>"申請日","example申請日</t>
  </si>
  <si>
    <t>"申請者氏名","example申請者氏名</t>
  </si>
  <si>
    <t>"申請者部門コード","example申請者部門コード</t>
  </si>
  <si>
    <t>"申請者部門名","example申請者部門名</t>
  </si>
  <si>
    <t xml:space="preserve">        "一般申請回答情報リスト": [</t>
    <rPh sb="9" eb="15">
      <t>イッパンシンセイカイトウ</t>
    </rPh>
    <rPh sb="15" eb="17">
      <t>ジョウホウ</t>
    </rPh>
    <phoneticPr fontId="3"/>
  </si>
  <si>
    <t>{"一般申請回答情報ID","example一般申請回答情報ID</t>
    <phoneticPr fontId="3"/>
  </si>
  <si>
    <t>"決済内容","example決済内容</t>
  </si>
  <si>
    <t>"決済日","example決済日</t>
  </si>
  <si>
    <t>"理由","example理由}]</t>
    <phoneticPr fontId="3"/>
  </si>
  <si>
    <t xml:space="preserve">        "一派申請添付ファイル情報リスト": [</t>
    <rPh sb="9" eb="13">
      <t>イッパシンセイ</t>
    </rPh>
    <rPh sb="13" eb="15">
      <t>テンプ</t>
    </rPh>
    <rPh sb="19" eb="21">
      <t>ジョウホウ</t>
    </rPh>
    <phoneticPr fontId="3"/>
  </si>
  <si>
    <t>｛"WF添付ファイル情報ID","exampleWF添付ファイル情報ID",</t>
    <phoneticPr fontId="3"/>
  </si>
  <si>
    <t>"添付ファイルID","example添付ファイルID",</t>
  </si>
  <si>
    <t>"ファイル保存パス","exampleファイル保存パス",</t>
  </si>
  <si>
    <t>"ファイル名","exampleファイル名",</t>
  </si>
  <si>
    <t>"ファイル拡張子","exampleファイル拡張子",</t>
  </si>
  <si>
    <t>"ファイルサイズ","exampleファイルサイズ",</t>
  </si>
  <si>
    <t>"削除フラグ","example削除フラグ",｝</t>
    <phoneticPr fontId="3"/>
  </si>
  <si>
    <t xml:space="preserve">        "回答添付ファイル情報リスト": [</t>
    <rPh sb="9" eb="11">
      <t>カイトウ</t>
    </rPh>
    <rPh sb="11" eb="13">
      <t>テンプ</t>
    </rPh>
    <rPh sb="17" eb="19">
      <t>ジョウホウ</t>
    </rPh>
    <phoneticPr fontId="3"/>
  </si>
  <si>
    <t xml:space="preserve">        ]</t>
  </si>
  <si>
    <t>案件登録選択肢検索API</t>
    <rPh sb="0" eb="2">
      <t>アンケン</t>
    </rPh>
    <rPh sb="2" eb="4">
      <t>トウロク</t>
    </rPh>
    <rPh sb="4" eb="7">
      <t>センタクシ</t>
    </rPh>
    <rPh sb="7" eb="9">
      <t>ケンサク</t>
    </rPh>
    <phoneticPr fontId="3"/>
  </si>
  <si>
    <t>対象現場内容</t>
    <rPh sb="0" eb="4">
      <t>タイショウゲンバ</t>
    </rPh>
    <rPh sb="4" eb="6">
      <t>ナイヨウ</t>
    </rPh>
    <phoneticPr fontId="3"/>
  </si>
  <si>
    <t>１．現場情報を取得する。</t>
    <rPh sb="2" eb="4">
      <t>ゲンバ</t>
    </rPh>
    <rPh sb="4" eb="6">
      <t>ジョウホウ</t>
    </rPh>
    <rPh sb="7" eb="9">
      <t>シュトク</t>
    </rPh>
    <phoneticPr fontId="3"/>
  </si>
  <si>
    <t>現場情報</t>
    <rPh sb="0" eb="2">
      <t>ゲンバ</t>
    </rPh>
    <rPh sb="2" eb="4">
      <t>ジョウホウ</t>
    </rPh>
    <phoneticPr fontId="3"/>
  </si>
  <si>
    <t>現場情報．現場コード　=　パラメータ．対象現場内容
OR　現場情報．現場名　=　パラメータ．対象現場内容</t>
    <rPh sb="0" eb="4">
      <t>ゲンバジョウホウ</t>
    </rPh>
    <rPh sb="5" eb="7">
      <t>ゲンバ</t>
    </rPh>
    <rPh sb="36" eb="37">
      <t>メイ</t>
    </rPh>
    <phoneticPr fontId="3"/>
  </si>
  <si>
    <t>現場名</t>
    <rPh sb="0" eb="3">
      <t>ゲンバメイ</t>
    </rPh>
    <phoneticPr fontId="4"/>
  </si>
  <si>
    <t>１．現場情報．現場コード</t>
    <rPh sb="2" eb="4">
      <t>ゲンバ</t>
    </rPh>
    <rPh sb="4" eb="6">
      <t>ジョウホウ</t>
    </rPh>
    <rPh sb="7" eb="9">
      <t>ゲンバ</t>
    </rPh>
    <phoneticPr fontId="3"/>
  </si>
  <si>
    <t>１．現場情報．現場名</t>
    <rPh sb="2" eb="4">
      <t>ゲンバ</t>
    </rPh>
    <rPh sb="4" eb="6">
      <t>ジョウホウ</t>
    </rPh>
    <rPh sb="7" eb="9">
      <t>ゲンバ</t>
    </rPh>
    <rPh sb="9" eb="10">
      <t>メイ</t>
    </rPh>
    <phoneticPr fontId="3"/>
  </si>
  <si>
    <t>＜対象現場検索処理＞</t>
    <rPh sb="1" eb="5">
      <t>タイショウゲンバ</t>
    </rPh>
    <rPh sb="5" eb="9">
      <t>ケンサクショリ</t>
    </rPh>
    <phoneticPr fontId="12"/>
  </si>
  <si>
    <t xml:space="preserve">案件情報更新API </t>
    <phoneticPr fontId="3"/>
  </si>
  <si>
    <t>出来高請求案件フラグ</t>
  </si>
  <si>
    <t>０．案件に紐づく現場情報を取得する。（※パラメータ．受注状態コード　=　”3”（途中解約）の場合のみ実施する。）</t>
    <rPh sb="2" eb="4">
      <t>アンケン</t>
    </rPh>
    <rPh sb="5" eb="6">
      <t>ヒモ</t>
    </rPh>
    <rPh sb="8" eb="10">
      <t>ゲンバ</t>
    </rPh>
    <rPh sb="10" eb="12">
      <t>ジョウホウ</t>
    </rPh>
    <rPh sb="13" eb="15">
      <t>シュトク</t>
    </rPh>
    <rPh sb="26" eb="30">
      <t>ジュチュウジョウタイ</t>
    </rPh>
    <rPh sb="40" eb="44">
      <t>トチュウカイヤク</t>
    </rPh>
    <rPh sb="46" eb="48">
      <t>バアイ</t>
    </rPh>
    <rPh sb="50" eb="52">
      <t>ジッシ</t>
    </rPh>
    <phoneticPr fontId="3"/>
  </si>
  <si>
    <t>２．パラメータ．組織IDが空白orNULLの場合は空のリストを戻り値として返して、処理を終了する。</t>
    <rPh sb="13" eb="15">
      <t>クウハク</t>
    </rPh>
    <rPh sb="22" eb="24">
      <t>バアイ</t>
    </rPh>
    <rPh sb="25" eb="26">
      <t>カラ</t>
    </rPh>
    <phoneticPr fontId="3"/>
  </si>
  <si>
    <t>社員リスト</t>
    <rPh sb="0" eb="2">
      <t>シャイン</t>
    </rPh>
    <phoneticPr fontId="3"/>
  </si>
  <si>
    <t>空のリスト</t>
    <rPh sb="0" eb="1">
      <t>カラ</t>
    </rPh>
    <phoneticPr fontId="3"/>
  </si>
  <si>
    <t>２-２．担当者の選択肢を取得</t>
    <rPh sb="4" eb="7">
      <t>タントウシャ</t>
    </rPh>
    <phoneticPr fontId="3"/>
  </si>
  <si>
    <t>従業員情報</t>
    <rPh sb="0" eb="5">
      <t>ジュウギョウインジョウホウ</t>
    </rPh>
    <phoneticPr fontId="3"/>
  </si>
  <si>
    <t>従業員情報．従業員コード、従業員情報．従業員氏名</t>
    <rPh sb="6" eb="9">
      <t>ジュウギョウイン</t>
    </rPh>
    <rPh sb="13" eb="16">
      <t>ジュウギョウイン</t>
    </rPh>
    <rPh sb="16" eb="18">
      <t>ジョウホウ</t>
    </rPh>
    <rPh sb="19" eb="22">
      <t>ジュウギョウイン</t>
    </rPh>
    <rPh sb="22" eb="24">
      <t>シメイ</t>
    </rPh>
    <phoneticPr fontId="3"/>
  </si>
  <si>
    <t>従業員情報．従業員氏名　％LIKE％　パラメータ．担当者</t>
    <rPh sb="0" eb="3">
      <t>ジュウギョウイン</t>
    </rPh>
    <rPh sb="3" eb="5">
      <t>ジョウホウ</t>
    </rPh>
    <rPh sb="6" eb="9">
      <t>ジュウギョウイン</t>
    </rPh>
    <rPh sb="9" eb="11">
      <t>シメイ</t>
    </rPh>
    <rPh sb="25" eb="28">
      <t>タントウシャ</t>
    </rPh>
    <phoneticPr fontId="3"/>
  </si>
  <si>
    <t>従業員・組織・対照表．組織ID　=　パラメータ．組織ID</t>
    <rPh sb="0" eb="3">
      <t>ジュウギョウイン</t>
    </rPh>
    <rPh sb="4" eb="6">
      <t>ソシキ</t>
    </rPh>
    <rPh sb="7" eb="10">
      <t>タイショウヒョウ</t>
    </rPh>
    <rPh sb="11" eb="13">
      <t>ソシキ</t>
    </rPh>
    <rPh sb="24" eb="26">
      <t>ソシキ</t>
    </rPh>
    <phoneticPr fontId="3"/>
  </si>
  <si>
    <t>従業員情報．最新フラグ　=　"1"（最新）</t>
    <rPh sb="0" eb="3">
      <t>ジュウギョウイン</t>
    </rPh>
    <rPh sb="3" eb="5">
      <t>ジョウホウ</t>
    </rPh>
    <rPh sb="6" eb="8">
      <t>サイシン</t>
    </rPh>
    <rPh sb="18" eb="20">
      <t>サイシン</t>
    </rPh>
    <phoneticPr fontId="3"/>
  </si>
  <si>
    <t>従業員情報．削除フラグ　=　"0"（未取消）</t>
    <rPh sb="0" eb="3">
      <t>ジュウギョウイン</t>
    </rPh>
    <rPh sb="3" eb="5">
      <t>ジョウホウ</t>
    </rPh>
    <rPh sb="6" eb="8">
      <t>サクジョ</t>
    </rPh>
    <rPh sb="18" eb="19">
      <t>ミ</t>
    </rPh>
    <rPh sb="19" eb="21">
      <t>トリケシ</t>
    </rPh>
    <phoneticPr fontId="3"/>
  </si>
  <si>
    <t>INNER JOIN　従業員・組織・対照表</t>
    <rPh sb="11" eb="14">
      <t>ジュウギョウイン</t>
    </rPh>
    <rPh sb="15" eb="17">
      <t>ソシキ</t>
    </rPh>
    <rPh sb="18" eb="21">
      <t>タイショウヒョウ</t>
    </rPh>
    <phoneticPr fontId="3"/>
  </si>
  <si>
    <t>従業員・組織・対照表．従業員ID　=　組織改定情報．従業員ID</t>
    <rPh sb="0" eb="3">
      <t>ジュウギョウイン</t>
    </rPh>
    <rPh sb="4" eb="6">
      <t>ソシキ</t>
    </rPh>
    <rPh sb="7" eb="10">
      <t>タイショウヒョウ</t>
    </rPh>
    <rPh sb="11" eb="14">
      <t>ジュウギョウイン</t>
    </rPh>
    <rPh sb="19" eb="21">
      <t>ソシキ</t>
    </rPh>
    <rPh sb="21" eb="23">
      <t>カイテイ</t>
    </rPh>
    <rPh sb="23" eb="25">
      <t>ジョウホウ</t>
    </rPh>
    <rPh sb="26" eb="29">
      <t>ジュウギョウイン</t>
    </rPh>
    <phoneticPr fontId="3"/>
  </si>
  <si>
    <t>従業員情報．従業員コード（昇順）</t>
    <rPh sb="13" eb="15">
      <t>ショウジュン</t>
    </rPh>
    <phoneticPr fontId="3"/>
  </si>
  <si>
    <t>２-３．取得件数が１件以上の場合は内部変数に値を格納する。</t>
    <rPh sb="3" eb="7">
      <t>シュトクケンスウ</t>
    </rPh>
    <rPh sb="9" eb="10">
      <t>ケン</t>
    </rPh>
    <rPh sb="10" eb="12">
      <t>イジョウ</t>
    </rPh>
    <rPh sb="13" eb="15">
      <t>バアイ</t>
    </rPh>
    <rPh sb="16" eb="20">
      <t>ナイブヘンスウ</t>
    </rPh>
    <rPh sb="21" eb="22">
      <t>アタイ</t>
    </rPh>
    <rPh sb="23" eb="25">
      <t>カクノウ</t>
    </rPh>
    <phoneticPr fontId="3"/>
  </si>
  <si>
    <t>社員コード</t>
    <rPh sb="0" eb="2">
      <t>シャイン</t>
    </rPh>
    <phoneticPr fontId="3"/>
  </si>
  <si>
    <t>２-２．従業員情報．従業員コード</t>
    <rPh sb="4" eb="7">
      <t>ジュウギョウイン</t>
    </rPh>
    <rPh sb="7" eb="9">
      <t>ジョウホウ</t>
    </rPh>
    <rPh sb="10" eb="13">
      <t>ジュウギョウイン</t>
    </rPh>
    <phoneticPr fontId="3"/>
  </si>
  <si>
    <t>社員名</t>
    <rPh sb="0" eb="2">
      <t>シャイン</t>
    </rPh>
    <rPh sb="2" eb="3">
      <t>メイ</t>
    </rPh>
    <phoneticPr fontId="3"/>
  </si>
  <si>
    <t>２-２．従業員情報．従業員氏名</t>
    <rPh sb="4" eb="7">
      <t>ジュウギョウイン</t>
    </rPh>
    <rPh sb="7" eb="9">
      <t>ジョウホウ</t>
    </rPh>
    <rPh sb="10" eb="13">
      <t>ジュウギョウイン</t>
    </rPh>
    <rPh sb="13" eb="15">
      <t>シメイ</t>
    </rPh>
    <phoneticPr fontId="3"/>
  </si>
  <si>
    <t>２-４．内部変数を戻り値として返して、処理を終了する。</t>
    <rPh sb="4" eb="8">
      <t>ナイブヘンスウ</t>
    </rPh>
    <phoneticPr fontId="3"/>
  </si>
  <si>
    <t>＜営業担当者検索処理＞</t>
    <rPh sb="1" eb="3">
      <t>エイギョウ</t>
    </rPh>
    <rPh sb="3" eb="6">
      <t>タントウシャ</t>
    </rPh>
    <rPh sb="6" eb="8">
      <t>ケンサク</t>
    </rPh>
    <rPh sb="8" eb="10">
      <t>ショリ</t>
    </rPh>
    <phoneticPr fontId="3"/>
  </si>
  <si>
    <t>１-３．内部変数を戻り値として返して、処理を終了する。</t>
    <rPh sb="4" eb="8">
      <t>ナイブヘンスウ</t>
    </rPh>
    <phoneticPr fontId="3"/>
  </si>
  <si>
    <t>組織ID</t>
    <rPh sb="0" eb="2">
      <t>ソシキ</t>
    </rPh>
    <phoneticPr fontId="3"/>
  </si>
  <si>
    <t>担当者</t>
    <rPh sb="0" eb="3">
      <t>タントウシャ</t>
    </rPh>
    <phoneticPr fontId="3"/>
  </si>
  <si>
    <t>営業担当者検索処理で使用する。</t>
    <rPh sb="0" eb="2">
      <t>エイギョウ</t>
    </rPh>
    <rPh sb="10" eb="12">
      <t>シヨウ</t>
    </rPh>
    <phoneticPr fontId="3"/>
  </si>
  <si>
    <t>2025/10/6</t>
    <phoneticPr fontId="3"/>
  </si>
  <si>
    <t>パラメータ．建託物件コード</t>
    <rPh sb="6" eb="8">
      <t>ケンタク</t>
    </rPh>
    <phoneticPr fontId="3"/>
  </si>
  <si>
    <t>建託物件コード</t>
    <rPh sb="0" eb="2">
      <t>ケンタク</t>
    </rPh>
    <rPh sb="2" eb="4">
      <t>ブッケン</t>
    </rPh>
    <phoneticPr fontId="3"/>
  </si>
  <si>
    <t>2025/10/6　懸案№352（屋良）</t>
    <phoneticPr fontId="3"/>
  </si>
  <si>
    <t>＜保存処理＞</t>
    <rPh sb="1" eb="5">
      <t>ホゾンショリ</t>
    </rPh>
    <phoneticPr fontId="3"/>
  </si>
  <si>
    <t>９．パラメータ．受注状態コード=”2”（成約）だった場合、物件情報にデータを作成する</t>
    <rPh sb="20" eb="22">
      <t>セイヤク</t>
    </rPh>
    <phoneticPr fontId="3"/>
  </si>
  <si>
    <t>精積算ヘッダ．案件コード = 現場明細リスト．案件コード</t>
    <rPh sb="0" eb="3">
      <t>セイセキサン</t>
    </rPh>
    <rPh sb="7" eb="9">
      <t>アンケン</t>
    </rPh>
    <rPh sb="15" eb="19">
      <t>ゲンバメイサイ</t>
    </rPh>
    <rPh sb="23" eb="25">
      <t>アンケン</t>
    </rPh>
    <phoneticPr fontId="3"/>
  </si>
  <si>
    <t>精積算ヘッダ．棟コード = 現場明細リスト．棟コード</t>
    <rPh sb="0" eb="1">
      <t>セイ</t>
    </rPh>
    <rPh sb="1" eb="3">
      <t>セキサン</t>
    </rPh>
    <rPh sb="7" eb="8">
      <t>トウ</t>
    </rPh>
    <rPh sb="14" eb="16">
      <t>ゲンバ</t>
    </rPh>
    <rPh sb="16" eb="18">
      <t>メイサイ</t>
    </rPh>
    <rPh sb="22" eb="23">
      <t>トウ</t>
    </rPh>
    <phoneticPr fontId="3"/>
  </si>
  <si>
    <t>精積算ヘッダ．最新フラグ= ”1”</t>
    <rPh sb="0" eb="1">
      <t>セイ</t>
    </rPh>
    <rPh sb="1" eb="3">
      <t>セキサン</t>
    </rPh>
    <rPh sb="7" eb="9">
      <t>サイシン</t>
    </rPh>
    <phoneticPr fontId="3"/>
  </si>
  <si>
    <t>精積算明細．精積算ヘッダID = 現場明細リスト．精積算ヘッダID</t>
    <rPh sb="0" eb="3">
      <t>セイセキサン</t>
    </rPh>
    <rPh sb="3" eb="5">
      <t>メイサイ</t>
    </rPh>
    <rPh sb="6" eb="9">
      <t>セイセキサン</t>
    </rPh>
    <rPh sb="17" eb="21">
      <t>ゲンバメイサイ</t>
    </rPh>
    <rPh sb="25" eb="28">
      <t>セイセキサン</t>
    </rPh>
    <phoneticPr fontId="3"/>
  </si>
  <si>
    <t>精積算明細．削除フラグ=”1”（有効）</t>
    <rPh sb="0" eb="1">
      <t>セイ</t>
    </rPh>
    <rPh sb="1" eb="3">
      <t>セキサン</t>
    </rPh>
    <rPh sb="3" eb="5">
      <t>メイサイ</t>
    </rPh>
    <rPh sb="6" eb="8">
      <t>サクジョ</t>
    </rPh>
    <rPh sb="16" eb="18">
      <t>ユウコウ</t>
    </rPh>
    <phoneticPr fontId="3"/>
  </si>
  <si>
    <t>実行予算ヘッダ．精積算コード=現場明細リスト．精積算コード</t>
    <rPh sb="0" eb="4">
      <t>ジッコウヨサン</t>
    </rPh>
    <rPh sb="8" eb="11">
      <t>セイセキサン</t>
    </rPh>
    <rPh sb="15" eb="19">
      <t>ゲンバメイサイ</t>
    </rPh>
    <rPh sb="23" eb="26">
      <t>セイセキサン</t>
    </rPh>
    <phoneticPr fontId="3"/>
  </si>
  <si>
    <t>概算ヘッダ．案件コード=現場明細リスト．案件コード</t>
    <rPh sb="0" eb="2">
      <t>ガイサン</t>
    </rPh>
    <rPh sb="6" eb="8">
      <t>アンケン</t>
    </rPh>
    <rPh sb="12" eb="16">
      <t>ゲンバメイサイ</t>
    </rPh>
    <rPh sb="20" eb="22">
      <t>アンケン</t>
    </rPh>
    <phoneticPr fontId="3"/>
  </si>
  <si>
    <t>概算ヘッダ．棟コード=現場明細リスト．棟コード</t>
    <rPh sb="0" eb="2">
      <t>ガイサン</t>
    </rPh>
    <rPh sb="6" eb="7">
      <t>トウ</t>
    </rPh>
    <rPh sb="11" eb="15">
      <t>ゲンバメイサイ</t>
    </rPh>
    <rPh sb="19" eb="20">
      <t>トウ</t>
    </rPh>
    <phoneticPr fontId="3"/>
  </si>
  <si>
    <t>概算ヘッダ．最新フラグ=”1”</t>
    <rPh sb="0" eb="2">
      <t>ガイサン</t>
    </rPh>
    <rPh sb="6" eb="8">
      <t>サイシン</t>
    </rPh>
    <phoneticPr fontId="3"/>
  </si>
  <si>
    <t>出来高シミュレーション．概算コード=現場明細．概算コード</t>
    <rPh sb="0" eb="3">
      <t>デキダカ</t>
    </rPh>
    <rPh sb="12" eb="14">
      <t>ガイサン</t>
    </rPh>
    <rPh sb="18" eb="22">
      <t>ゲンバメイサイ</t>
    </rPh>
    <rPh sb="23" eb="25">
      <t>ガイサン</t>
    </rPh>
    <phoneticPr fontId="3"/>
  </si>
  <si>
    <t>出来高シミュレーション．削除フラグ=”1”（取消）</t>
    <rPh sb="0" eb="3">
      <t>デキダカ</t>
    </rPh>
    <rPh sb="12" eb="14">
      <t>サクジョ</t>
    </rPh>
    <rPh sb="22" eb="24">
      <t>トリケシ</t>
    </rPh>
    <phoneticPr fontId="3"/>
  </si>
  <si>
    <t>出来高シミュレーション．現場コード=現場明細．現場コード</t>
    <rPh sb="0" eb="3">
      <t>デキダカ</t>
    </rPh>
    <rPh sb="12" eb="14">
      <t>ゲンバ</t>
    </rPh>
    <rPh sb="18" eb="22">
      <t>ゲンバメイサイ</t>
    </rPh>
    <rPh sb="23" eb="25">
      <t>ゲンバ</t>
    </rPh>
    <phoneticPr fontId="3"/>
  </si>
  <si>
    <t>出来高シミュレーション．出来高シミュレーションID=現場明細．出来高シミュレーションID</t>
    <rPh sb="0" eb="3">
      <t>デキダカ</t>
    </rPh>
    <rPh sb="12" eb="15">
      <t>デキダカ</t>
    </rPh>
    <rPh sb="26" eb="30">
      <t>ゲンバメイサイ</t>
    </rPh>
    <rPh sb="31" eb="34">
      <t>デキダカ</t>
    </rPh>
    <phoneticPr fontId="3"/>
  </si>
  <si>
    <t>実行予算ヘッダ．現場コード=出来高シミュレーション．現場コード</t>
    <rPh sb="0" eb="4">
      <t>ジッコウヨサン</t>
    </rPh>
    <rPh sb="8" eb="10">
      <t>ゲンバ</t>
    </rPh>
    <rPh sb="14" eb="17">
      <t>デキダカ</t>
    </rPh>
    <rPh sb="26" eb="28">
      <t>ゲンバ</t>
    </rPh>
    <phoneticPr fontId="3"/>
  </si>
  <si>
    <t>実行予算明細．実行予算ヘッダID=実行予算ヘッダ．実行予算ヘッダID</t>
    <rPh sb="0" eb="4">
      <t>ジッコウヨサン</t>
    </rPh>
    <rPh sb="4" eb="6">
      <t>メイサイ</t>
    </rPh>
    <rPh sb="7" eb="11">
      <t>ジッコウヨサン</t>
    </rPh>
    <rPh sb="17" eb="21">
      <t>ジッコウヨサン</t>
    </rPh>
    <rPh sb="25" eb="29">
      <t>ジッコウヨサン</t>
    </rPh>
    <phoneticPr fontId="3"/>
  </si>
  <si>
    <t>０-３．取得件数が１件以上の場合は内部変数に値を格納する。</t>
    <rPh sb="7" eb="8">
      <t>ケン</t>
    </rPh>
    <rPh sb="8" eb="10">
      <t>イジョウ</t>
    </rPh>
    <rPh sb="11" eb="13">
      <t>バアイ</t>
    </rPh>
    <rPh sb="14" eb="18">
      <t>ナイブヘンスウ</t>
    </rPh>
    <rPh sb="19" eb="20">
      <t>アタイ</t>
    </rPh>
    <rPh sb="21" eb="23">
      <t>カクノウ</t>
    </rPh>
    <phoneticPr fontId="3"/>
  </si>
  <si>
    <t>０-４．現場コードリストを条件に発注情報を取得する。</t>
    <rPh sb="11" eb="13">
      <t>ジョウケン</t>
    </rPh>
    <rPh sb="14" eb="16">
      <t>ハッチュウ</t>
    </rPh>
    <rPh sb="16" eb="18">
      <t>ジョウホウ</t>
    </rPh>
    <rPh sb="19" eb="21">
      <t>シュトク</t>
    </rPh>
    <phoneticPr fontId="3"/>
  </si>
  <si>
    <t>０-６．取得件数が１件以上の場合は内部変数に値を格納する。</t>
    <rPh sb="7" eb="8">
      <t>ケン</t>
    </rPh>
    <rPh sb="8" eb="10">
      <t>イジョウ</t>
    </rPh>
    <rPh sb="11" eb="13">
      <t>バアイ</t>
    </rPh>
    <rPh sb="14" eb="18">
      <t>ナイブヘンスウ</t>
    </rPh>
    <rPh sb="19" eb="20">
      <t>アタイ</t>
    </rPh>
    <rPh sb="21" eb="23">
      <t>カクノウ</t>
    </rPh>
    <phoneticPr fontId="3"/>
  </si>
  <si>
    <t>０-７．未発注確認用リストをループして以下の処理を実施する。</t>
    <rPh sb="17" eb="19">
      <t>イカ</t>
    </rPh>
    <rPh sb="20" eb="22">
      <t>ショリ</t>
    </rPh>
    <rPh sb="23" eb="25">
      <t>ジッシ</t>
    </rPh>
    <phoneticPr fontId="3"/>
  </si>
  <si>
    <t>０-８．未査定残有りリストが１件以上ある場合は、保存処理を中断してエラーメッセージを返す。</t>
    <rPh sb="13" eb="14">
      <t>ケン</t>
    </rPh>
    <rPh sb="14" eb="16">
      <t>イジョウ</t>
    </rPh>
    <rPh sb="18" eb="20">
      <t>バアイ</t>
    </rPh>
    <rPh sb="22" eb="26">
      <t>ホゾンショリ</t>
    </rPh>
    <rPh sb="27" eb="29">
      <t>チュウダン</t>
    </rPh>
    <rPh sb="40" eb="41">
      <t>カエ</t>
    </rPh>
    <phoneticPr fontId="3"/>
  </si>
  <si>
    <t>１-２．取得件数が１件以上の場合は内部変数に値を格納する。</t>
    <rPh sb="8" eb="9">
      <t>ケン</t>
    </rPh>
    <rPh sb="9" eb="11">
      <t>イジョウ</t>
    </rPh>
    <rPh sb="12" eb="14">
      <t>バアイ</t>
    </rPh>
    <rPh sb="15" eb="19">
      <t>ナイブヘンスウ</t>
    </rPh>
    <rPh sb="20" eb="21">
      <t>アタイ</t>
    </rPh>
    <rPh sb="22" eb="24">
      <t>カクノウ</t>
    </rPh>
    <phoneticPr fontId="3"/>
  </si>
  <si>
    <t>１-２．取得件数が１件以上の場合は前回履歴の最新フラグを更新する。</t>
    <rPh sb="8" eb="9">
      <t>ケン</t>
    </rPh>
    <rPh sb="9" eb="11">
      <t>イジョウ</t>
    </rPh>
    <rPh sb="12" eb="14">
      <t>バアイ</t>
    </rPh>
    <rPh sb="16" eb="18">
      <t>ゼンカイ</t>
    </rPh>
    <rPh sb="18" eb="20">
      <t>リレキ</t>
    </rPh>
    <rPh sb="21" eb="23">
      <t>サイシン</t>
    </rPh>
    <rPh sb="27" eb="29">
      <t>コウシン</t>
    </rPh>
    <phoneticPr fontId="3"/>
  </si>
  <si>
    <t>２．案件情報を作成する。</t>
    <rPh sb="5" eb="7">
      <t>サクセイ</t>
    </rPh>
    <phoneticPr fontId="3"/>
  </si>
  <si>
    <t>１-２．歴番+1（取得できてない場合は”1”）</t>
    <rPh sb="3" eb="5">
      <t>レキバン</t>
    </rPh>
    <rPh sb="8" eb="10">
      <t>シュトク</t>
    </rPh>
    <rPh sb="15" eb="17">
      <t>バアイ</t>
    </rPh>
    <phoneticPr fontId="3"/>
  </si>
  <si>
    <t>２-２．保存できなかった場合は処理を終了。</t>
    <rPh sb="10" eb="12">
      <t>バアイ</t>
    </rPh>
    <phoneticPr fontId="3"/>
  </si>
  <si>
    <t>２-３．保存できた場合は案件IDを取得する。</t>
    <rPh sb="3" eb="5">
      <t>ホゾン</t>
    </rPh>
    <rPh sb="8" eb="10">
      <t>バアイ</t>
    </rPh>
    <rPh sb="11" eb="13">
      <t>アンケン</t>
    </rPh>
    <rPh sb="16" eb="18">
      <t>シュトク</t>
    </rPh>
    <phoneticPr fontId="3"/>
  </si>
  <si>
    <t>２-４．取得件数が１件以上の場合は内部変数に値を格納する。</t>
    <rPh sb="8" eb="9">
      <t>ケン</t>
    </rPh>
    <rPh sb="9" eb="11">
      <t>イジョウ</t>
    </rPh>
    <rPh sb="12" eb="14">
      <t>バアイ</t>
    </rPh>
    <rPh sb="15" eb="19">
      <t>ナイブヘンスウ</t>
    </rPh>
    <rPh sb="20" eb="21">
      <t>アタイ</t>
    </rPh>
    <rPh sb="22" eb="24">
      <t>カクノウ</t>
    </rPh>
    <phoneticPr fontId="3"/>
  </si>
  <si>
    <t>３．請求条件明細情報を保存する</t>
  </si>
  <si>
    <t>４．現場棟明細情報を保存する</t>
  </si>
  <si>
    <t>５．案件要望明細情報を保存する</t>
  </si>
  <si>
    <t>６．先行作業明細情報を保存する</t>
  </si>
  <si>
    <t>9-2．各ループ中で保存できた場合は以下レコードを取得しリストで保持。</t>
    <rPh sb="6" eb="7">
      <t>ナカ</t>
    </rPh>
    <rPh sb="8" eb="10">
      <t>ホゾン</t>
    </rPh>
    <rPh sb="13" eb="15">
      <t>バアイ</t>
    </rPh>
    <rPh sb="16" eb="18">
      <t>イカ</t>
    </rPh>
    <rPh sb="23" eb="25">
      <t>シュトク</t>
    </rPh>
    <rPh sb="30" eb="32">
      <t>ホジ</t>
    </rPh>
    <phoneticPr fontId="3"/>
  </si>
  <si>
    <t>歴番</t>
  </si>
  <si>
    <t>eリバ連携フラグ</t>
  </si>
  <si>
    <t>※記載のない項目は空白で更新する。</t>
    <rPh sb="1" eb="3">
      <t>キサイ</t>
    </rPh>
    <rPh sb="6" eb="8">
      <t>コウモク</t>
    </rPh>
    <rPh sb="9" eb="11">
      <t>クウハク</t>
    </rPh>
    <rPh sb="12" eb="14">
      <t>コウシン</t>
    </rPh>
    <phoneticPr fontId="3"/>
  </si>
  <si>
    <t>パラメータ．建託物件コード
（建託物件コードが空白の場合は、自動採番を行う）</t>
    <rPh sb="6" eb="8">
      <t>ケンタク</t>
    </rPh>
    <rPh sb="8" eb="10">
      <t>ブッケン</t>
    </rPh>
    <phoneticPr fontId="3"/>
  </si>
  <si>
    <t>”0”（申請中）</t>
    <rPh sb="4" eb="7">
      <t>シンセイチュウ</t>
    </rPh>
    <phoneticPr fontId="3"/>
  </si>
  <si>
    <t>2025/10/6　懸案№353（屋良）</t>
  </si>
  <si>
    <t>2025/10/6　懸案№353（屋良）</t>
    <phoneticPr fontId="3"/>
  </si>
  <si>
    <t>2025/10/6　懸案№354（屋良）</t>
    <phoneticPr fontId="3"/>
  </si>
  <si>
    <t>パラメータ．案件名</t>
    <rPh sb="6" eb="9">
      <t>アンケンメイ</t>
    </rPh>
    <phoneticPr fontId="3"/>
  </si>
  <si>
    <t>パラメータ．案件カナ名</t>
    <rPh sb="6" eb="8">
      <t>アンケン</t>
    </rPh>
    <rPh sb="10" eb="11">
      <t>メイ</t>
    </rPh>
    <phoneticPr fontId="3"/>
  </si>
  <si>
    <t>パラメータ．完工希望日</t>
    <rPh sb="6" eb="8">
      <t>カンコウ</t>
    </rPh>
    <rPh sb="8" eb="11">
      <t>キボウビ</t>
    </rPh>
    <phoneticPr fontId="3"/>
  </si>
  <si>
    <t>パラメータ．物件住所１</t>
    <rPh sb="6" eb="10">
      <t>ブッケンジュウショ</t>
    </rPh>
    <phoneticPr fontId="3"/>
  </si>
  <si>
    <t>パラメータ．物件住所２</t>
    <rPh sb="6" eb="10">
      <t>ブッケンジュウショ</t>
    </rPh>
    <phoneticPr fontId="3"/>
  </si>
  <si>
    <t>”0”（未連携）</t>
    <rPh sb="4" eb="7">
      <t>ミレンケイ</t>
    </rPh>
    <phoneticPr fontId="3"/>
  </si>
  <si>
    <t>物件情報：物件ID</t>
    <rPh sb="0" eb="4">
      <t>ブッケンジョウホウ</t>
    </rPh>
    <rPh sb="5" eb="7">
      <t>ブッケン</t>
    </rPh>
    <phoneticPr fontId="3"/>
  </si>
  <si>
    <t>物件情報．最新フラグ　=　"0"（申請中）</t>
    <rPh sb="5" eb="7">
      <t>サイシン</t>
    </rPh>
    <rPh sb="17" eb="20">
      <t>シンセイチュウ</t>
    </rPh>
    <phoneticPr fontId="3"/>
  </si>
  <si>
    <t>物件情報．削除フラグ　=　"0"（未取消）</t>
    <rPh sb="5" eb="7">
      <t>サクジョ</t>
    </rPh>
    <rPh sb="17" eb="18">
      <t>ミ</t>
    </rPh>
    <rPh sb="18" eb="20">
      <t>トリケシ</t>
    </rPh>
    <phoneticPr fontId="3"/>
  </si>
  <si>
    <t>物件ID</t>
    <rPh sb="0" eb="2">
      <t>ブッケン</t>
    </rPh>
    <phoneticPr fontId="3"/>
  </si>
  <si>
    <t>１０．更新後の物件情報からIDを取得する。</t>
    <rPh sb="3" eb="6">
      <t>コウシンゴ</t>
    </rPh>
    <rPh sb="7" eb="11">
      <t>ブッケンジョウホウ</t>
    </rPh>
    <rPh sb="16" eb="18">
      <t>シュトク</t>
    </rPh>
    <phoneticPr fontId="3"/>
  </si>
  <si>
    <t>物件情報．物件コード　=　９で保存時に使用した物件コード</t>
    <rPh sb="0" eb="4">
      <t>ブッケンジョウホウ</t>
    </rPh>
    <rPh sb="5" eb="7">
      <t>ブッケン</t>
    </rPh>
    <rPh sb="15" eb="18">
      <t>ホゾンジ</t>
    </rPh>
    <rPh sb="19" eb="21">
      <t>シヨウ</t>
    </rPh>
    <rPh sb="23" eb="25">
      <t>ブッケン</t>
    </rPh>
    <phoneticPr fontId="3"/>
  </si>
  <si>
    <t>１０．物件情報．物件ID</t>
    <rPh sb="3" eb="7">
      <t>ブッケンジョウホウ</t>
    </rPh>
    <rPh sb="8" eb="10">
      <t>ブッケン</t>
    </rPh>
    <phoneticPr fontId="3"/>
  </si>
  <si>
    <t>１０-２．取得件数が１件以上の場合は内部変数に値を格納する。</t>
    <phoneticPr fontId="3"/>
  </si>
  <si>
    <t>１１．現場棟明細リストの棟コードを既存現場棟番号リストと比較して、既存棟コードとしてない新規のコードがある場合は、新規の棟番号の概算情報を作成する。</t>
    <rPh sb="3" eb="8">
      <t>ゲンバトウメイサイ</t>
    </rPh>
    <rPh sb="12" eb="13">
      <t>トウ</t>
    </rPh>
    <rPh sb="17" eb="19">
      <t>キゾン</t>
    </rPh>
    <rPh sb="19" eb="21">
      <t>ゲンバ</t>
    </rPh>
    <rPh sb="21" eb="24">
      <t>トウバンゴウ</t>
    </rPh>
    <rPh sb="28" eb="30">
      <t>ヒカク</t>
    </rPh>
    <rPh sb="33" eb="35">
      <t>キゾン</t>
    </rPh>
    <rPh sb="35" eb="36">
      <t>トウ</t>
    </rPh>
    <rPh sb="44" eb="46">
      <t>シンキ</t>
    </rPh>
    <rPh sb="53" eb="55">
      <t>バアイ</t>
    </rPh>
    <rPh sb="57" eb="59">
      <t>シンキ</t>
    </rPh>
    <rPh sb="60" eb="61">
      <t>トウ</t>
    </rPh>
    <rPh sb="61" eb="63">
      <t>バンゴウ</t>
    </rPh>
    <rPh sb="64" eb="66">
      <t>ガイサン</t>
    </rPh>
    <rPh sb="66" eb="68">
      <t>ジョウホウ</t>
    </rPh>
    <rPh sb="69" eb="71">
      <t>サクセイ</t>
    </rPh>
    <phoneticPr fontId="3"/>
  </si>
  <si>
    <t>内部変数．物件ID</t>
    <rPh sb="0" eb="4">
      <t>ナイブヘンスウ</t>
    </rPh>
    <rPh sb="5" eb="7">
      <t>ブッケン</t>
    </rPh>
    <phoneticPr fontId="3"/>
  </si>
  <si>
    <t>現場棟明細リスト</t>
    <phoneticPr fontId="3"/>
  </si>
  <si>
    <t>パラメータ．現場棟明細リスト．棟コード</t>
    <rPh sb="15" eb="16">
      <t>トウ</t>
    </rPh>
    <phoneticPr fontId="3"/>
  </si>
  <si>
    <t>”000”（本体工事）</t>
    <rPh sb="6" eb="10">
      <t>ホンタイコウジ</t>
    </rPh>
    <phoneticPr fontId="3"/>
  </si>
  <si>
    <t>１０．物件情報．物件コード</t>
    <rPh sb="3" eb="7">
      <t>ブッケンジョウホウ</t>
    </rPh>
    <rPh sb="8" eb="10">
      <t>ブッケン</t>
    </rPh>
    <phoneticPr fontId="3"/>
  </si>
  <si>
    <t>内部変数．物件コード　+　”000”　+　パラメータ．現場棟明細リスト．棟コード</t>
    <rPh sb="0" eb="4">
      <t>ナイブヘンスウ</t>
    </rPh>
    <rPh sb="5" eb="7">
      <t>ブッケン</t>
    </rPh>
    <phoneticPr fontId="3"/>
  </si>
  <si>
    <t>K00101</t>
  </si>
  <si>
    <t>保存に失敗しました。管理者にお問い合わせください。</t>
    <rPh sb="0" eb="2">
      <t>ホゾン</t>
    </rPh>
    <rPh sb="3" eb="5">
      <t>シッパイ</t>
    </rPh>
    <rPh sb="10" eb="13">
      <t>カンリシャ</t>
    </rPh>
    <rPh sb="15" eb="16">
      <t>ト</t>
    </rPh>
    <rPh sb="17" eb="18">
      <t>ア</t>
    </rPh>
    <phoneticPr fontId="2"/>
  </si>
  <si>
    <t>保存が正常に完了しました。</t>
    <phoneticPr fontId="3"/>
  </si>
  <si>
    <t>※以下の№９～№Xの処理は、パラメータ．受注状態コード=”2”（成約）だった場合のみ実施する。</t>
    <rPh sb="1" eb="3">
      <t>イカ</t>
    </rPh>
    <rPh sb="10" eb="12">
      <t>ショリ</t>
    </rPh>
    <rPh sb="42" eb="44">
      <t>ジッシ</t>
    </rPh>
    <phoneticPr fontId="3"/>
  </si>
  <si>
    <t>９-２．物件情報にデータを作成する</t>
    <phoneticPr fontId="3"/>
  </si>
  <si>
    <t>（既に物件情報が作成済なら、起動時に取得された物件コードが入っている。初めて成約になったタイミングなら空白になっている。）</t>
    <rPh sb="0" eb="1">
      <t>スデ</t>
    </rPh>
    <rPh sb="3" eb="5">
      <t>ブッケン</t>
    </rPh>
    <rPh sb="5" eb="7">
      <t>ジョウホウ</t>
    </rPh>
    <rPh sb="7" eb="10">
      <t>サクセイズミ</t>
    </rPh>
    <rPh sb="13" eb="16">
      <t>キドウジ</t>
    </rPh>
    <rPh sb="17" eb="19">
      <t>シュトク</t>
    </rPh>
    <rPh sb="22" eb="24">
      <t>ブッケン</t>
    </rPh>
    <rPh sb="28" eb="29">
      <t>ハイ</t>
    </rPh>
    <rPh sb="34" eb="35">
      <t>ハジ</t>
    </rPh>
    <rPh sb="37" eb="39">
      <t>セイヤク</t>
    </rPh>
    <rPh sb="51" eb="53">
      <t>クウハク</t>
    </rPh>
    <phoneticPr fontId="3"/>
  </si>
  <si>
    <t>１１-２．作成した現場コードは内部変数で保持する。</t>
    <rPh sb="5" eb="7">
      <t>サクセイ</t>
    </rPh>
    <rPh sb="9" eb="11">
      <t>ゲンバ</t>
    </rPh>
    <rPh sb="15" eb="17">
      <t>ナイブ</t>
    </rPh>
    <rPh sb="17" eb="19">
      <t>ヘンスウ</t>
    </rPh>
    <rPh sb="20" eb="22">
      <t>ホジ</t>
    </rPh>
    <phoneticPr fontId="3"/>
  </si>
  <si>
    <t>№１１で使用した現場コード</t>
    <rPh sb="4" eb="6">
      <t>シヨウ</t>
    </rPh>
    <rPh sb="8" eb="10">
      <t>ゲンバ</t>
    </rPh>
    <phoneticPr fontId="3"/>
  </si>
  <si>
    <t>９．パラメータ．物件コードが空白ではない場合は、№１０の処理へ</t>
    <rPh sb="8" eb="10">
      <t>ブッケン</t>
    </rPh>
    <rPh sb="14" eb="16">
      <t>クウハク</t>
    </rPh>
    <rPh sb="20" eb="22">
      <t>バアイ</t>
    </rPh>
    <rPh sb="28" eb="30">
      <t>ショリ</t>
    </rPh>
    <phoneticPr fontId="3"/>
  </si>
  <si>
    <t>１０．物件情報からIDを取得する。</t>
    <rPh sb="3" eb="7">
      <t>ブッケンジョウホウ</t>
    </rPh>
    <rPh sb="12" eb="14">
      <t>シュトク</t>
    </rPh>
    <phoneticPr fontId="3"/>
  </si>
  <si>
    <t>【№９の処理が実施された場合】
物件情報．物件コード　=　９で保存時に使用した物件コード
【№９の処理が実施されていない場合】
物件情報．物件コード　=　パラメータ．物件コード</t>
    <rPh sb="7" eb="9">
      <t>ジッシ</t>
    </rPh>
    <rPh sb="12" eb="14">
      <t>バアイ</t>
    </rPh>
    <rPh sb="16" eb="20">
      <t>ブッケンジョウホウ</t>
    </rPh>
    <rPh sb="21" eb="23">
      <t>ブッケン</t>
    </rPh>
    <rPh sb="31" eb="34">
      <t>ホゾンジ</t>
    </rPh>
    <rPh sb="35" eb="37">
      <t>シヨウ</t>
    </rPh>
    <rPh sb="39" eb="41">
      <t>ブッケン</t>
    </rPh>
    <rPh sb="60" eb="62">
      <t>バアイ</t>
    </rPh>
    <phoneticPr fontId="3"/>
  </si>
  <si>
    <t>物件情報．最新フラグ　=　"0"（申請中）　OR　”1”（最新）</t>
    <rPh sb="5" eb="7">
      <t>サイシン</t>
    </rPh>
    <rPh sb="17" eb="20">
      <t>シンセイチュウ</t>
    </rPh>
    <rPh sb="29" eb="31">
      <t>サイシン</t>
    </rPh>
    <phoneticPr fontId="3"/>
  </si>
  <si>
    <t>物件情報：物件ID、履歴（MAX）</t>
    <rPh sb="0" eb="4">
      <t>ブッケンジョウホウ</t>
    </rPh>
    <rPh sb="5" eb="7">
      <t>ブッケン</t>
    </rPh>
    <rPh sb="10" eb="12">
      <t>リレキ</t>
    </rPh>
    <phoneticPr fontId="3"/>
  </si>
  <si>
    <t>※内部変数．現場コードリストの件数分作成する。</t>
    <rPh sb="1" eb="5">
      <t>ナイブヘンスウ</t>
    </rPh>
    <rPh sb="6" eb="8">
      <t>ゲンバ</t>
    </rPh>
    <rPh sb="15" eb="17">
      <t>ケンスウ</t>
    </rPh>
    <rPh sb="17" eb="20">
      <t>ブンサクセイ</t>
    </rPh>
    <phoneticPr fontId="3"/>
  </si>
  <si>
    <t>実行予算合計金額</t>
    <rPh sb="0" eb="8">
      <t>ジッコウヨサンゴウケイキンガク</t>
    </rPh>
    <phoneticPr fontId="3"/>
  </si>
  <si>
    <t>”0”（未取消）</t>
    <rPh sb="4" eb="7">
      <t>ミトリケシ</t>
    </rPh>
    <phoneticPr fontId="3"/>
  </si>
  <si>
    <t>１２．実行予算ヘッダの保存値となる精積算情報を取得する。</t>
    <rPh sb="3" eb="5">
      <t>ジッコウ</t>
    </rPh>
    <rPh sb="5" eb="7">
      <t>ヨサン</t>
    </rPh>
    <rPh sb="11" eb="13">
      <t>ホゾン</t>
    </rPh>
    <rPh sb="13" eb="14">
      <t>アタイ</t>
    </rPh>
    <rPh sb="17" eb="18">
      <t>セイ</t>
    </rPh>
    <rPh sb="18" eb="20">
      <t>セキサン</t>
    </rPh>
    <rPh sb="20" eb="22">
      <t>ジョウホウ</t>
    </rPh>
    <rPh sb="23" eb="25">
      <t>シュトク</t>
    </rPh>
    <phoneticPr fontId="3"/>
  </si>
  <si>
    <t>精積算ヘッダ</t>
    <rPh sb="0" eb="3">
      <t>セイセキサン</t>
    </rPh>
    <phoneticPr fontId="3"/>
  </si>
  <si>
    <t>№１１で使用した棟コード</t>
    <rPh sb="4" eb="6">
      <t>シヨウ</t>
    </rPh>
    <rPh sb="8" eb="9">
      <t>トウ</t>
    </rPh>
    <phoneticPr fontId="3"/>
  </si>
  <si>
    <t>精積算ヘッダ：精積算コード、精積算合計金額（MAX)、歴番（MAX)</t>
    <rPh sb="0" eb="1">
      <t>セイ</t>
    </rPh>
    <rPh sb="1" eb="3">
      <t>セキサン</t>
    </rPh>
    <rPh sb="7" eb="8">
      <t>セイ</t>
    </rPh>
    <rPh sb="8" eb="10">
      <t>セキサン</t>
    </rPh>
    <rPh sb="14" eb="15">
      <t>セイ</t>
    </rPh>
    <rPh sb="15" eb="17">
      <t>セキサン</t>
    </rPh>
    <rPh sb="17" eb="19">
      <t>ゴウケイ</t>
    </rPh>
    <rPh sb="19" eb="21">
      <t>キンガク</t>
    </rPh>
    <rPh sb="27" eb="29">
      <t>レキバン</t>
    </rPh>
    <phoneticPr fontId="3"/>
  </si>
  <si>
    <t>精積算ヘッダ．最新フラグ　=　"0"（申請中）　OR　”1”（最新）</t>
    <rPh sb="7" eb="9">
      <t>サイシン</t>
    </rPh>
    <rPh sb="19" eb="21">
      <t>サイシン</t>
    </rPh>
    <phoneticPr fontId="3"/>
  </si>
  <si>
    <t>精積算ヘッダ．削除フラグ　=　"0"（未取消）</t>
    <rPh sb="7" eb="9">
      <t>サクジョ</t>
    </rPh>
    <rPh sb="19" eb="20">
      <t>ミ</t>
    </rPh>
    <rPh sb="20" eb="22">
      <t>トリケシ</t>
    </rPh>
    <phoneticPr fontId="3"/>
  </si>
  <si>
    <t>精積算ヘッダ：精積算コード</t>
    <rPh sb="0" eb="1">
      <t>セイ</t>
    </rPh>
    <rPh sb="1" eb="3">
      <t>セキサン</t>
    </rPh>
    <rPh sb="7" eb="8">
      <t>セイ</t>
    </rPh>
    <rPh sb="8" eb="10">
      <t>セキサン</t>
    </rPh>
    <phoneticPr fontId="3"/>
  </si>
  <si>
    <t>精積算ヘッダ．棟コード　IN　内部変数．現場コードリスト．棟コード</t>
    <rPh sb="7" eb="8">
      <t>トウ</t>
    </rPh>
    <rPh sb="29" eb="30">
      <t>トウ</t>
    </rPh>
    <phoneticPr fontId="3"/>
  </si>
  <si>
    <t>精積算ヘッダ．案件コード　IN　№２で使用した案件コード</t>
    <rPh sb="7" eb="9">
      <t>アンケン</t>
    </rPh>
    <rPh sb="19" eb="21">
      <t>シヨウ</t>
    </rPh>
    <rPh sb="23" eb="25">
      <t>アンケン</t>
    </rPh>
    <phoneticPr fontId="3"/>
  </si>
  <si>
    <t>精積算合計金額</t>
    <rPh sb="0" eb="1">
      <t>セイ</t>
    </rPh>
    <rPh sb="1" eb="3">
      <t>セキサン</t>
    </rPh>
    <rPh sb="3" eb="5">
      <t>ゴウケイ</t>
    </rPh>
    <rPh sb="5" eb="7">
      <t>キンガク</t>
    </rPh>
    <phoneticPr fontId="3"/>
  </si>
  <si>
    <t>１２-２．取得件数が１件以上の場合は内部変数に値を格納する。</t>
    <phoneticPr fontId="3"/>
  </si>
  <si>
    <t>１３．新規で追加された現場の実行予算ヘッダを作成する。</t>
    <rPh sb="3" eb="5">
      <t>シンキ</t>
    </rPh>
    <rPh sb="6" eb="8">
      <t>ツイカ</t>
    </rPh>
    <rPh sb="11" eb="13">
      <t>ゲンバ</t>
    </rPh>
    <rPh sb="14" eb="18">
      <t>ジッコウヨサン</t>
    </rPh>
    <rPh sb="22" eb="24">
      <t>サクセイ</t>
    </rPh>
    <phoneticPr fontId="3"/>
  </si>
  <si>
    <t>１２．精積算ヘッダ．精積算コード</t>
    <rPh sb="3" eb="4">
      <t>セイ</t>
    </rPh>
    <rPh sb="4" eb="6">
      <t>セキサン</t>
    </rPh>
    <rPh sb="10" eb="11">
      <t>セイ</t>
    </rPh>
    <rPh sb="11" eb="13">
      <t>セキサン</t>
    </rPh>
    <phoneticPr fontId="3"/>
  </si>
  <si>
    <t>１２．精積算ヘッダ．精積算合計金額</t>
    <rPh sb="3" eb="4">
      <t>セイ</t>
    </rPh>
    <rPh sb="4" eb="6">
      <t>セキサン</t>
    </rPh>
    <rPh sb="10" eb="11">
      <t>セイ</t>
    </rPh>
    <rPh sb="11" eb="13">
      <t>セキサン</t>
    </rPh>
    <rPh sb="13" eb="15">
      <t>ゴウケイ</t>
    </rPh>
    <rPh sb="15" eb="17">
      <t>キンガク</t>
    </rPh>
    <phoneticPr fontId="3"/>
  </si>
  <si>
    <t>１４．新規で追加された現場の出来高シミュレーションを作成する。</t>
    <rPh sb="3" eb="5">
      <t>シンキ</t>
    </rPh>
    <rPh sb="6" eb="8">
      <t>ツイカ</t>
    </rPh>
    <rPh sb="11" eb="13">
      <t>ゲンバ</t>
    </rPh>
    <rPh sb="14" eb="17">
      <t>デキダカ</t>
    </rPh>
    <rPh sb="26" eb="28">
      <t>サクセイ</t>
    </rPh>
    <phoneticPr fontId="3"/>
  </si>
  <si>
    <t>１５．保存処理が失敗した場合は、戻り値を返して処理を終了する。</t>
    <rPh sb="8" eb="10">
      <t>シッパイ</t>
    </rPh>
    <phoneticPr fontId="3"/>
  </si>
  <si>
    <t>１６．保存処理が成功した場合は、戻り値を返して処理を終了する。</t>
    <phoneticPr fontId="3"/>
  </si>
  <si>
    <t>１．案件情報．物件コード</t>
    <rPh sb="2" eb="4">
      <t>アンケン</t>
    </rPh>
    <rPh sb="4" eb="6">
      <t>ジョウホウ</t>
    </rPh>
    <rPh sb="7" eb="9">
      <t>ブッケン</t>
    </rPh>
    <phoneticPr fontId="3"/>
  </si>
  <si>
    <t>１１．現場棟明細リストの棟コードを既存現場棟番号リストと比較して、既存棟コードとしてない新規のコードがある場合は、新規の棟番号の現場情報を作成する。</t>
    <rPh sb="3" eb="8">
      <t>ゲンバトウメイサイ</t>
    </rPh>
    <rPh sb="12" eb="13">
      <t>トウ</t>
    </rPh>
    <rPh sb="17" eb="19">
      <t>キゾン</t>
    </rPh>
    <rPh sb="19" eb="21">
      <t>ゲンバ</t>
    </rPh>
    <rPh sb="21" eb="24">
      <t>トウバンゴウ</t>
    </rPh>
    <rPh sb="28" eb="30">
      <t>ヒカク</t>
    </rPh>
    <rPh sb="33" eb="35">
      <t>キゾン</t>
    </rPh>
    <rPh sb="35" eb="36">
      <t>トウ</t>
    </rPh>
    <rPh sb="44" eb="46">
      <t>シンキ</t>
    </rPh>
    <rPh sb="53" eb="55">
      <t>バアイ</t>
    </rPh>
    <rPh sb="57" eb="59">
      <t>シンキ</t>
    </rPh>
    <rPh sb="60" eb="61">
      <t>トウ</t>
    </rPh>
    <rPh sb="61" eb="63">
      <t>バンゴウ</t>
    </rPh>
    <rPh sb="64" eb="66">
      <t>ゲンバ</t>
    </rPh>
    <rPh sb="66" eb="68">
      <t>ジョウホウ</t>
    </rPh>
    <rPh sb="69" eb="71">
      <t>サクセイ</t>
    </rPh>
    <phoneticPr fontId="3"/>
  </si>
  <si>
    <t>呉</t>
    <rPh sb="0" eb="1">
      <t>ゴ</t>
    </rPh>
    <phoneticPr fontId="3"/>
  </si>
  <si>
    <t>2025/10/25 呉</t>
    <rPh sb="11" eb="12">
      <t>ゴ</t>
    </rPh>
    <phoneticPr fontId="3"/>
  </si>
  <si>
    <r>
      <t>現場棟明細リスト</t>
    </r>
    <r>
      <rPr>
        <sz val="10"/>
        <color rgb="FFFF0000"/>
        <rFont val="游ゴシック"/>
        <family val="3"/>
        <charset val="128"/>
        <scheme val="minor"/>
      </rPr>
      <t>(追加分含む)</t>
    </r>
    <rPh sb="9" eb="11">
      <t>ツイカ</t>
    </rPh>
    <rPh sb="11" eb="12">
      <t>ブン</t>
    </rPh>
    <rPh sb="12" eb="13">
      <t>フク</t>
    </rPh>
    <phoneticPr fontId="3"/>
  </si>
  <si>
    <t>「案件更新処理フロー」シートを参照</t>
    <rPh sb="15" eb="17">
      <t>サンショウ</t>
    </rPh>
    <phoneticPr fontId="3"/>
  </si>
  <si>
    <t>E00068</t>
    <phoneticPr fontId="3"/>
  </si>
  <si>
    <t>引数</t>
    <rPh sb="0" eb="2">
      <t>ヒキスウ</t>
    </rPh>
    <phoneticPr fontId="3"/>
  </si>
  <si>
    <t>(なし)</t>
    <phoneticPr fontId="3"/>
  </si>
  <si>
    <t>2025/10/25 (呉)</t>
    <rPh sb="12" eb="13">
      <t>ゴ</t>
    </rPh>
    <phoneticPr fontId="3"/>
  </si>
  <si>
    <t>SQL</t>
    <phoneticPr fontId="3"/>
  </si>
  <si>
    <t>１．パラメータ</t>
    <phoneticPr fontId="3"/>
  </si>
  <si>
    <t>SELECT</t>
  </si>
  <si>
    <t>FROM</t>
  </si>
  <si>
    <t>WHERE</t>
  </si>
  <si>
    <t>案件情報 T1</t>
    <phoneticPr fontId="3"/>
  </si>
  <si>
    <t>INNER JOIN 現場棟明細 T2</t>
    <phoneticPr fontId="3"/>
  </si>
  <si>
    <t xml:space="preserve">  削除フラグ = '0'</t>
    <phoneticPr fontId="3"/>
  </si>
  <si>
    <t>ON T2.削除フラグ = '0'</t>
    <phoneticPr fontId="3"/>
  </si>
  <si>
    <t>AND T2.案件ID = T1.案件ID</t>
    <phoneticPr fontId="3"/>
  </si>
  <si>
    <t>INNER JOIN 概算ヘッダ T3</t>
    <phoneticPr fontId="3"/>
  </si>
  <si>
    <t>ON T3.削除フラグ = '0'</t>
    <phoneticPr fontId="3"/>
  </si>
  <si>
    <t>AND T3.棟コード = T2.棟コード</t>
    <phoneticPr fontId="3"/>
  </si>
  <si>
    <t>AND T3.案件コード = T1.案件コード</t>
    <phoneticPr fontId="3"/>
  </si>
  <si>
    <t xml:space="preserve">  T1.削除フラグ = '0'</t>
    <phoneticPr fontId="3"/>
  </si>
  <si>
    <t xml:space="preserve">  AND T1.最新フラグ = 最新フラグ = '1'</t>
    <phoneticPr fontId="3"/>
  </si>
  <si>
    <t xml:space="preserve">  AND T1.案件コード = パラメータ.案件コード</t>
    <phoneticPr fontId="3"/>
  </si>
  <si>
    <t>AND T2.棟コード IN (パラメータ.現場棟明細リスト(追加分含む)[i=0～n-1].棟コード)</t>
    <phoneticPr fontId="3"/>
  </si>
  <si>
    <t xml:space="preserve">  T3.棟コード</t>
    <phoneticPr fontId="3"/>
  </si>
  <si>
    <t>AND T3.最新フラグ  '1'</t>
    <phoneticPr fontId="3"/>
  </si>
  <si>
    <t xml:space="preserve"> ORDER BY T2.連番</t>
    <phoneticPr fontId="3"/>
  </si>
  <si>
    <t>7-1. 作成済の概算情報情報を検索</t>
    <rPh sb="5" eb="7">
      <t>サクセイ</t>
    </rPh>
    <rPh sb="7" eb="8">
      <t>スミ</t>
    </rPh>
    <rPh sb="13" eb="15">
      <t>ジョウホウ</t>
    </rPh>
    <rPh sb="16" eb="18">
      <t>ケンサク</t>
    </rPh>
    <phoneticPr fontId="3"/>
  </si>
  <si>
    <t>7-2. パラメータ.現場棟明細リスト(追加分含む).棟コードの中に、7-1の検索結果に存在しない棟コードを</t>
    <rPh sb="32" eb="33">
      <t>ナカ</t>
    </rPh>
    <rPh sb="39" eb="41">
      <t>ケンサク</t>
    </rPh>
    <rPh sb="41" eb="43">
      <t>ケッカ</t>
    </rPh>
    <rPh sb="44" eb="46">
      <t>ソンザイ</t>
    </rPh>
    <phoneticPr fontId="3"/>
  </si>
  <si>
    <t>概算情報未作成リストに追加</t>
    <rPh sb="0" eb="2">
      <t>ガイサン</t>
    </rPh>
    <rPh sb="2" eb="4">
      <t>ジョウホウ</t>
    </rPh>
    <rPh sb="4" eb="7">
      <t>ミサクセイ</t>
    </rPh>
    <rPh sb="11" eb="13">
      <t>ツイカ</t>
    </rPh>
    <phoneticPr fontId="3"/>
  </si>
  <si>
    <r>
      <rPr>
        <sz val="10"/>
        <color rgb="FFFF0000"/>
        <rFont val="游ゴシック"/>
        <family val="3"/>
        <charset val="128"/>
        <scheme val="minor"/>
      </rPr>
      <t>7-3. 概算情報未作成リスト</t>
    </r>
    <r>
      <rPr>
        <sz val="10"/>
        <color theme="1"/>
        <rFont val="游ゴシック"/>
        <family val="3"/>
        <charset val="128"/>
        <scheme val="minor"/>
      </rPr>
      <t>の分だけ作成する。</t>
    </r>
    <rPh sb="5" eb="7">
      <t>ガイサン</t>
    </rPh>
    <rPh sb="7" eb="9">
      <t>ジョウホウ</t>
    </rPh>
    <rPh sb="9" eb="10">
      <t>ミ</t>
    </rPh>
    <rPh sb="10" eb="12">
      <t>サクセイ</t>
    </rPh>
    <rPh sb="16" eb="17">
      <t>ブン</t>
    </rPh>
    <rPh sb="19" eb="21">
      <t>サクセイ</t>
    </rPh>
    <phoneticPr fontId="3"/>
  </si>
  <si>
    <r>
      <t>概算</t>
    </r>
    <r>
      <rPr>
        <sz val="10"/>
        <color rgb="FFFF0000"/>
        <rFont val="游ゴシック"/>
        <family val="3"/>
        <charset val="128"/>
        <scheme val="minor"/>
      </rPr>
      <t>ヘッダ</t>
    </r>
    <rPh sb="0" eb="2">
      <t>ガイサン</t>
    </rPh>
    <phoneticPr fontId="3"/>
  </si>
  <si>
    <t>INNER JOIN 精積算ヘッダ T3</t>
    <phoneticPr fontId="3"/>
  </si>
  <si>
    <t>8-2. パラメータ.現場棟明細リスト(追加分含む).棟コードの中に、8-1の検索結果に存在しない棟コードを</t>
    <rPh sb="32" eb="33">
      <t>ナカ</t>
    </rPh>
    <rPh sb="39" eb="41">
      <t>ケンサク</t>
    </rPh>
    <rPh sb="41" eb="43">
      <t>ケッカ</t>
    </rPh>
    <rPh sb="44" eb="46">
      <t>ソンザイ</t>
    </rPh>
    <phoneticPr fontId="3"/>
  </si>
  <si>
    <t>8-1. 作成済の精積算情報情報を検索</t>
    <rPh sb="5" eb="7">
      <t>サクセイ</t>
    </rPh>
    <rPh sb="7" eb="8">
      <t>スミ</t>
    </rPh>
    <rPh sb="14" eb="16">
      <t>ジョウホウ</t>
    </rPh>
    <rPh sb="17" eb="19">
      <t>ケンサク</t>
    </rPh>
    <phoneticPr fontId="3"/>
  </si>
  <si>
    <t>精積算情報未作成リストに追加</t>
    <rPh sb="0" eb="1">
      <t>セイ</t>
    </rPh>
    <rPh sb="1" eb="3">
      <t>セキサン</t>
    </rPh>
    <rPh sb="3" eb="5">
      <t>ジョウホウ</t>
    </rPh>
    <rPh sb="5" eb="8">
      <t>ミサクセイ</t>
    </rPh>
    <rPh sb="12" eb="14">
      <t>ツイカ</t>
    </rPh>
    <phoneticPr fontId="3"/>
  </si>
  <si>
    <r>
      <rPr>
        <sz val="10"/>
        <color rgb="FFFF0000"/>
        <rFont val="游ゴシック"/>
        <family val="3"/>
        <charset val="128"/>
        <scheme val="minor"/>
      </rPr>
      <t>8-3. 精積算情報未作成リスト</t>
    </r>
    <r>
      <rPr>
        <sz val="10"/>
        <color theme="1"/>
        <rFont val="游ゴシック"/>
        <family val="3"/>
        <charset val="128"/>
        <scheme val="minor"/>
      </rPr>
      <t>の分だけ作成する。</t>
    </r>
    <rPh sb="5" eb="6">
      <t>セイ</t>
    </rPh>
    <rPh sb="6" eb="8">
      <t>セキサン</t>
    </rPh>
    <rPh sb="8" eb="10">
      <t>ジョウホウ</t>
    </rPh>
    <rPh sb="10" eb="11">
      <t>ミ</t>
    </rPh>
    <rPh sb="11" eb="13">
      <t>サクセイ</t>
    </rPh>
    <rPh sb="17" eb="18">
      <t>ブン</t>
    </rPh>
    <rPh sb="20" eb="22">
      <t>サクセイ</t>
    </rPh>
    <phoneticPr fontId="3"/>
  </si>
  <si>
    <r>
      <t>精積算</t>
    </r>
    <r>
      <rPr>
        <sz val="10"/>
        <color rgb="FFFF0000"/>
        <rFont val="游ゴシック"/>
        <family val="3"/>
        <charset val="128"/>
        <scheme val="minor"/>
      </rPr>
      <t>ヘッダ</t>
    </r>
    <rPh sb="0" eb="1">
      <t>セイ</t>
    </rPh>
    <rPh sb="1" eb="3">
      <t>セキサン</t>
    </rPh>
    <phoneticPr fontId="3"/>
  </si>
  <si>
    <t>INNER JOIN 現場情報 T3</t>
    <phoneticPr fontId="3"/>
  </si>
  <si>
    <t>AND T3.物件ID = 9の物件IDまたは10の物件ID</t>
    <rPh sb="16" eb="18">
      <t>ブッケン</t>
    </rPh>
    <rPh sb="26" eb="28">
      <t>ブッケン</t>
    </rPh>
    <phoneticPr fontId="3"/>
  </si>
  <si>
    <t>11-1. 作成済の概算情報情報を検索</t>
    <rPh sb="6" eb="8">
      <t>サクセイ</t>
    </rPh>
    <rPh sb="8" eb="9">
      <t>スミ</t>
    </rPh>
    <rPh sb="14" eb="16">
      <t>ジョウホウ</t>
    </rPh>
    <rPh sb="17" eb="19">
      <t>ケンサク</t>
    </rPh>
    <phoneticPr fontId="3"/>
  </si>
  <si>
    <t>11-2. パラメータ.現場棟明細リスト(追加分含む).棟コードの中に、11-1の検索結果に存在しない棟コードを</t>
    <rPh sb="33" eb="34">
      <t>ナカ</t>
    </rPh>
    <rPh sb="41" eb="43">
      <t>ケンサク</t>
    </rPh>
    <rPh sb="43" eb="45">
      <t>ケッカ</t>
    </rPh>
    <rPh sb="46" eb="48">
      <t>ソンザイ</t>
    </rPh>
    <phoneticPr fontId="3"/>
  </si>
  <si>
    <t>現場情報未作成リストに追加</t>
    <rPh sb="4" eb="7">
      <t>ミサクセイ</t>
    </rPh>
    <rPh sb="11" eb="13">
      <t>ツイカ</t>
    </rPh>
    <phoneticPr fontId="3"/>
  </si>
  <si>
    <r>
      <rPr>
        <sz val="10"/>
        <color rgb="FFFF0000"/>
        <rFont val="游ゴシック"/>
        <family val="3"/>
        <charset val="128"/>
        <scheme val="minor"/>
      </rPr>
      <t>現場情報未作成リスト.</t>
    </r>
    <r>
      <rPr>
        <sz val="10"/>
        <color theme="1"/>
        <rFont val="游ゴシック"/>
        <family val="3"/>
        <charset val="128"/>
        <scheme val="minor"/>
      </rPr>
      <t>棟コード</t>
    </r>
    <rPh sb="11" eb="12">
      <t>トウ</t>
    </rPh>
    <phoneticPr fontId="3"/>
  </si>
  <si>
    <r>
      <rPr>
        <sz val="10"/>
        <color rgb="FFFF0000"/>
        <rFont val="游ゴシック"/>
        <family val="3"/>
        <charset val="128"/>
        <scheme val="minor"/>
      </rPr>
      <t>11-3. 現場情報未作成リスト</t>
    </r>
    <r>
      <rPr>
        <sz val="10"/>
        <color theme="1"/>
        <rFont val="游ゴシック"/>
        <family val="3"/>
        <charset val="128"/>
        <scheme val="minor"/>
      </rPr>
      <t>の分だけ作成する。</t>
    </r>
    <rPh sb="10" eb="11">
      <t>ミ</t>
    </rPh>
    <rPh sb="11" eb="13">
      <t>サクセイ</t>
    </rPh>
    <rPh sb="17" eb="18">
      <t>ブン</t>
    </rPh>
    <rPh sb="20" eb="22">
      <t>サクセイ</t>
    </rPh>
    <phoneticPr fontId="3"/>
  </si>
  <si>
    <t>13-1. 作成済の実行予算ヘッダを検索</t>
    <rPh sb="6" eb="8">
      <t>サクセイ</t>
    </rPh>
    <rPh sb="8" eb="9">
      <t>スミ</t>
    </rPh>
    <rPh sb="10" eb="12">
      <t>ジッコウ</t>
    </rPh>
    <rPh sb="12" eb="14">
      <t>ヨサン</t>
    </rPh>
    <rPh sb="18" eb="20">
      <t>ケンサク</t>
    </rPh>
    <phoneticPr fontId="3"/>
  </si>
  <si>
    <t>実行予算ヘッダ</t>
    <phoneticPr fontId="3"/>
  </si>
  <si>
    <t xml:space="preserve">  精積算コード</t>
    <phoneticPr fontId="3"/>
  </si>
  <si>
    <t xml:space="preserve">  AND 最新フラグ IN ('0', '1'）</t>
    <phoneticPr fontId="3"/>
  </si>
  <si>
    <t xml:space="preserve">  実行予算コード</t>
    <phoneticPr fontId="3"/>
  </si>
  <si>
    <r>
      <t>内部変数．物件コード　+　”000”　+　</t>
    </r>
    <r>
      <rPr>
        <sz val="10"/>
        <color rgb="FFFF0000"/>
        <rFont val="游ゴシック"/>
        <family val="3"/>
        <charset val="128"/>
        <scheme val="minor"/>
      </rPr>
      <t>現場情報未作成リスト.</t>
    </r>
    <r>
      <rPr>
        <sz val="10"/>
        <color theme="1"/>
        <rFont val="游ゴシック"/>
        <family val="3"/>
        <charset val="128"/>
        <scheme val="minor"/>
      </rPr>
      <t>棟コード</t>
    </r>
    <rPh sb="0" eb="4">
      <t>ナイブヘンスウ</t>
    </rPh>
    <rPh sb="5" eb="7">
      <t>ブッケン</t>
    </rPh>
    <phoneticPr fontId="3"/>
  </si>
  <si>
    <t xml:space="preserve">  実行予算合計金額</t>
    <phoneticPr fontId="3"/>
  </si>
  <si>
    <t xml:space="preserve">  AND (実行予算コード, 現場コード,  精積算コード) IN (</t>
    <phoneticPr fontId="3"/>
  </si>
  <si>
    <t xml:space="preserve">  )</t>
    <phoneticPr fontId="3"/>
  </si>
  <si>
    <t xml:space="preserve"> ORDER BY</t>
    <phoneticPr fontId="3"/>
  </si>
  <si>
    <r>
      <rPr>
        <sz val="10"/>
        <color rgb="FFFF0000"/>
        <rFont val="游ゴシック"/>
        <family val="3"/>
        <charset val="128"/>
        <scheme val="minor"/>
      </rPr>
      <t>13-3. 実行予算ヘッダ未作成リスト</t>
    </r>
    <r>
      <rPr>
        <sz val="10"/>
        <color theme="1"/>
        <rFont val="游ゴシック"/>
        <family val="3"/>
        <charset val="128"/>
        <scheme val="minor"/>
      </rPr>
      <t>の分だけ作成する。</t>
    </r>
    <rPh sb="6" eb="8">
      <t>ジッコウ</t>
    </rPh>
    <rPh sb="8" eb="10">
      <t>ヨサン</t>
    </rPh>
    <rPh sb="13" eb="14">
      <t>ミ</t>
    </rPh>
    <rPh sb="14" eb="16">
      <t>サクセイ</t>
    </rPh>
    <rPh sb="20" eb="21">
      <t>ブン</t>
    </rPh>
    <rPh sb="23" eb="25">
      <t>サクセイ</t>
    </rPh>
    <phoneticPr fontId="3"/>
  </si>
  <si>
    <t>パラメータ.物件コード+”000”+実行予算ヘッダ未作成リスト.棟コード</t>
    <rPh sb="6" eb="8">
      <t>ブッケン</t>
    </rPh>
    <rPh sb="18" eb="20">
      <t>ジッコウ</t>
    </rPh>
    <rPh sb="20" eb="22">
      <t>ヨサン</t>
    </rPh>
    <rPh sb="25" eb="28">
      <t>ミサクセイ</t>
    </rPh>
    <rPh sb="32" eb="33">
      <t>トウ</t>
    </rPh>
    <phoneticPr fontId="3"/>
  </si>
  <si>
    <r>
      <rPr>
        <sz val="10"/>
        <color rgb="FFFF0000"/>
        <rFont val="游ゴシック"/>
        <family val="3"/>
        <charset val="128"/>
        <scheme val="minor"/>
      </rPr>
      <t>(実行予算ヘッダ未作成リスト.棟コードに紐づく)</t>
    </r>
    <r>
      <rPr>
        <sz val="10"/>
        <color theme="1"/>
        <rFont val="游ゴシック"/>
        <family val="3"/>
        <charset val="128"/>
        <scheme val="minor"/>
      </rPr>
      <t>内部変数.精積算コード</t>
    </r>
    <rPh sb="24" eb="26">
      <t>ナイブ</t>
    </rPh>
    <rPh sb="26" eb="28">
      <t>ヘンスウ</t>
    </rPh>
    <rPh sb="29" eb="30">
      <t>セイ</t>
    </rPh>
    <rPh sb="30" eb="32">
      <t>セキサン</t>
    </rPh>
    <phoneticPr fontId="3"/>
  </si>
  <si>
    <r>
      <rPr>
        <sz val="10"/>
        <color rgb="FFFF0000"/>
        <rFont val="游ゴシック"/>
        <family val="3"/>
        <charset val="128"/>
        <scheme val="minor"/>
      </rPr>
      <t>(実行予算ヘッダ未作成リスト.棟コードに紐づく)</t>
    </r>
    <r>
      <rPr>
        <sz val="10"/>
        <color theme="1"/>
        <rFont val="游ゴシック"/>
        <family val="3"/>
        <charset val="128"/>
        <scheme val="minor"/>
      </rPr>
      <t>内部変数.精積算合計金額</t>
    </r>
    <rPh sb="24" eb="26">
      <t>ナイブ</t>
    </rPh>
    <rPh sb="26" eb="28">
      <t>ヘンスウ</t>
    </rPh>
    <rPh sb="29" eb="30">
      <t>セイ</t>
    </rPh>
    <rPh sb="30" eb="32">
      <t>セキサン</t>
    </rPh>
    <rPh sb="32" eb="34">
      <t>ゴウケイ</t>
    </rPh>
    <rPh sb="34" eb="36">
      <t>キンガク</t>
    </rPh>
    <phoneticPr fontId="3"/>
  </si>
  <si>
    <t>７．パラメータ.現場棟明細リスト(追加分含む).棟コードの概算情報が未作成の場合、未作成分を作成する。</t>
    <rPh sb="24" eb="25">
      <t>トウ</t>
    </rPh>
    <rPh sb="29" eb="31">
      <t>ガイサン</t>
    </rPh>
    <rPh sb="31" eb="33">
      <t>ジョウホウ</t>
    </rPh>
    <rPh sb="34" eb="37">
      <t>ミサクセイ</t>
    </rPh>
    <rPh sb="38" eb="40">
      <t>バアイ</t>
    </rPh>
    <rPh sb="41" eb="44">
      <t>ミサクセイ</t>
    </rPh>
    <rPh sb="44" eb="45">
      <t>ブン</t>
    </rPh>
    <rPh sb="46" eb="48">
      <t>サクセイ</t>
    </rPh>
    <phoneticPr fontId="3"/>
  </si>
  <si>
    <t>8．パラメータ.現場棟明細リスト(追加分含む).棟コードの精積算情報が未作成の場合、未作成分を作成する。</t>
    <rPh sb="24" eb="25">
      <t>トウ</t>
    </rPh>
    <rPh sb="29" eb="30">
      <t>セイ</t>
    </rPh>
    <rPh sb="30" eb="32">
      <t>セキサン</t>
    </rPh>
    <rPh sb="32" eb="34">
      <t>ジョウホウ</t>
    </rPh>
    <rPh sb="35" eb="38">
      <t>ミサクセイ</t>
    </rPh>
    <rPh sb="39" eb="41">
      <t>バアイ</t>
    </rPh>
    <rPh sb="42" eb="45">
      <t>ミサクセイ</t>
    </rPh>
    <rPh sb="45" eb="46">
      <t>ブン</t>
    </rPh>
    <rPh sb="47" eb="49">
      <t>サクセイ</t>
    </rPh>
    <phoneticPr fontId="3"/>
  </si>
  <si>
    <t>11．パラメータ.現場棟明細リスト(追加分含む).棟コードの現場情報が未作成の場合、未作成分を作成する。</t>
    <rPh sb="25" eb="26">
      <t>トウ</t>
    </rPh>
    <rPh sb="32" eb="34">
      <t>ジョウホウ</t>
    </rPh>
    <rPh sb="35" eb="38">
      <t>ミサクセイ</t>
    </rPh>
    <rPh sb="39" eb="41">
      <t>バアイ</t>
    </rPh>
    <rPh sb="42" eb="45">
      <t>ミサクセイ</t>
    </rPh>
    <rPh sb="45" eb="46">
      <t>ブン</t>
    </rPh>
    <rPh sb="47" eb="49">
      <t>サクセイ</t>
    </rPh>
    <phoneticPr fontId="3"/>
  </si>
  <si>
    <t>13．パラメータ.現場棟明細リスト(追加分含む).棟コードの予算ヘッダが未作成の場合、未作成分を作成する。</t>
    <rPh sb="25" eb="26">
      <t>トウ</t>
    </rPh>
    <rPh sb="30" eb="32">
      <t>ヨサン</t>
    </rPh>
    <rPh sb="36" eb="39">
      <t>ミサクセイ</t>
    </rPh>
    <rPh sb="40" eb="42">
      <t>バアイ</t>
    </rPh>
    <rPh sb="43" eb="46">
      <t>ミサクセイ</t>
    </rPh>
    <rPh sb="46" eb="47">
      <t>ブン</t>
    </rPh>
    <rPh sb="48" eb="50">
      <t>サクセイ</t>
    </rPh>
    <phoneticPr fontId="3"/>
  </si>
  <si>
    <t>13-2. パラメータ.現場棟明細リスト(追加分含む).棟コードの中に、13-1の検索結果に存在しない実行予算に紐づく</t>
    <rPh sb="33" eb="34">
      <t>ナカ</t>
    </rPh>
    <rPh sb="41" eb="43">
      <t>ケンサク</t>
    </rPh>
    <rPh sb="43" eb="45">
      <t>ケッカ</t>
    </rPh>
    <rPh sb="46" eb="48">
      <t>ソンザイ</t>
    </rPh>
    <rPh sb="51" eb="55">
      <t>ジッコウヨサン</t>
    </rPh>
    <rPh sb="56" eb="57">
      <t>ヒモ</t>
    </rPh>
    <phoneticPr fontId="3"/>
  </si>
  <si>
    <t>棟コードを実行予算ヘッダ未作成リストに追加</t>
    <rPh sb="5" eb="9">
      <t>ジッコウヨサン</t>
    </rPh>
    <rPh sb="12" eb="15">
      <t>ミサクセイ</t>
    </rPh>
    <rPh sb="19" eb="21">
      <t>ツイカ</t>
    </rPh>
    <phoneticPr fontId="3"/>
  </si>
  <si>
    <t>14．パラメータ.現場棟明細リスト(追加分含む).棟コードの出来高シミュレーションが未作成の場合、未作成分を作成する。</t>
    <rPh sb="25" eb="26">
      <t>トウ</t>
    </rPh>
    <rPh sb="30" eb="33">
      <t>デキダカ</t>
    </rPh>
    <rPh sb="42" eb="45">
      <t>ミサクセイ</t>
    </rPh>
    <rPh sb="46" eb="48">
      <t>バアイ</t>
    </rPh>
    <rPh sb="49" eb="52">
      <t>ミサクセイ</t>
    </rPh>
    <rPh sb="52" eb="53">
      <t>ブン</t>
    </rPh>
    <rPh sb="54" eb="56">
      <t>サクセイ</t>
    </rPh>
    <phoneticPr fontId="3"/>
  </si>
  <si>
    <t>14-1. 作成済の出来高シミュレーションを検索</t>
    <rPh sb="6" eb="8">
      <t>サクセイ</t>
    </rPh>
    <rPh sb="8" eb="9">
      <t>スミ</t>
    </rPh>
    <rPh sb="10" eb="13">
      <t>デキダカ</t>
    </rPh>
    <rPh sb="22" eb="24">
      <t>ケンサク</t>
    </rPh>
    <phoneticPr fontId="3"/>
  </si>
  <si>
    <t>出来高シミュレーション</t>
    <phoneticPr fontId="3"/>
  </si>
  <si>
    <t xml:space="preserve">  AND (概算コード, 現場コード) IN (</t>
    <phoneticPr fontId="3"/>
  </si>
  <si>
    <t>(パラメータ.物件コード + "000" + パラメータ.現場棟明細リスト(追加分含む)[i=0～n].棟コード,</t>
    <phoneticPr fontId="3"/>
  </si>
  <si>
    <t xml:space="preserve"> パラメータ.物件コード + "000" + パラメータ.現場棟明細リスト(追加分含む)[i=0～n].棟コード,</t>
    <phoneticPr fontId="3"/>
  </si>
  <si>
    <t xml:space="preserve"> "S" + パラメータ.案件コード + パラメータ.現場棟明細リスト(追加分含む)[i=0～n-1].棟コード)</t>
    <phoneticPr fontId="3"/>
  </si>
  <si>
    <t xml:space="preserve"> ("G" + パラメータ.案件コード + パラメータ.現場棟明細リスト(追加分含む)[i=0～n].棟コード、</t>
    <rPh sb="14" eb="16">
      <t>アンケン</t>
    </rPh>
    <phoneticPr fontId="3"/>
  </si>
  <si>
    <t xml:space="preserve"> パラメータ.物件コード + "000" + パラメータ.現場棟明細リスト(追加分含む)[i=0～n].棟コード)</t>
    <phoneticPr fontId="3"/>
  </si>
  <si>
    <t xml:space="preserve">  概算コード</t>
    <phoneticPr fontId="3"/>
  </si>
  <si>
    <t xml:space="preserve">  現場コード</t>
    <phoneticPr fontId="3"/>
  </si>
  <si>
    <t>14-2. パラメータ.現場棟明細リスト(追加分含む).棟コードの中に、14-1の検索結果に存在しない出来高</t>
    <rPh sb="33" eb="34">
      <t>ナカ</t>
    </rPh>
    <rPh sb="41" eb="43">
      <t>ケンサク</t>
    </rPh>
    <rPh sb="43" eb="45">
      <t>ケッカ</t>
    </rPh>
    <rPh sb="46" eb="48">
      <t>ソンザイ</t>
    </rPh>
    <rPh sb="51" eb="54">
      <t>デキダカ</t>
    </rPh>
    <phoneticPr fontId="3"/>
  </si>
  <si>
    <t>シミュレーションに紐づく棟コードを出来高シミュレーション未作成リストに追加</t>
    <rPh sb="17" eb="20">
      <t>デキダカ</t>
    </rPh>
    <rPh sb="28" eb="31">
      <t>ミサクセイ</t>
    </rPh>
    <rPh sb="35" eb="37">
      <t>ツイカ</t>
    </rPh>
    <phoneticPr fontId="3"/>
  </si>
  <si>
    <r>
      <rPr>
        <sz val="10"/>
        <color rgb="FFFF0000"/>
        <rFont val="游ゴシック"/>
        <family val="3"/>
        <charset val="128"/>
        <scheme val="minor"/>
      </rPr>
      <t>14-3. 出来高シミュレーション未作成リスト</t>
    </r>
    <r>
      <rPr>
        <sz val="10"/>
        <color theme="1"/>
        <rFont val="游ゴシック"/>
        <family val="3"/>
        <charset val="128"/>
        <scheme val="minor"/>
      </rPr>
      <t>の分だけ作成する。</t>
    </r>
    <rPh sb="6" eb="9">
      <t>デキダカ</t>
    </rPh>
    <rPh sb="17" eb="18">
      <t>ミ</t>
    </rPh>
    <rPh sb="18" eb="20">
      <t>サクセイ</t>
    </rPh>
    <rPh sb="24" eb="25">
      <t>ブン</t>
    </rPh>
    <rPh sb="27" eb="29">
      <t>サクセイ</t>
    </rPh>
    <phoneticPr fontId="3"/>
  </si>
  <si>
    <t>パラメータ.物件コード + "000" + パラメータ.現場棟明細リスト(追加分含む).棟コード)</t>
    <rPh sb="6" eb="8">
      <t>ブッケン</t>
    </rPh>
    <rPh sb="28" eb="30">
      <t>ゲンバ</t>
    </rPh>
    <rPh sb="30" eb="31">
      <t>トウ</t>
    </rPh>
    <rPh sb="31" eb="33">
      <t>メイサイ</t>
    </rPh>
    <rPh sb="37" eb="39">
      <t>ツイカ</t>
    </rPh>
    <rPh sb="39" eb="40">
      <t>ブン</t>
    </rPh>
    <rPh sb="40" eb="41">
      <t>フク</t>
    </rPh>
    <rPh sb="44" eb="45">
      <t>トウ</t>
    </rPh>
    <phoneticPr fontId="3"/>
  </si>
  <si>
    <r>
      <rPr>
        <sz val="10"/>
        <color rgb="FFFF0000"/>
        <rFont val="游ゴシック"/>
        <family val="3"/>
        <charset val="128"/>
        <scheme val="minor"/>
      </rPr>
      <t>精積算情報未作成リスト</t>
    </r>
    <r>
      <rPr>
        <sz val="10"/>
        <color theme="1"/>
        <rFont val="游ゴシック"/>
        <family val="3"/>
        <charset val="128"/>
        <scheme val="minor"/>
      </rPr>
      <t>.棟コード</t>
    </r>
    <phoneticPr fontId="3"/>
  </si>
  <si>
    <r>
      <t>”S"+パラメータ．案件コード+</t>
    </r>
    <r>
      <rPr>
        <sz val="10"/>
        <color rgb="FFFF0000"/>
        <rFont val="游ゴシック"/>
        <family val="3"/>
        <charset val="128"/>
        <scheme val="minor"/>
      </rPr>
      <t>精積算情報未作成リスト</t>
    </r>
    <r>
      <rPr>
        <sz val="10"/>
        <color theme="1"/>
        <rFont val="游ゴシック"/>
        <family val="3"/>
        <charset val="128"/>
        <scheme val="minor"/>
      </rPr>
      <t>.棟コード</t>
    </r>
    <rPh sb="10" eb="12">
      <t>アンケン</t>
    </rPh>
    <rPh sb="28" eb="29">
      <t>トウ</t>
    </rPh>
    <phoneticPr fontId="3"/>
  </si>
  <si>
    <r>
      <rPr>
        <sz val="10"/>
        <color rgb="FFFF0000"/>
        <rFont val="游ゴシック"/>
        <family val="3"/>
        <charset val="128"/>
        <scheme val="minor"/>
      </rPr>
      <t>概算情報未作成リスト</t>
    </r>
    <r>
      <rPr>
        <sz val="10"/>
        <color theme="1"/>
        <rFont val="游ゴシック"/>
        <family val="3"/>
        <charset val="128"/>
        <scheme val="minor"/>
      </rPr>
      <t>.棟コード</t>
    </r>
    <rPh sb="11" eb="12">
      <t>トウ</t>
    </rPh>
    <phoneticPr fontId="3"/>
  </si>
  <si>
    <t>項番</t>
  </si>
  <si>
    <t>版数</t>
  </si>
  <si>
    <t>変更箇所</t>
  </si>
  <si>
    <t>変更内容</t>
  </si>
  <si>
    <t>変更理由</t>
  </si>
  <si>
    <t>作成日/変更日</t>
  </si>
  <si>
    <t>作成者/変更者</t>
  </si>
  <si>
    <t>0.0</t>
    <phoneticPr fontId="3"/>
  </si>
  <si>
    <t>初期作成</t>
    <rPh sb="0" eb="4">
      <t>ショキサクセイ</t>
    </rPh>
    <phoneticPr fontId="3"/>
  </si>
  <si>
    <t>屋良　朝仁</t>
    <rPh sb="0" eb="2">
      <t>ヤラ</t>
    </rPh>
    <rPh sb="3" eb="5">
      <t>アサジン</t>
    </rPh>
    <phoneticPr fontId="3"/>
  </si>
  <si>
    <t/>
  </si>
  <si>
    <t>柳</t>
    <rPh sb="0" eb="1">
      <t>ヤナギ</t>
    </rPh>
    <phoneticPr fontId="3"/>
  </si>
  <si>
    <t>【改訂履歴】</t>
    <phoneticPr fontId="3"/>
  </si>
  <si>
    <t>№138対応</t>
    <phoneticPr fontId="3"/>
  </si>
  <si>
    <t>2025/9/9　懸案№37（屋良）</t>
    <phoneticPr fontId="3"/>
  </si>
  <si>
    <t>№77対応</t>
    <phoneticPr fontId="3"/>
  </si>
  <si>
    <t>懸案№352
懸案№353
懸案№354</t>
    <phoneticPr fontId="3"/>
  </si>
  <si>
    <t>懸案№37
懸案№40
懸案№51
懸案対応中に記載漏れを発見したので追記</t>
    <phoneticPr fontId="3"/>
  </si>
  <si>
    <t>案件更新処理フロー</t>
    <phoneticPr fontId="3"/>
  </si>
  <si>
    <t>追加</t>
    <rPh sb="0" eb="2">
      <t>ツイカ</t>
    </rPh>
    <phoneticPr fontId="3"/>
  </si>
  <si>
    <t>成約更新不具合対応</t>
    <rPh sb="0" eb="2">
      <t>セイヤク</t>
    </rPh>
    <rPh sb="2" eb="4">
      <t>コウシン</t>
    </rPh>
    <rPh sb="4" eb="7">
      <t>フグアイ</t>
    </rPh>
    <rPh sb="7" eb="9">
      <t>タイオウ</t>
    </rPh>
    <phoneticPr fontId="3"/>
  </si>
  <si>
    <t>成約の場合、概算情報、精積算情報、現場情報、予算ヘッダ、出来高シミュレーションが未作成分を作成するように変更</t>
    <rPh sb="0" eb="2">
      <t>セイヤク</t>
    </rPh>
    <rPh sb="3" eb="5">
      <t>バアイ</t>
    </rPh>
    <rPh sb="40" eb="43">
      <t>ミサクセイ</t>
    </rPh>
    <rPh sb="43" eb="44">
      <t>ブン</t>
    </rPh>
    <rPh sb="45" eb="47">
      <t>サクセイ</t>
    </rPh>
    <rPh sb="52" eb="54">
      <t>ヘンコウ</t>
    </rPh>
    <phoneticPr fontId="3"/>
  </si>
  <si>
    <t>条件2</t>
    <rPh sb="0" eb="2">
      <t>ジョウケン</t>
    </rPh>
    <phoneticPr fontId="3"/>
  </si>
  <si>
    <t>現場棟明細.案件ID＝1.案件ID</t>
    <rPh sb="0" eb="2">
      <t>ゲンバ</t>
    </rPh>
    <rPh sb="2" eb="3">
      <t>トウ</t>
    </rPh>
    <rPh sb="3" eb="5">
      <t>メイサイ</t>
    </rPh>
    <rPh sb="6" eb="8">
      <t>アンケン</t>
    </rPh>
    <rPh sb="13" eb="15">
      <t>アンケン</t>
    </rPh>
    <phoneticPr fontId="3"/>
  </si>
  <si>
    <t>現場棟明細.削除フラグ=”0”（有効）</t>
    <rPh sb="0" eb="2">
      <t>ゲンバ</t>
    </rPh>
    <rPh sb="2" eb="3">
      <t>トウ</t>
    </rPh>
    <rPh sb="3" eb="5">
      <t>メイサイ</t>
    </rPh>
    <rPh sb="6" eb="8">
      <t>サクジョ</t>
    </rPh>
    <rPh sb="16" eb="18">
      <t>ユウコウ</t>
    </rPh>
    <phoneticPr fontId="3"/>
  </si>
  <si>
    <t>←2025/10/31　不具合により追記</t>
    <rPh sb="12" eb="15">
      <t>フグアイ</t>
    </rPh>
    <rPh sb="18" eb="20">
      <t>ツイキ</t>
    </rPh>
    <phoneticPr fontId="3"/>
  </si>
  <si>
    <t>現場棟明細.連番</t>
    <rPh sb="0" eb="2">
      <t>ゲンバ</t>
    </rPh>
    <rPh sb="2" eb="3">
      <t>トウ</t>
    </rPh>
    <rPh sb="3" eb="5">
      <t>メイサイ</t>
    </rPh>
    <rPh sb="6" eb="8">
      <t>レンバン</t>
    </rPh>
    <phoneticPr fontId="3"/>
  </si>
  <si>
    <t>案件請求条件.連番</t>
    <rPh sb="0" eb="2">
      <t>アンケン</t>
    </rPh>
    <rPh sb="2" eb="4">
      <t>セイキュウ</t>
    </rPh>
    <rPh sb="4" eb="6">
      <t>ジョウケン</t>
    </rPh>
    <rPh sb="7" eb="9">
      <t>レンバン</t>
    </rPh>
    <phoneticPr fontId="3"/>
  </si>
  <si>
    <t>案件要望明細.連番</t>
    <rPh sb="0" eb="2">
      <t>アンケン</t>
    </rPh>
    <rPh sb="2" eb="4">
      <t>ヨウボウ</t>
    </rPh>
    <rPh sb="4" eb="6">
      <t>メイサイ</t>
    </rPh>
    <rPh sb="7" eb="9">
      <t>レンバン</t>
    </rPh>
    <phoneticPr fontId="3"/>
  </si>
  <si>
    <t>先行作業明細.連番</t>
    <rPh sb="0" eb="2">
      <t>センコウ</t>
    </rPh>
    <rPh sb="2" eb="4">
      <t>サギョウ</t>
    </rPh>
    <rPh sb="4" eb="6">
      <t>メイサイ</t>
    </rPh>
    <rPh sb="7" eb="9">
      <t>レンバン</t>
    </rPh>
    <phoneticPr fontId="3"/>
  </si>
  <si>
    <t>契約日</t>
    <rPh sb="0" eb="3">
      <t>ケイヤクビ</t>
    </rPh>
    <phoneticPr fontId="3"/>
  </si>
  <si>
    <t>1.顧客情報.案件契約日</t>
    <rPh sb="2" eb="4">
      <t>コキャク</t>
    </rPh>
    <rPh sb="4" eb="6">
      <t>ジョウホウ</t>
    </rPh>
    <rPh sb="7" eb="9">
      <t>アンケン</t>
    </rPh>
    <rPh sb="9" eb="12">
      <t>ケイヤクビ</t>
    </rPh>
    <phoneticPr fontId="3"/>
  </si>
  <si>
    <t>案件情報取得API</t>
    <phoneticPr fontId="3"/>
  </si>
  <si>
    <t>案件契約日追加</t>
    <rPh sb="0" eb="2">
      <t>アンケン</t>
    </rPh>
    <rPh sb="2" eb="5">
      <t>ケイヤクビ</t>
    </rPh>
    <rPh sb="5" eb="7">
      <t>ツイカ</t>
    </rPh>
    <phoneticPr fontId="3"/>
  </si>
  <si>
    <t>2025/11/1 No.114対応</t>
    <rPh sb="16" eb="18">
      <t>タイオウ</t>
    </rPh>
    <phoneticPr fontId="3"/>
  </si>
  <si>
    <t>"契約日","example契約日"</t>
    <rPh sb="1" eb="4">
      <t>ケイヤクビ</t>
    </rPh>
    <rPh sb="14" eb="17">
      <t>ケイヤクビ</t>
    </rPh>
    <phoneticPr fontId="3"/>
  </si>
  <si>
    <t>案件契約日</t>
    <rPh sb="0" eb="2">
      <t>アンケン</t>
    </rPh>
    <rPh sb="2" eb="5">
      <t>ケイヤクビ</t>
    </rPh>
    <phoneticPr fontId="3"/>
  </si>
  <si>
    <t>パラメータ．契約日</t>
    <rPh sb="6" eb="9">
      <t>ケイヤクビ</t>
    </rPh>
    <phoneticPr fontId="3"/>
  </si>
  <si>
    <t>11-1. 作成済の現場情報を検索</t>
    <rPh sb="6" eb="8">
      <t>サクセイ</t>
    </rPh>
    <rPh sb="8" eb="9">
      <t>スミ</t>
    </rPh>
    <rPh sb="10" eb="12">
      <t>ゲンバ</t>
    </rPh>
    <rPh sb="12" eb="14">
      <t>ジョウホウ</t>
    </rPh>
    <rPh sb="15" eb="17">
      <t>ケンサク</t>
    </rPh>
    <phoneticPr fontId="3"/>
  </si>
  <si>
    <t>2025/11/3(呉)</t>
    <rPh sb="10" eb="11">
      <t>ゴ</t>
    </rPh>
    <phoneticPr fontId="3"/>
  </si>
  <si>
    <r>
      <t>11-1. 作成済の</t>
    </r>
    <r>
      <rPr>
        <sz val="11"/>
        <color rgb="FF0070C0"/>
        <rFont val="游ゴシック Medium"/>
        <family val="3"/>
        <charset val="128"/>
      </rPr>
      <t>概算情報</t>
    </r>
    <r>
      <rPr>
        <sz val="11"/>
        <color theme="1"/>
        <rFont val="游ゴシック Medium"/>
        <family val="3"/>
        <charset val="128"/>
      </rPr>
      <t>情報を検索→11-1. 作成済の</t>
    </r>
    <r>
      <rPr>
        <sz val="11"/>
        <color rgb="FF0070C0"/>
        <rFont val="游ゴシック Medium"/>
        <family val="3"/>
        <charset val="128"/>
      </rPr>
      <t>現場</t>
    </r>
    <r>
      <rPr>
        <sz val="11"/>
        <color theme="1"/>
        <rFont val="游ゴシック Medium"/>
        <family val="3"/>
        <charset val="128"/>
      </rPr>
      <t>情報を検索</t>
    </r>
    <rPh sb="30" eb="32">
      <t>ゲンバ</t>
    </rPh>
    <phoneticPr fontId="3"/>
  </si>
  <si>
    <t>誤記訂正</t>
    <rPh sb="0" eb="4">
      <t>ゴキテイセイ</t>
    </rPh>
    <phoneticPr fontId="3"/>
  </si>
  <si>
    <t>SELECT</t>
    <phoneticPr fontId="3"/>
  </si>
  <si>
    <t>FROM</t>
    <phoneticPr fontId="3"/>
  </si>
  <si>
    <t>精積算ヘッダ tdeh</t>
    <phoneticPr fontId="3"/>
  </si>
  <si>
    <t>INNER JOIN 精積算明細 tded</t>
    <phoneticPr fontId="3"/>
  </si>
  <si>
    <t>ON tded.削除フラグ = '0'</t>
    <phoneticPr fontId="3"/>
  </si>
  <si>
    <t>AND tded.精積算ヘッダID = tdeh.精積算ヘッダID</t>
    <phoneticPr fontId="3"/>
  </si>
  <si>
    <t>WHERE</t>
    <phoneticPr fontId="3"/>
  </si>
  <si>
    <t>tdeh.削除フラグ = '0'</t>
    <phoneticPr fontId="3"/>
  </si>
  <si>
    <t>AND tdeh.最新フラグ = '1'</t>
    <rPh sb="9" eb="11">
      <t>サイシン</t>
    </rPh>
    <phoneticPr fontId="3"/>
  </si>
  <si>
    <t>AND tdeh.案件コード = パラメータ.案件コード</t>
    <phoneticPr fontId="3"/>
  </si>
  <si>
    <t>tdeh.地域コード</t>
    <phoneticPr fontId="3"/>
  </si>
  <si>
    <t>tdeh.現場区分</t>
    <phoneticPr fontId="3"/>
  </si>
  <si>
    <t>tdeh.単価地域ID</t>
    <phoneticPr fontId="3"/>
  </si>
  <si>
    <t>tdeh.精積算ヘッダID</t>
    <phoneticPr fontId="3"/>
  </si>
  <si>
    <t>精積算明細ID</t>
    <phoneticPr fontId="3"/>
  </si>
  <si>
    <t>tded.精積算明細ID</t>
    <phoneticPr fontId="3"/>
  </si>
  <si>
    <t>大工事コード</t>
    <phoneticPr fontId="3"/>
  </si>
  <si>
    <t>小工事コード</t>
    <rPh sb="0" eb="1">
      <t>ショウ</t>
    </rPh>
    <phoneticPr fontId="3"/>
  </si>
  <si>
    <t>tded.大工事コード</t>
    <phoneticPr fontId="3"/>
  </si>
  <si>
    <t>tded.小工事コード</t>
    <rPh sb="5" eb="6">
      <t>ショウ</t>
    </rPh>
    <phoneticPr fontId="3"/>
  </si>
  <si>
    <t>tded.連番</t>
    <phoneticPr fontId="3"/>
  </si>
  <si>
    <t>ORDER BY</t>
    <phoneticPr fontId="3"/>
  </si>
  <si>
    <t>3-1．パラメータ.案件コードが空白orNULLの場合は空のリストを戻り値として返して、処理を終了する。</t>
    <phoneticPr fontId="3"/>
  </si>
  <si>
    <t>大工事ー小工事リスト</t>
    <rPh sb="0" eb="3">
      <t>ダイコウジ</t>
    </rPh>
    <rPh sb="4" eb="5">
      <t>ショウ</t>
    </rPh>
    <rPh sb="5" eb="7">
      <t>コウジ</t>
    </rPh>
    <phoneticPr fontId="3"/>
  </si>
  <si>
    <t>3 ＜先行作業内諾書の大工事ー小工事検索処理＞</t>
    <rPh sb="3" eb="5">
      <t>センコウ</t>
    </rPh>
    <rPh sb="5" eb="7">
      <t>サギョウ</t>
    </rPh>
    <rPh sb="7" eb="8">
      <t>ナイ</t>
    </rPh>
    <rPh sb="9" eb="10">
      <t>ショ</t>
    </rPh>
    <rPh sb="11" eb="14">
      <t>ダイコウジ</t>
    </rPh>
    <rPh sb="15" eb="18">
      <t>ショウコウジ</t>
    </rPh>
    <rPh sb="18" eb="22">
      <t>ケンサクショリ</t>
    </rPh>
    <phoneticPr fontId="12"/>
  </si>
  <si>
    <t>3-3．取得件数が0件の場合は空のリストを戻り値として返して、処理を終了する。</t>
    <rPh sb="3" eb="7">
      <t>シュトクケンスウ</t>
    </rPh>
    <rPh sb="10" eb="11">
      <t>ケン</t>
    </rPh>
    <rPh sb="11" eb="13">
      <t>バアイ</t>
    </rPh>
    <rPh sb="15" eb="16">
      <t>ソラ</t>
    </rPh>
    <rPh sb="21" eb="22">
      <t>モド</t>
    </rPh>
    <rPh sb="23" eb="24">
      <t>チ</t>
    </rPh>
    <rPh sb="27" eb="28">
      <t>カエ</t>
    </rPh>
    <rPh sb="31" eb="33">
      <t>ショリ</t>
    </rPh>
    <rPh sb="34" eb="36">
      <t>シュウリョウ</t>
    </rPh>
    <phoneticPr fontId="3"/>
  </si>
  <si>
    <t>3-4．取得件数が１件以上の場合は検索結果を戻り値にセットし、返して、処理終了する。</t>
    <rPh sb="3" eb="7">
      <t>シュトクケンスウ</t>
    </rPh>
    <rPh sb="9" eb="10">
      <t>ケン</t>
    </rPh>
    <rPh sb="10" eb="12">
      <t>イジョウ</t>
    </rPh>
    <rPh sb="13" eb="15">
      <t>バアイ</t>
    </rPh>
    <rPh sb="17" eb="19">
      <t>ケンサク</t>
    </rPh>
    <rPh sb="19" eb="21">
      <t>ケッカ</t>
    </rPh>
    <rPh sb="22" eb="23">
      <t>モド</t>
    </rPh>
    <rPh sb="24" eb="25">
      <t>チ</t>
    </rPh>
    <rPh sb="31" eb="32">
      <t>カエ</t>
    </rPh>
    <rPh sb="35" eb="37">
      <t>ショリ</t>
    </rPh>
    <rPh sb="37" eb="39">
      <t>シュウリョウ</t>
    </rPh>
    <phoneticPr fontId="3"/>
  </si>
  <si>
    <t>3-2．大工事コード</t>
    <rPh sb="4" eb="7">
      <t>ダイコウジ</t>
    </rPh>
    <phoneticPr fontId="3"/>
  </si>
  <si>
    <t>3-2．小工事コード</t>
    <rPh sb="4" eb="7">
      <t>ショウコウジ</t>
    </rPh>
    <phoneticPr fontId="3"/>
  </si>
  <si>
    <t>3-2．精積算明細ID</t>
    <rPh sb="4" eb="5">
      <t>セイ</t>
    </rPh>
    <rPh sb="5" eb="7">
      <t>セキサン</t>
    </rPh>
    <rPh sb="7" eb="9">
      <t>メイサイ</t>
    </rPh>
    <phoneticPr fontId="3"/>
  </si>
  <si>
    <t>LEFT JOIN 大工事情報 mmw</t>
    <phoneticPr fontId="3"/>
  </si>
  <si>
    <t>ON mmw.削除フラグ = '0'</t>
    <phoneticPr fontId="3"/>
  </si>
  <si>
    <t>AND mmw.大工事コード = tded.大工事コード</t>
    <phoneticPr fontId="3"/>
  </si>
  <si>
    <t>mmw.大工事名</t>
    <phoneticPr fontId="3"/>
  </si>
  <si>
    <t>LEFT JOIN 小工事情報 mnw</t>
    <rPh sb="10" eb="11">
      <t>ショウ</t>
    </rPh>
    <phoneticPr fontId="3"/>
  </si>
  <si>
    <t>ON mnw.削除フラグ = '0'</t>
    <phoneticPr fontId="3"/>
  </si>
  <si>
    <t>AND mnw.大工事コード = tded.大工事コード</t>
    <phoneticPr fontId="3"/>
  </si>
  <si>
    <t>AND mnw.小工事コード = tded.小工事コード</t>
    <rPh sb="8" eb="9">
      <t>ショウ</t>
    </rPh>
    <phoneticPr fontId="3"/>
  </si>
  <si>
    <t>mnw.小工事名</t>
    <rPh sb="4" eb="5">
      <t>ショウ</t>
    </rPh>
    <phoneticPr fontId="3"/>
  </si>
  <si>
    <t>大工事名</t>
    <rPh sb="3" eb="4">
      <t>メイ</t>
    </rPh>
    <phoneticPr fontId="3"/>
  </si>
  <si>
    <t>3-2．大工事名</t>
    <rPh sb="4" eb="7">
      <t>ダイコウジ</t>
    </rPh>
    <phoneticPr fontId="3"/>
  </si>
  <si>
    <t>小工事名</t>
    <rPh sb="0" eb="1">
      <t>ショウ</t>
    </rPh>
    <rPh sb="3" eb="4">
      <t>メイ</t>
    </rPh>
    <phoneticPr fontId="3"/>
  </si>
  <si>
    <t>3-2．小工事名</t>
    <rPh sb="4" eb="7">
      <t>ショウコウジ</t>
    </rPh>
    <phoneticPr fontId="3"/>
  </si>
  <si>
    <t>3-2．大工事ー小工事リストを取得する。</t>
    <rPh sb="4" eb="7">
      <t>ダイコウジ</t>
    </rPh>
    <rPh sb="8" eb="9">
      <t>ショウ</t>
    </rPh>
    <rPh sb="9" eb="11">
      <t>コウジ</t>
    </rPh>
    <rPh sb="15" eb="17">
      <t>シュトク</t>
    </rPh>
    <phoneticPr fontId="3"/>
  </si>
  <si>
    <t>ON tded.削除フラグ = '0'</t>
    <rPh sb="8" eb="10">
      <t>サクジョ</t>
    </rPh>
    <phoneticPr fontId="3"/>
  </si>
  <si>
    <t>ON mmw.削除フラグ = '0'</t>
    <rPh sb="7" eb="9">
      <t>サクジョ</t>
    </rPh>
    <phoneticPr fontId="3"/>
  </si>
  <si>
    <t>ON mnw.削除フラグ = '0'</t>
    <rPh sb="7" eb="9">
      <t>サクジョ</t>
    </rPh>
    <phoneticPr fontId="3"/>
  </si>
  <si>
    <t>tppwd.連番</t>
    <rPh sb="6" eb="8">
      <t>レンバン</t>
    </rPh>
    <phoneticPr fontId="3"/>
  </si>
  <si>
    <t>tded.連番</t>
    <rPh sb="5" eb="7">
      <t>レンバン</t>
    </rPh>
    <phoneticPr fontId="3"/>
  </si>
  <si>
    <t>案件先行作業 tppw</t>
    <phoneticPr fontId="3"/>
  </si>
  <si>
    <t>tppw.削除フラグ = '0'</t>
    <rPh sb="5" eb="7">
      <t>サクジョ</t>
    </rPh>
    <phoneticPr fontId="3"/>
  </si>
  <si>
    <t>AND tppw.案件ID＝1.案件ID</t>
    <phoneticPr fontId="3"/>
  </si>
  <si>
    <t>INNER JOIN 案件先行作業明細 tppwd</t>
    <phoneticPr fontId="3"/>
  </si>
  <si>
    <t>ON tppwd.削除フラグ = '0'</t>
    <rPh sb="9" eb="11">
      <t>サクジョ</t>
    </rPh>
    <phoneticPr fontId="3"/>
  </si>
  <si>
    <t>AND tppwd.先行作業ID = tppw.先行作業ID</t>
    <phoneticPr fontId="3"/>
  </si>
  <si>
    <t>tppw.先行作業ID</t>
    <phoneticPr fontId="3"/>
  </si>
  <si>
    <t>tppw.計画概要</t>
    <phoneticPr fontId="3"/>
  </si>
  <si>
    <t>tppw.見積日 AS 見積日付</t>
    <phoneticPr fontId="3"/>
  </si>
  <si>
    <t>tppw.先行工事内容</t>
    <phoneticPr fontId="3"/>
  </si>
  <si>
    <t>tppw.工事原価 AS 工事原価（税抜）</t>
    <phoneticPr fontId="3"/>
  </si>
  <si>
    <t>tppw.支払条件</t>
    <phoneticPr fontId="3"/>
  </si>
  <si>
    <t>tppw.	その他</t>
    <phoneticPr fontId="3"/>
  </si>
  <si>
    <t>tppw.添付ファイルID</t>
    <phoneticPr fontId="3"/>
  </si>
  <si>
    <t>LEFT JOIN 添付ファイル情報 tf</t>
    <phoneticPr fontId="3"/>
  </si>
  <si>
    <t>AND tf.添付ファイルID = tppw.添付ファイルID</t>
    <phoneticPr fontId="3"/>
  </si>
  <si>
    <t>ON tf.削除フラグ = '0'</t>
    <rPh sb="6" eb="8">
      <t>サクジョ</t>
    </rPh>
    <phoneticPr fontId="3"/>
  </si>
  <si>
    <t>tf.ファイル保存パス</t>
    <phoneticPr fontId="3"/>
  </si>
  <si>
    <t>tf.ファイル名</t>
    <phoneticPr fontId="3"/>
  </si>
  <si>
    <t>tf.ファイル拡張子</t>
    <phoneticPr fontId="3"/>
  </si>
  <si>
    <t>tf.ファイルサイズ</t>
    <phoneticPr fontId="3"/>
  </si>
  <si>
    <t>INNER JOIN 精積算ヘッダ tdeh</t>
    <rPh sb="11" eb="12">
      <t>セイ</t>
    </rPh>
    <rPh sb="12" eb="14">
      <t>セキサン</t>
    </rPh>
    <phoneticPr fontId="3"/>
  </si>
  <si>
    <t>ON tdeh.削除フラグ = '0'</t>
    <rPh sb="8" eb="10">
      <t>サクジョ</t>
    </rPh>
    <phoneticPr fontId="3"/>
  </si>
  <si>
    <t>AND tdeh.精積算ヘッダID = tded.精積算ヘッダID</t>
    <rPh sb="9" eb="10">
      <t>セイ</t>
    </rPh>
    <rPh sb="10" eb="12">
      <t>セキサン</t>
    </rPh>
    <phoneticPr fontId="3"/>
  </si>
  <si>
    <t>tppw.先行作業処理区分</t>
    <phoneticPr fontId="3"/>
  </si>
  <si>
    <t>tded.小工事コード</t>
    <phoneticPr fontId="3"/>
  </si>
  <si>
    <t>tded.工事連番</t>
    <phoneticPr fontId="3"/>
  </si>
  <si>
    <t>tded.規格</t>
    <rPh sb="5" eb="7">
      <t>キカク</t>
    </rPh>
    <phoneticPr fontId="3"/>
  </si>
  <si>
    <t>tded.工事連番</t>
    <rPh sb="5" eb="7">
      <t>コウジ</t>
    </rPh>
    <rPh sb="7" eb="9">
      <t>レンバン</t>
    </rPh>
    <phoneticPr fontId="3"/>
  </si>
  <si>
    <t>tppw.連番 AS 案件先行作業連番</t>
    <phoneticPr fontId="3"/>
  </si>
  <si>
    <t>tded.連番 AS 精積算明細連番</t>
    <phoneticPr fontId="3"/>
  </si>
  <si>
    <t>6.その他</t>
    <phoneticPr fontId="3"/>
  </si>
  <si>
    <t>その他</t>
    <phoneticPr fontId="3"/>
  </si>
  <si>
    <t>規格</t>
    <phoneticPr fontId="3"/>
  </si>
  <si>
    <t>6.規格</t>
    <rPh sb="2" eb="4">
      <t>キカク</t>
    </rPh>
    <phoneticPr fontId="3"/>
  </si>
  <si>
    <t>大工事ー小工事リスト</t>
    <rPh sb="0" eb="3">
      <t>ダイコウジ</t>
    </rPh>
    <rPh sb="4" eb="7">
      <t>ショウコウジ</t>
    </rPh>
    <phoneticPr fontId="3"/>
  </si>
  <si>
    <t>3-1</t>
    <phoneticPr fontId="3"/>
  </si>
  <si>
    <t>3-2</t>
  </si>
  <si>
    <t>3-3</t>
  </si>
  <si>
    <t>3-4</t>
  </si>
  <si>
    <t>3-5</t>
  </si>
  <si>
    <t>3-6</t>
  </si>
  <si>
    <t>3-7</t>
  </si>
  <si>
    <t>先行作業内諾書の注文書作成選択肢検索API</t>
    <phoneticPr fontId="3"/>
  </si>
  <si>
    <t>＜委託事業者リスト検索処理＞</t>
    <rPh sb="9" eb="11">
      <t>ケンサク</t>
    </rPh>
    <rPh sb="11" eb="13">
      <t>ショリ</t>
    </rPh>
    <phoneticPr fontId="3"/>
  </si>
  <si>
    <t>)</t>
    <phoneticPr fontId="3"/>
  </si>
  <si>
    <t>ON mv.削除フラグ = '0'</t>
    <rPh sb="6" eb="8">
      <t>サクジョ</t>
    </rPh>
    <phoneticPr fontId="3"/>
  </si>
  <si>
    <t>協力業者コード</t>
    <phoneticPr fontId="3"/>
  </si>
  <si>
    <t>String[]</t>
    <phoneticPr fontId="3"/>
  </si>
  <si>
    <t>委託事業者リスト</t>
    <rPh sb="0" eb="2">
      <t>イタク</t>
    </rPh>
    <rPh sb="2" eb="4">
      <t>ジギョウ</t>
    </rPh>
    <rPh sb="4" eb="5">
      <t>シャ</t>
    </rPh>
    <phoneticPr fontId="3"/>
  </si>
  <si>
    <t>1</t>
    <phoneticPr fontId="3"/>
  </si>
  <si>
    <t>2</t>
    <phoneticPr fontId="3"/>
  </si>
  <si>
    <t>3</t>
    <phoneticPr fontId="3"/>
  </si>
  <si>
    <t>委託事業者コード</t>
    <rPh sb="0" eb="2">
      <t>イタク</t>
    </rPh>
    <rPh sb="2" eb="4">
      <t>ジギョウ</t>
    </rPh>
    <rPh sb="4" eb="5">
      <t>シャ</t>
    </rPh>
    <phoneticPr fontId="3"/>
  </si>
  <si>
    <t>委託事業者名</t>
    <rPh sb="0" eb="2">
      <t>イタク</t>
    </rPh>
    <rPh sb="2" eb="4">
      <t>ジギョウ</t>
    </rPh>
    <rPh sb="4" eb="5">
      <t>シャ</t>
    </rPh>
    <rPh sb="5" eb="6">
      <t>メイ</t>
    </rPh>
    <phoneticPr fontId="3"/>
  </si>
  <si>
    <t>先行作業内諾書の注文書作成登録API</t>
    <phoneticPr fontId="3"/>
  </si>
  <si>
    <t>注文書No</t>
  </si>
  <si>
    <t>注文書No追番</t>
  </si>
  <si>
    <t>現場ID</t>
  </si>
  <si>
    <t>業者ID</t>
  </si>
  <si>
    <t>作業員名簿作成対象外フラグ</t>
  </si>
  <si>
    <t>該当工期開始日</t>
  </si>
  <si>
    <t>該当工期終了日</t>
  </si>
  <si>
    <t>注文書送信日</t>
  </si>
  <si>
    <t>発注年月日</t>
  </si>
  <si>
    <t>請書回収日</t>
  </si>
  <si>
    <t>手数料率ID</t>
  </si>
  <si>
    <t>注文書状況区分</t>
  </si>
  <si>
    <t>注文書作成区分</t>
  </si>
  <si>
    <t>パラメータ</t>
    <phoneticPr fontId="3"/>
  </si>
  <si>
    <t>注文書ヘッダ</t>
    <phoneticPr fontId="3"/>
  </si>
  <si>
    <t>注文書明細</t>
    <phoneticPr fontId="3"/>
  </si>
  <si>
    <t>注文書明細ID</t>
  </si>
  <si>
    <t>mv.会社名 AS 委託事業者名</t>
    <phoneticPr fontId="3"/>
  </si>
  <si>
    <t>業者情報</t>
    <phoneticPr fontId="3"/>
  </si>
  <si>
    <t>協力業者コード AS 委託事業者コード</t>
    <phoneticPr fontId="3"/>
  </si>
  <si>
    <t>業者ID</t>
    <phoneticPr fontId="3"/>
  </si>
  <si>
    <t>AND 最新フラグ = '1'</t>
    <phoneticPr fontId="3"/>
  </si>
  <si>
    <t>削除フラグ = '0'</t>
    <phoneticPr fontId="3"/>
  </si>
  <si>
    <t>会社名 AS 委託事業者名</t>
    <phoneticPr fontId="3"/>
  </si>
  <si>
    <t>＜委託事業者の初期値取得処理＞</t>
    <rPh sb="7" eb="10">
      <t>ショキチ</t>
    </rPh>
    <rPh sb="10" eb="12">
      <t>シュトク</t>
    </rPh>
    <rPh sb="12" eb="14">
      <t>ショリ</t>
    </rPh>
    <phoneticPr fontId="3"/>
  </si>
  <si>
    <t>精積算見積IDリスト</t>
    <rPh sb="0" eb="1">
      <t>セイ</t>
    </rPh>
    <rPh sb="1" eb="3">
      <t>セキサン</t>
    </rPh>
    <rPh sb="3" eb="5">
      <t>ミツモリ</t>
    </rPh>
    <phoneticPr fontId="3"/>
  </si>
  <si>
    <t>実行予算登録画面から引き取ったパラメータ</t>
    <rPh sb="0" eb="2">
      <t>ジッコウ</t>
    </rPh>
    <rPh sb="2" eb="4">
      <t>ヨサン</t>
    </rPh>
    <rPh sb="4" eb="6">
      <t>トウロク</t>
    </rPh>
    <rPh sb="6" eb="8">
      <t>ガメン</t>
    </rPh>
    <rPh sb="10" eb="11">
      <t>ヒ</t>
    </rPh>
    <rPh sb="12" eb="13">
      <t>ト</t>
    </rPh>
    <phoneticPr fontId="3"/>
  </si>
  <si>
    <t>2. SQL</t>
    <phoneticPr fontId="3"/>
  </si>
  <si>
    <t>AND tdeh.最新フラグ = '1'</t>
    <phoneticPr fontId="3"/>
  </si>
  <si>
    <t>tded.協力業者コード AS 委託事業者コード</t>
    <phoneticPr fontId="3"/>
  </si>
  <si>
    <t>LEFT JOIN 業者情報 mv</t>
    <phoneticPr fontId="3"/>
  </si>
  <si>
    <t>AND mv.協力業者コード = tded.協力業者コード</t>
    <phoneticPr fontId="3"/>
  </si>
  <si>
    <t>AND mv.最新フラグ = '1'</t>
    <phoneticPr fontId="3"/>
  </si>
  <si>
    <t>AND tded.精積算明細ID IN (パラメータ.精積算明細IDリスト)</t>
    <phoneticPr fontId="3"/>
  </si>
  <si>
    <t>精積算明細ID別委託事業者リスト</t>
    <rPh sb="7" eb="8">
      <t>ベツ</t>
    </rPh>
    <rPh sb="8" eb="10">
      <t>イタク</t>
    </rPh>
    <rPh sb="10" eb="12">
      <t>ジギョウ</t>
    </rPh>
    <rPh sb="12" eb="13">
      <t>シャ</t>
    </rPh>
    <phoneticPr fontId="3"/>
  </si>
  <si>
    <t>共通処理による自動採番</t>
    <phoneticPr fontId="3"/>
  </si>
  <si>
    <t>"01"</t>
    <phoneticPr fontId="3"/>
  </si>
  <si>
    <t>"0"：編集中</t>
    <phoneticPr fontId="3"/>
  </si>
  <si>
    <t>←仮置き</t>
    <rPh sb="1" eb="3">
      <t>カリオ</t>
    </rPh>
    <phoneticPr fontId="3"/>
  </si>
  <si>
    <t>2：未発注（未連携）</t>
    <phoneticPr fontId="3"/>
  </si>
  <si>
    <t>1：注文書新規</t>
    <phoneticPr fontId="3"/>
  </si>
  <si>
    <t>(未設定)</t>
    <rPh sb="1" eb="4">
      <t>ミセッテイ</t>
    </rPh>
    <phoneticPr fontId="3"/>
  </si>
  <si>
    <t>注文書ヘッダ登録時採番した注文書ヘッダID</t>
    <rPh sb="5" eb="7">
      <t>トウロク</t>
    </rPh>
    <rPh sb="7" eb="8">
      <t>ジ</t>
    </rPh>
    <rPh sb="8" eb="10">
      <t>サイバン</t>
    </rPh>
    <phoneticPr fontId="3"/>
  </si>
  <si>
    <t>数量</t>
    <phoneticPr fontId="3"/>
  </si>
  <si>
    <t>単位区分</t>
    <phoneticPr fontId="3"/>
  </si>
  <si>
    <t>金額</t>
    <phoneticPr fontId="3"/>
  </si>
  <si>
    <t>(未設定)</t>
    <rPh sb="0" eb="3">
      <t>ミセッテイ</t>
    </rPh>
    <phoneticPr fontId="3"/>
  </si>
  <si>
    <t>2-1</t>
    <phoneticPr fontId="3"/>
  </si>
  <si>
    <t>削除フラグ = '0'</t>
    <rPh sb="0" eb="2">
      <t>サクジョ</t>
    </rPh>
    <phoneticPr fontId="3"/>
  </si>
  <si>
    <t>精積算明細IDリスト</t>
    <rPh sb="0" eb="1">
      <t>セイ</t>
    </rPh>
    <rPh sb="1" eb="3">
      <t>セキサン</t>
    </rPh>
    <rPh sb="3" eb="5">
      <t>メイサイ</t>
    </rPh>
    <phoneticPr fontId="7"/>
  </si>
  <si>
    <t>2-1で検索した注文書作成データ</t>
    <rPh sb="4" eb="6">
      <t>ケンサク</t>
    </rPh>
    <rPh sb="8" eb="11">
      <t>チュウモンショ</t>
    </rPh>
    <rPh sb="11" eb="13">
      <t>サクセイ</t>
    </rPh>
    <phoneticPr fontId="3"/>
  </si>
  <si>
    <t>明細行の委託所業者の業者ID</t>
    <rPh sb="4" eb="9">
      <t>イタクジョギョウシャ</t>
    </rPh>
    <rPh sb="10" eb="12">
      <t>ギョウシャ</t>
    </rPh>
    <phoneticPr fontId="3"/>
  </si>
  <si>
    <t>3. 取得した値を戻り値として返して、処理を終了する。</t>
    <phoneticPr fontId="3"/>
  </si>
  <si>
    <t>mv.業者ID</t>
    <phoneticPr fontId="3"/>
  </si>
  <si>
    <t>1～の連番</t>
    <rPh sb="3" eb="5">
      <t>レンバン</t>
    </rPh>
    <phoneticPr fontId="3"/>
  </si>
  <si>
    <t>消費税率ID</t>
    <phoneticPr fontId="3"/>
  </si>
  <si>
    <t>2-1で取得した消費税率ID</t>
    <rPh sb="4" eb="6">
      <t>シュトク</t>
    </rPh>
    <phoneticPr fontId="3"/>
  </si>
  <si>
    <t>注文書合計金額</t>
    <phoneticPr fontId="3"/>
  </si>
  <si>
    <t>同一業者IDの明細行単位のサブループが完了したときに、下記の金額を計算</t>
    <rPh sb="19" eb="21">
      <t>カンリョウ</t>
    </rPh>
    <rPh sb="27" eb="29">
      <t>カキ</t>
    </rPh>
    <rPh sb="30" eb="32">
      <t>キンガク</t>
    </rPh>
    <rPh sb="33" eb="35">
      <t>ケイサン</t>
    </rPh>
    <phoneticPr fontId="3"/>
  </si>
  <si>
    <t>1) 注文書合計金額 = 同一業者IDの明細データ.金額の合計</t>
    <phoneticPr fontId="3"/>
  </si>
  <si>
    <t>2) 手数料率を取得</t>
    <rPh sb="8" eb="10">
      <t>シュトク</t>
    </rPh>
    <phoneticPr fontId="3"/>
  </si>
  <si>
    <t>手数料率情報</t>
    <phoneticPr fontId="3"/>
  </si>
  <si>
    <t>手数料率ID</t>
    <phoneticPr fontId="3"/>
  </si>
  <si>
    <t>手数料率</t>
    <phoneticPr fontId="3"/>
  </si>
  <si>
    <t>AND 1) 注文書合計金額  &gt;= 適用金額FROM</t>
    <rPh sb="7" eb="10">
      <t>チュウモンショ</t>
    </rPh>
    <rPh sb="10" eb="12">
      <t>ゴウケイ</t>
    </rPh>
    <rPh sb="12" eb="14">
      <t>キンガク</t>
    </rPh>
    <phoneticPr fontId="3"/>
  </si>
  <si>
    <t>3) 手数料率を算出</t>
    <rPh sb="8" eb="10">
      <t>サンシュツ</t>
    </rPh>
    <phoneticPr fontId="3"/>
  </si>
  <si>
    <t>手数料</t>
    <phoneticPr fontId="3"/>
  </si>
  <si>
    <t>手数料 = 1) 注文書合計金額 × 2) 手数料率 ÷ 100</t>
    <phoneticPr fontId="3"/>
  </si>
  <si>
    <t>AND (適用金額TO（未満） IS NULL OR 1) 注文書合計金額  &lt; 適用金額TO（未満）)</t>
    <phoneticPr fontId="3"/>
  </si>
  <si>
    <t>2-5. 注文書ヘッダに仮置きの値を更新する</t>
    <rPh sb="5" eb="7">
      <t>チュウモン</t>
    </rPh>
    <rPh sb="7" eb="8">
      <t>ショ</t>
    </rPh>
    <rPh sb="12" eb="14">
      <t>カリオ</t>
    </rPh>
    <rPh sb="16" eb="17">
      <t>アタイ</t>
    </rPh>
    <rPh sb="18" eb="20">
      <t>コウシン</t>
    </rPh>
    <phoneticPr fontId="3"/>
  </si>
  <si>
    <t>更新キー</t>
    <rPh sb="0" eb="2">
      <t>コウシン</t>
    </rPh>
    <phoneticPr fontId="3"/>
  </si>
  <si>
    <t>注文書ヘッダID = 注文書ヘッダ登録時採番した注文書ヘッダID</t>
    <phoneticPr fontId="3"/>
  </si>
  <si>
    <t>2-4 の2) 手数料率ID</t>
    <phoneticPr fontId="3"/>
  </si>
  <si>
    <t>2-4 の1) 注文書合計金額</t>
    <phoneticPr fontId="3"/>
  </si>
  <si>
    <t>2-4 の3) 手数料</t>
    <phoneticPr fontId="3"/>
  </si>
  <si>
    <t>案件登録選択肢検索API</t>
    <phoneticPr fontId="3"/>
  </si>
  <si>
    <t>不具合No.208対応</t>
    <rPh sb="0" eb="3">
      <t>フグアイ</t>
    </rPh>
    <rPh sb="9" eb="11">
      <t>タイオウ</t>
    </rPh>
    <phoneticPr fontId="3"/>
  </si>
  <si>
    <t>2025/11/10 不具合No.208対応 (呉)</t>
    <rPh sb="24" eb="25">
      <t>ゴ</t>
    </rPh>
    <phoneticPr fontId="3"/>
  </si>
  <si>
    <t>追記</t>
    <rPh sb="0" eb="2">
      <t>ツイキ</t>
    </rPh>
    <phoneticPr fontId="3"/>
  </si>
  <si>
    <t>AND 最新フラグ IN ('0','1')</t>
    <phoneticPr fontId="3"/>
  </si>
  <si>
    <t>AND 案件ID = 1.案件情報.案件ID</t>
    <phoneticPr fontId="3"/>
  </si>
  <si>
    <t>注文書No追番</t>
    <phoneticPr fontId="3"/>
  </si>
  <si>
    <t>注文書ヘッダID</t>
    <phoneticPr fontId="3"/>
  </si>
  <si>
    <t>注文書No</t>
    <phoneticPr fontId="3"/>
  </si>
  <si>
    <t>AND 注文書状況区分 NOT IN (</t>
    <phoneticPr fontId="3"/>
  </si>
  <si>
    <t>'5'：請負わない</t>
    <phoneticPr fontId="3"/>
  </si>
  <si>
    <t>,'6'：発注取消</t>
    <phoneticPr fontId="3"/>
  </si>
  <si>
    <t>検索結果が1件以上の場合は、注文書作成済とする</t>
    <rPh sb="0" eb="2">
      <t>ケンサク</t>
    </rPh>
    <rPh sb="2" eb="4">
      <t>ケッカ</t>
    </rPh>
    <rPh sb="6" eb="7">
      <t>ケン</t>
    </rPh>
    <rPh sb="7" eb="9">
      <t>イジョウ</t>
    </rPh>
    <rPh sb="10" eb="12">
      <t>バアイ</t>
    </rPh>
    <rPh sb="14" eb="17">
      <t>チュウモンショ</t>
    </rPh>
    <rPh sb="17" eb="19">
      <t>サクセイ</t>
    </rPh>
    <rPh sb="19" eb="20">
      <t>スミ</t>
    </rPh>
    <phoneticPr fontId="3"/>
  </si>
  <si>
    <t>注文書作成済かチェック</t>
    <rPh sb="0" eb="3">
      <t>チュウモンショ</t>
    </rPh>
    <rPh sb="3" eb="5">
      <t>サクセイ</t>
    </rPh>
    <rPh sb="5" eb="6">
      <t>スミ</t>
    </rPh>
    <phoneticPr fontId="3"/>
  </si>
  <si>
    <t>tppw.連番</t>
    <rPh sb="5" eb="7">
      <t>レンバン</t>
    </rPh>
    <phoneticPr fontId="3"/>
  </si>
  <si>
    <t>INNER JOIN 消費税率情報 mtr</t>
    <phoneticPr fontId="3"/>
  </si>
  <si>
    <t>mtr.消費税率ID</t>
    <phoneticPr fontId="3"/>
  </si>
  <si>
    <t>ON mtr.削除フラウ = '0'</t>
    <rPh sb="7" eb="9">
      <t>サクジョ</t>
    </rPh>
    <phoneticPr fontId="3"/>
  </si>
  <si>
    <t>AND tppw.見積日 BETWEEN mtr.適用開始日 AND mtr.適用終了日</t>
    <rPh sb="9" eb="11">
      <t>ミツモリ</t>
    </rPh>
    <rPh sb="11" eb="12">
      <t>ビ</t>
    </rPh>
    <rPh sb="41" eb="43">
      <t>シュウリョウ</t>
    </rPh>
    <phoneticPr fontId="3"/>
  </si>
  <si>
    <t>2025/11/11 不具合No.208対応 (呉)</t>
    <rPh sb="24" eb="25">
      <t>ゴ</t>
    </rPh>
    <phoneticPr fontId="3"/>
  </si>
  <si>
    <t>修正</t>
    <rPh sb="0" eb="2">
      <t>シュウセイ</t>
    </rPh>
    <phoneticPr fontId="3"/>
  </si>
  <si>
    <r>
      <t>６-1．</t>
    </r>
    <r>
      <rPr>
        <sz val="10"/>
        <color rgb="FFFF0000"/>
        <rFont val="游ゴシック"/>
        <family val="3"/>
        <charset val="128"/>
        <scheme val="minor"/>
      </rPr>
      <t>案件</t>
    </r>
    <r>
      <rPr>
        <sz val="10"/>
        <color theme="1"/>
        <rFont val="游ゴシック"/>
        <family val="3"/>
        <charset val="128"/>
        <scheme val="minor"/>
      </rPr>
      <t>先行作業</t>
    </r>
    <r>
      <rPr>
        <strike/>
        <sz val="10"/>
        <color rgb="FFFF0000"/>
        <rFont val="游ゴシック"/>
        <family val="3"/>
        <charset val="128"/>
        <scheme val="minor"/>
      </rPr>
      <t>明細情報</t>
    </r>
    <r>
      <rPr>
        <sz val="10"/>
        <color theme="1"/>
        <rFont val="游ゴシック"/>
        <family val="3"/>
        <charset val="128"/>
        <scheme val="minor"/>
      </rPr>
      <t>を保存する</t>
    </r>
    <rPh sb="4" eb="6">
      <t>アンケン</t>
    </rPh>
    <phoneticPr fontId="3"/>
  </si>
  <si>
    <r>
      <rPr>
        <sz val="10"/>
        <color rgb="FFFF0000"/>
        <rFont val="游ゴシック"/>
        <family val="3"/>
        <charset val="128"/>
        <scheme val="minor"/>
      </rPr>
      <t>案件</t>
    </r>
    <r>
      <rPr>
        <sz val="10"/>
        <color theme="1"/>
        <rFont val="游ゴシック"/>
        <family val="3"/>
        <charset val="128"/>
        <scheme val="minor"/>
      </rPr>
      <t>先行作業</t>
    </r>
    <r>
      <rPr>
        <strike/>
        <sz val="10"/>
        <color rgb="FFFF0000"/>
        <rFont val="游ゴシック"/>
        <family val="3"/>
        <charset val="128"/>
        <scheme val="minor"/>
      </rPr>
      <t>明細</t>
    </r>
    <rPh sb="2" eb="8">
      <t>センコウサギョウメイサイ</t>
    </rPh>
    <phoneticPr fontId="3"/>
  </si>
  <si>
    <t>修正、追加</t>
    <rPh sb="3" eb="5">
      <t>ツイカ</t>
    </rPh>
    <phoneticPr fontId="3"/>
  </si>
  <si>
    <t>INNER JOIN 案件先行作業明細 tppwd</t>
    <rPh sb="17" eb="19">
      <t>メイサイ</t>
    </rPh>
    <phoneticPr fontId="3"/>
  </si>
  <si>
    <t>ON tppwd.削除フラウ = '0'</t>
    <rPh sb="9" eb="11">
      <t>サクジョ</t>
    </rPh>
    <phoneticPr fontId="3"/>
  </si>
  <si>
    <t>tppwd.精積算明細ID</t>
    <phoneticPr fontId="3"/>
  </si>
  <si>
    <t>tppwd.大工事コード</t>
    <phoneticPr fontId="3"/>
  </si>
  <si>
    <t>tppwd.小工事コード</t>
    <phoneticPr fontId="3"/>
  </si>
  <si>
    <t>tppwd.工事連番</t>
    <phoneticPr fontId="3"/>
  </si>
  <si>
    <t>tppwd.規格</t>
    <phoneticPr fontId="3"/>
  </si>
  <si>
    <t>tppwd.数量</t>
    <phoneticPr fontId="3"/>
  </si>
  <si>
    <t>tppwd.単価</t>
    <phoneticPr fontId="3"/>
  </si>
  <si>
    <t>tppwd.単位区分</t>
    <phoneticPr fontId="3"/>
  </si>
  <si>
    <t>tppwd.精積算金額 AS 金額</t>
    <phoneticPr fontId="3"/>
  </si>
  <si>
    <t>2-2 上記2-1で検索したデータを精積算明細IDを紐づくキーに、画面で選択された業者IDに紐づく</t>
    <rPh sb="4" eb="6">
      <t>ジョウキ</t>
    </rPh>
    <rPh sb="10" eb="12">
      <t>ケンサク</t>
    </rPh>
    <rPh sb="26" eb="27">
      <t>ヒモ</t>
    </rPh>
    <rPh sb="33" eb="35">
      <t>ガメン</t>
    </rPh>
    <rPh sb="36" eb="38">
      <t>センタク</t>
    </rPh>
    <rPh sb="46" eb="47">
      <t>ヒモ</t>
    </rPh>
    <phoneticPr fontId="3"/>
  </si>
  <si>
    <t>注文書作成のデータを取得</t>
    <rPh sb="0" eb="3">
      <t>チュウモンショ</t>
    </rPh>
    <rPh sb="3" eb="5">
      <t>サクセイ</t>
    </rPh>
    <rPh sb="10" eb="12">
      <t>シュトク</t>
    </rPh>
    <phoneticPr fontId="3"/>
  </si>
  <si>
    <t>2-3 上記2-1、2-2で取得したデータを業者ID、消費税率で集約して注文書ヘッダを登録する。</t>
    <rPh sb="4" eb="6">
      <t>ジョウキ</t>
    </rPh>
    <rPh sb="14" eb="16">
      <t>シュトク</t>
    </rPh>
    <rPh sb="27" eb="31">
      <t>ショウヒゼイリツ</t>
    </rPh>
    <rPh sb="32" eb="34">
      <t>シュウヤク</t>
    </rPh>
    <rPh sb="36" eb="39">
      <t>チュウモンショ</t>
    </rPh>
    <rPh sb="43" eb="45">
      <t>トウロク</t>
    </rPh>
    <phoneticPr fontId="3"/>
  </si>
  <si>
    <t>2-4．2-3で登録した注文書ヘッダのグループで画面に表示している明細行の順で注文書明細を登録する。</t>
    <rPh sb="8" eb="10">
      <t>トウロク</t>
    </rPh>
    <rPh sb="12" eb="14">
      <t>チュウモン</t>
    </rPh>
    <rPh sb="14" eb="15">
      <t>ショ</t>
    </rPh>
    <rPh sb="24" eb="26">
      <t>ガメン</t>
    </rPh>
    <rPh sb="27" eb="29">
      <t>ヒョウジ</t>
    </rPh>
    <rPh sb="35" eb="36">
      <t>ギョウ</t>
    </rPh>
    <rPh sb="37" eb="38">
      <t>ジュン</t>
    </rPh>
    <rPh sb="39" eb="42">
      <t>チュウモンショ</t>
    </rPh>
    <rPh sb="42" eb="44">
      <t>メイサイ</t>
    </rPh>
    <rPh sb="45" eb="47">
      <t>トウロク</t>
    </rPh>
    <phoneticPr fontId="3"/>
  </si>
  <si>
    <t>算出した手数料の小数部を切り捨てる</t>
    <rPh sb="0" eb="2">
      <t>サンシュツ</t>
    </rPh>
    <rPh sb="4" eb="7">
      <t>テスウリョウ</t>
    </rPh>
    <rPh sb="8" eb="10">
      <t>ショウスウ</t>
    </rPh>
    <rPh sb="10" eb="11">
      <t>ブ</t>
    </rPh>
    <rPh sb="12" eb="13">
      <t>キ</t>
    </rPh>
    <rPh sb="14" eb="15">
      <t>ス</t>
    </rPh>
    <phoneticPr fontId="3"/>
  </si>
  <si>
    <t>業者ID、消費税率毎のループ</t>
    <rPh sb="0" eb="1">
      <t>ギョウシャ</t>
    </rPh>
    <rPh sb="5" eb="8">
      <t>ショウヒゼイ</t>
    </rPh>
    <rPh sb="8" eb="9">
      <t>リツ</t>
    </rPh>
    <rPh sb="9" eb="10">
      <t>ゴト</t>
    </rPh>
    <phoneticPr fontId="3"/>
  </si>
  <si>
    <t>業者ID、消費税率毎のループの中に、同一業者ID、消費税率の明細行単位のサブループ</t>
    <rPh sb="0" eb="1">
      <t>ギョウシャ</t>
    </rPh>
    <rPh sb="5" eb="8">
      <t>ショウヒゼイ</t>
    </rPh>
    <rPh sb="8" eb="9">
      <t>リツ</t>
    </rPh>
    <rPh sb="9" eb="10">
      <t>ゴト</t>
    </rPh>
    <rPh sb="15" eb="16">
      <t>ナカ</t>
    </rPh>
    <rPh sb="18" eb="20">
      <t>ドウイツ</t>
    </rPh>
    <rPh sb="20" eb="22">
      <t>ギョウシャ</t>
    </rPh>
    <rPh sb="30" eb="32">
      <t>メイサイ</t>
    </rPh>
    <rPh sb="32" eb="33">
      <t>ギョウ</t>
    </rPh>
    <rPh sb="33" eb="35">
      <t>タンイ</t>
    </rPh>
    <phoneticPr fontId="3"/>
  </si>
  <si>
    <t>連番</t>
    <rPh sb="0" eb="2">
      <t>レンバン</t>
    </rPh>
    <phoneticPr fontId="7"/>
  </si>
  <si>
    <t>印刷ボタン押下行の先行作業内諾書の明細No.</t>
    <rPh sb="0" eb="2">
      <t>インサツ</t>
    </rPh>
    <rPh sb="5" eb="7">
      <t>オウカ</t>
    </rPh>
    <rPh sb="7" eb="8">
      <t>ギョウ</t>
    </rPh>
    <rPh sb="9" eb="11">
      <t>センコウ</t>
    </rPh>
    <rPh sb="11" eb="13">
      <t>サギョウ</t>
    </rPh>
    <rPh sb="13" eb="14">
      <t>ナイ</t>
    </rPh>
    <rPh sb="15" eb="16">
      <t>ショ</t>
    </rPh>
    <rPh sb="17" eb="19">
      <t>メイサイ</t>
    </rPh>
    <phoneticPr fontId="3"/>
  </si>
  <si>
    <t>ON mmw.削除フラウ = '0'</t>
    <rPh sb="7" eb="9">
      <t>サクジョ</t>
    </rPh>
    <phoneticPr fontId="3"/>
  </si>
  <si>
    <t>AND mmw.大工事コード = tppwd.大工事コード</t>
    <phoneticPr fontId="3"/>
  </si>
  <si>
    <t>tppwd.工種区分コード</t>
  </si>
  <si>
    <t>tppwd.工種区分コード</t>
    <phoneticPr fontId="3"/>
  </si>
  <si>
    <t>LEFT JOIN 工種区分情報 mct</t>
    <phoneticPr fontId="3"/>
  </si>
  <si>
    <t>ON mct.削除フラウ = '0'</t>
    <rPh sb="7" eb="9">
      <t>サクジョ</t>
    </rPh>
    <phoneticPr fontId="3"/>
  </si>
  <si>
    <t>AND mct.工種区分コード = tppwd.工種区分コード</t>
    <phoneticPr fontId="3"/>
  </si>
  <si>
    <t>AND tppw.連番 = パラメータ.連番</t>
    <rPh sb="9" eb="11">
      <t>レンバン</t>
    </rPh>
    <phoneticPr fontId="7"/>
  </si>
  <si>
    <t>tppw.削除区分 = '0'</t>
    <rPh sb="5" eb="7">
      <t>サクジョ</t>
    </rPh>
    <rPh sb="7" eb="9">
      <t>クブン</t>
    </rPh>
    <phoneticPr fontId="7"/>
  </si>
  <si>
    <t>AND tppw.案件ID = パラメータ.案件ID</t>
    <rPh sb="9" eb="11">
      <t>アンケン</t>
    </rPh>
    <phoneticPr fontId="7"/>
  </si>
  <si>
    <t>ON tded.削除フラウ = '0'</t>
    <rPh sb="8" eb="10">
      <t>サクジョ</t>
    </rPh>
    <phoneticPr fontId="3"/>
  </si>
  <si>
    <t>AND tded.精積算明細ID = tppwd.精積算明細ID</t>
    <phoneticPr fontId="3"/>
  </si>
  <si>
    <t>mct.工種区分名</t>
  </si>
  <si>
    <t>mct.工種区分名</t>
    <phoneticPr fontId="3"/>
  </si>
  <si>
    <t>GROUP BY</t>
    <phoneticPr fontId="3"/>
  </si>
  <si>
    <t>SUM(tppwd.精積算金額) AS 金額</t>
    <phoneticPr fontId="3"/>
  </si>
  <si>
    <t>tppwd.大工事コード</t>
    <rPh sb="6" eb="9">
      <t>ダイコウジ</t>
    </rPh>
    <phoneticPr fontId="3"/>
  </si>
  <si>
    <t>mct.表示順</t>
    <rPh sb="4" eb="7">
      <t>ヒョウジジュン</t>
    </rPh>
    <phoneticPr fontId="3"/>
  </si>
  <si>
    <t>mmw.表示順</t>
    <rPh sb="4" eb="7">
      <t>ヒョウジジュン</t>
    </rPh>
    <phoneticPr fontId="3"/>
  </si>
  <si>
    <t>mmw.大工事名</t>
    <rPh sb="4" eb="7">
      <t>ダイコウジ</t>
    </rPh>
    <rPh sb="7" eb="8">
      <t>メイ</t>
    </rPh>
    <phoneticPr fontId="3"/>
  </si>
  <si>
    <t>先行作業内諾書明細_印刷API</t>
    <phoneticPr fontId="3"/>
  </si>
  <si>
    <t>登録の場合</t>
    <rPh sb="0" eb="2">
      <t>トウロク</t>
    </rPh>
    <rPh sb="3" eb="5">
      <t>バアイ</t>
    </rPh>
    <phoneticPr fontId="3"/>
  </si>
  <si>
    <r>
      <t>先行作業内諾書</t>
    </r>
    <r>
      <rPr>
        <strike/>
        <sz val="10"/>
        <color rgb="FFFF0000"/>
        <rFont val="游ゴシック"/>
        <family val="3"/>
        <charset val="128"/>
        <scheme val="minor"/>
      </rPr>
      <t>明細</t>
    </r>
    <r>
      <rPr>
        <sz val="10"/>
        <color theme="1"/>
        <rFont val="游ゴシック"/>
        <family val="3"/>
        <charset val="128"/>
        <scheme val="minor"/>
      </rPr>
      <t>リスト</t>
    </r>
    <rPh sb="0" eb="7">
      <t>センコウサギョウナイダクショ</t>
    </rPh>
    <rPh sb="7" eb="9">
      <t>メイサイ</t>
    </rPh>
    <phoneticPr fontId="7"/>
  </si>
  <si>
    <t>先行作業処理区分</t>
    <phoneticPr fontId="3"/>
  </si>
  <si>
    <r>
      <t>6.先行作業明細.</t>
    </r>
    <r>
      <rPr>
        <strike/>
        <sz val="10"/>
        <color rgb="FFFF0000"/>
        <rFont val="游ゴシック"/>
        <family val="3"/>
        <charset val="128"/>
        <scheme val="minor"/>
      </rPr>
      <t>案件先行作業連番</t>
    </r>
    <rPh sb="2" eb="8">
      <t>センコウサギョウメイサイ</t>
    </rPh>
    <rPh sb="9" eb="11">
      <t>アンケン</t>
    </rPh>
    <rPh sb="11" eb="13">
      <t>センコウ</t>
    </rPh>
    <rPh sb="13" eb="15">
      <t>サギョウ</t>
    </rPh>
    <rPh sb="15" eb="17">
      <t>レンバン</t>
    </rPh>
    <phoneticPr fontId="3"/>
  </si>
  <si>
    <r>
      <t>6.</t>
    </r>
    <r>
      <rPr>
        <strike/>
        <sz val="10"/>
        <color rgb="FFFF0000"/>
        <rFont val="游ゴシック"/>
        <family val="3"/>
        <charset val="128"/>
        <scheme val="minor"/>
      </rPr>
      <t>添付ファイル情報.注文書ヘッダIDファイル名</t>
    </r>
    <rPh sb="2" eb="4">
      <t>テンプ</t>
    </rPh>
    <rPh sb="8" eb="10">
      <t>ジョウホウ</t>
    </rPh>
    <rPh sb="11" eb="14">
      <t>チュウモンショ</t>
    </rPh>
    <phoneticPr fontId="3"/>
  </si>
  <si>
    <r>
      <t>6.</t>
    </r>
    <r>
      <rPr>
        <strike/>
        <sz val="10"/>
        <color rgb="FFFF0000"/>
        <rFont val="游ゴシック"/>
        <family val="3"/>
        <charset val="128"/>
        <scheme val="minor"/>
      </rPr>
      <t>添付ファイル情報.添付ファイルIDファイル拡張子</t>
    </r>
    <rPh sb="2" eb="4">
      <t>テンプ</t>
    </rPh>
    <rPh sb="8" eb="10">
      <t>ジョウホウ</t>
    </rPh>
    <rPh sb="11" eb="13">
      <t>テンプ</t>
    </rPh>
    <phoneticPr fontId="3"/>
  </si>
  <si>
    <r>
      <t>6.</t>
    </r>
    <r>
      <rPr>
        <strike/>
        <sz val="10"/>
        <color rgb="FFFF0000"/>
        <rFont val="游ゴシック"/>
        <family val="3"/>
        <charset val="128"/>
        <scheme val="minor"/>
      </rPr>
      <t>添付ファイル情報.添付ファイルIDファイルサイズ</t>
    </r>
    <rPh sb="2" eb="4">
      <t>テンプ</t>
    </rPh>
    <rPh sb="8" eb="10">
      <t>ジョウホウ</t>
    </rPh>
    <rPh sb="11" eb="13">
      <t>テンプ</t>
    </rPh>
    <phoneticPr fontId="3"/>
  </si>
  <si>
    <t>2025/11/11不具合No.208対応 (呉)</t>
    <rPh sb="23" eb="24">
      <t>ゴ</t>
    </rPh>
    <phoneticPr fontId="3"/>
  </si>
  <si>
    <t>6-1</t>
    <phoneticPr fontId="3"/>
  </si>
  <si>
    <t>先行作業処理区分が3：注文書作成済の場合、作成済、それ以外の場合、未作成とする</t>
    <rPh sb="18" eb="20">
      <t>バアイ</t>
    </rPh>
    <rPh sb="21" eb="23">
      <t>サクセイ</t>
    </rPh>
    <rPh sb="23" eb="24">
      <t>スミ</t>
    </rPh>
    <rPh sb="27" eb="29">
      <t>イガイ</t>
    </rPh>
    <rPh sb="30" eb="32">
      <t>バアイ</t>
    </rPh>
    <rPh sb="33" eb="36">
      <t>ミサクセイ</t>
    </rPh>
    <phoneticPr fontId="3"/>
  </si>
  <si>
    <t>下記の順で判定してセットする。
新規作成の場合、1:作成済
注文書作成子画面で登録した場合、3：注文書作成済
画面の先行作業内諾書の該当行が変更された場合、1:作成済
画面の先行作業内諾書の該当行が変更されなかった場合、変更なし
画面の先行作業内諾書の該当行が削除された場合、変更不要で、削除フラグ='1'とする</t>
    <phoneticPr fontId="3"/>
  </si>
  <si>
    <r>
      <t>AND tded.</t>
    </r>
    <r>
      <rPr>
        <sz val="10"/>
        <color theme="4" tint="-0.249977111117893"/>
        <rFont val="游ゴシック"/>
        <family val="3"/>
        <charset val="128"/>
        <scheme val="minor"/>
      </rPr>
      <t>精積算明細</t>
    </r>
    <r>
      <rPr>
        <sz val="10"/>
        <color rgb="FFFF0000"/>
        <rFont val="游ゴシック"/>
        <family val="3"/>
        <charset val="128"/>
        <scheme val="minor"/>
      </rPr>
      <t>ID = tppwd.</t>
    </r>
    <r>
      <rPr>
        <sz val="10"/>
        <color theme="4" tint="-0.249977111117893"/>
        <rFont val="游ゴシック"/>
        <family val="3"/>
        <charset val="128"/>
        <scheme val="minor"/>
      </rPr>
      <t>精積算明細</t>
    </r>
    <r>
      <rPr>
        <sz val="10"/>
        <color rgb="FFFF0000"/>
        <rFont val="游ゴシック"/>
        <family val="3"/>
        <charset val="128"/>
        <scheme val="minor"/>
      </rPr>
      <t>ID</t>
    </r>
    <rPh sb="9" eb="10">
      <t>セイ</t>
    </rPh>
    <rPh sb="10" eb="12">
      <t>セキサン</t>
    </rPh>
    <rPh sb="12" eb="14">
      <t>メイサイ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</si>
</sst>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游ゴシック"/>
      <family val="3"/>
      <charset val="128"/>
      <scheme val="minor"/>
    </font>
    <font>
      <sz val="11"/>
      <color theme="1"/>
      <name val="游ゴシック"/>
      <family val="3"/>
      <charset val="128"/>
      <scheme val="minor"/>
    </font>
    <font>
      <sz val="14"/>
      <color theme="1"/>
      <name val="游ゴシック"/>
      <family val="3"/>
      <charset val="128"/>
      <scheme val="minor"/>
    </font>
    <font>
      <sz val="6"/>
      <name val="游ゴシック"/>
      <family val="3"/>
      <charset val="128"/>
      <scheme val="minor"/>
    </font>
    <font>
      <sz val="10"/>
      <color theme="1"/>
      <name val="游ゴシック"/>
      <family val="3"/>
      <charset val="128"/>
      <scheme val="minor"/>
    </font>
    <font>
      <sz val="9"/>
      <color theme="1"/>
      <name val="游ゴシック"/>
      <family val="3"/>
      <charset val="128"/>
      <scheme val="minor"/>
    </font>
    <font>
      <sz val="11"/>
      <color theme="0"/>
      <name val="游ゴシック"/>
      <family val="3"/>
      <charset val="128"/>
      <scheme val="minor"/>
    </font>
    <font>
      <sz val="11"/>
      <color rgb="FF3F3F76"/>
      <name val="游ゴシック"/>
      <family val="2"/>
      <charset val="128"/>
      <scheme val="minor"/>
    </font>
    <font>
      <sz val="9"/>
      <color indexed="81"/>
      <name val="MS P ゴシック"/>
      <family val="2"/>
    </font>
    <font>
      <b/>
      <sz val="9"/>
      <color indexed="81"/>
      <name val="MS P ゴシック"/>
      <family val="2"/>
    </font>
    <font>
      <b/>
      <sz val="9"/>
      <color indexed="81"/>
      <name val="ＭＳ Ｐゴシック"/>
      <family val="3"/>
      <charset val="128"/>
    </font>
    <font>
      <sz val="9"/>
      <color indexed="81"/>
      <name val="ＭＳ Ｐゴシック"/>
      <family val="3"/>
      <charset val="128"/>
    </font>
    <font>
      <sz val="9"/>
      <color rgb="FFFF0000"/>
      <name val="游ゴシック"/>
      <family val="3"/>
      <charset val="128"/>
    </font>
    <font>
      <sz val="10"/>
      <color rgb="FFFF0000"/>
      <name val="游ゴシック"/>
      <family val="3"/>
      <charset val="128"/>
      <scheme val="minor"/>
    </font>
    <font>
      <sz val="10"/>
      <name val="游ゴシック"/>
      <family val="3"/>
      <charset val="128"/>
      <scheme val="minor"/>
    </font>
    <font>
      <sz val="10"/>
      <color theme="1"/>
      <name val="游ゴシック Medium"/>
      <family val="3"/>
      <charset val="128"/>
    </font>
    <font>
      <sz val="10"/>
      <name val="游ゴシック"/>
      <family val="3"/>
      <charset val="128"/>
    </font>
    <font>
      <sz val="10"/>
      <color theme="0"/>
      <name val="游ゴシック"/>
      <family val="3"/>
      <charset val="128"/>
      <scheme val="minor"/>
    </font>
    <font>
      <sz val="10"/>
      <color theme="1"/>
      <name val="游ゴシック"/>
      <family val="3"/>
      <charset val="128"/>
    </font>
    <font>
      <strike/>
      <sz val="10"/>
      <color theme="1"/>
      <name val="游ゴシック"/>
      <family val="3"/>
      <charset val="128"/>
      <scheme val="minor"/>
    </font>
    <font>
      <sz val="10"/>
      <color rgb="FFFF0000"/>
      <name val="游ゴシック"/>
      <family val="3"/>
      <charset val="128"/>
    </font>
    <font>
      <sz val="10"/>
      <color rgb="FF000000"/>
      <name val="游ゴシック Medium"/>
      <family val="3"/>
      <charset val="128"/>
    </font>
    <font>
      <sz val="11"/>
      <color rgb="FFFF0000"/>
      <name val="游ゴシック"/>
      <family val="3"/>
      <charset val="128"/>
      <scheme val="minor"/>
    </font>
    <font>
      <sz val="11"/>
      <color theme="1"/>
      <name val="游ゴシック"/>
      <family val="2"/>
      <scheme val="minor"/>
    </font>
    <font>
      <sz val="11"/>
      <color rgb="FF000000"/>
      <name val="游ゴシック"/>
      <family val="3"/>
      <charset val="128"/>
      <scheme val="minor"/>
    </font>
    <font>
      <strike/>
      <sz val="10"/>
      <color rgb="FFFF0000"/>
      <name val="游ゴシック"/>
      <family val="3"/>
      <charset val="128"/>
      <scheme val="minor"/>
    </font>
    <font>
      <b/>
      <sz val="11"/>
      <color theme="1"/>
      <name val="游ゴシック Medium"/>
      <family val="3"/>
      <charset val="128"/>
    </font>
    <font>
      <sz val="11"/>
      <color theme="1"/>
      <name val="游ゴシック Medium"/>
      <family val="3"/>
      <charset val="128"/>
    </font>
    <font>
      <sz val="11"/>
      <color theme="0"/>
      <name val="游ゴシック Medium"/>
      <family val="3"/>
      <charset val="128"/>
    </font>
    <font>
      <strike/>
      <sz val="10"/>
      <color rgb="FF0070C0"/>
      <name val="游ゴシック"/>
      <family val="3"/>
      <charset val="128"/>
      <scheme val="minor"/>
    </font>
    <font>
      <sz val="10"/>
      <color rgb="FF0070C0"/>
      <name val="游ゴシック"/>
      <family val="3"/>
      <charset val="128"/>
      <scheme val="minor"/>
    </font>
    <font>
      <sz val="11"/>
      <color rgb="FF0070C0"/>
      <name val="游ゴシック Medium"/>
      <family val="3"/>
      <charset val="128"/>
    </font>
    <font>
      <sz val="10"/>
      <color rgb="FFFF0000"/>
      <name val="游ゴシック Medium"/>
      <family val="3"/>
      <charset val="128"/>
    </font>
    <font>
      <strike/>
      <sz val="10"/>
      <color rgb="FFFF0000"/>
      <name val="游ゴシック"/>
      <family val="3"/>
      <charset val="128"/>
    </font>
    <font>
      <b/>
      <sz val="10"/>
      <color theme="1"/>
      <name val="游ゴシック"/>
      <family val="3"/>
      <charset val="128"/>
      <scheme val="minor"/>
    </font>
    <font>
      <b/>
      <sz val="10"/>
      <color rgb="FFFF0000"/>
      <name val="游ゴシック"/>
      <family val="3"/>
      <charset val="128"/>
      <scheme val="minor"/>
    </font>
    <font>
      <sz val="9"/>
      <color rgb="FF332211"/>
      <name val="游ゴシック"/>
      <family val="3"/>
      <charset val="128"/>
      <scheme val="minor"/>
    </font>
    <font>
      <strike/>
      <sz val="10"/>
      <name val="游ゴシック"/>
      <family val="3"/>
      <charset val="128"/>
    </font>
    <font>
      <sz val="10"/>
      <color theme="4" tint="-0.249977111117893"/>
      <name val="游ゴシック"/>
      <family val="3"/>
      <charset val="128"/>
      <scheme val="minor"/>
    </font>
  </fonts>
  <fills count="1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7" tint="0.79995117038483843"/>
        <bgColor indexed="64"/>
      </patternFill>
    </fill>
    <fill>
      <patternFill patternType="solid">
        <fgColor theme="5" tint="0.79995117038483843"/>
        <bgColor indexed="64"/>
      </patternFill>
    </fill>
    <fill>
      <patternFill patternType="solid">
        <fgColor theme="0"/>
        <bgColor theme="0"/>
      </patternFill>
    </fill>
    <fill>
      <patternFill patternType="solid">
        <fgColor theme="4" tint="0.79998168889431442"/>
        <bgColor indexed="64"/>
      </patternFill>
    </fill>
    <fill>
      <patternFill patternType="solid">
        <fgColor theme="0"/>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rgb="FF334279"/>
        <bgColor rgb="FF334279"/>
      </patternFill>
    </fill>
    <fill>
      <patternFill patternType="solid">
        <fgColor theme="0" tint="-0.14999847407452621"/>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theme="2"/>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3" fillId="0" borderId="0"/>
  </cellStyleXfs>
  <cellXfs count="419">
    <xf numFmtId="0" fontId="0" fillId="0" borderId="0" xfId="0">
      <alignment vertical="center"/>
    </xf>
    <xf numFmtId="0" fontId="0" fillId="0" borderId="0" xfId="0" applyAlignment="1">
      <alignment horizontal="center" vertical="center"/>
    </xf>
    <xf numFmtId="0" fontId="0" fillId="0" borderId="2" xfId="0" applyBorder="1">
      <alignment vertical="center"/>
    </xf>
    <xf numFmtId="0" fontId="0" fillId="0" borderId="3" xfId="0" applyBorder="1">
      <alignment vertical="center"/>
    </xf>
    <xf numFmtId="0" fontId="0" fillId="0" borderId="1" xfId="0" applyBorder="1" applyAlignment="1">
      <alignment horizontal="center"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1" fillId="0" borderId="0" xfId="0" applyFont="1">
      <alignment vertical="center"/>
    </xf>
    <xf numFmtId="0" fontId="1" fillId="0" borderId="0" xfId="0" quotePrefix="1" applyFont="1">
      <alignment vertical="center"/>
    </xf>
    <xf numFmtId="0" fontId="0" fillId="0" borderId="5" xfId="0" applyBorder="1">
      <alignment vertical="center"/>
    </xf>
    <xf numFmtId="0" fontId="0" fillId="0" borderId="6"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5" fillId="0" borderId="4" xfId="0" applyFont="1" applyBorder="1">
      <alignment vertical="center"/>
    </xf>
    <xf numFmtId="0" fontId="5" fillId="0" borderId="5" xfId="0" applyFont="1" applyBorder="1">
      <alignment vertical="center"/>
    </xf>
    <xf numFmtId="0" fontId="5" fillId="0" borderId="6" xfId="0" applyFont="1" applyBorder="1">
      <alignment vertical="center"/>
    </xf>
    <xf numFmtId="0" fontId="5" fillId="0" borderId="4" xfId="0" applyFont="1" applyBorder="1" applyAlignment="1">
      <alignment horizontal="left" vertical="center"/>
    </xf>
    <xf numFmtId="0" fontId="5" fillId="0" borderId="4" xfId="0" applyFont="1" applyBorder="1" applyAlignment="1">
      <alignment horizontal="center" vertical="center"/>
    </xf>
    <xf numFmtId="0" fontId="6" fillId="0" borderId="0" xfId="0" applyFont="1">
      <alignment vertical="center"/>
    </xf>
    <xf numFmtId="0" fontId="0" fillId="0" borderId="1" xfId="0" applyBorder="1">
      <alignment vertical="center"/>
    </xf>
    <xf numFmtId="0" fontId="1" fillId="0" borderId="5" xfId="0" applyFont="1" applyBorder="1">
      <alignment vertical="center"/>
    </xf>
    <xf numFmtId="0" fontId="0" fillId="4" borderId="4" xfId="0" applyFill="1" applyBorder="1">
      <alignment vertical="center"/>
    </xf>
    <xf numFmtId="0" fontId="0" fillId="4" borderId="5" xfId="0" applyFill="1" applyBorder="1">
      <alignment vertical="center"/>
    </xf>
    <xf numFmtId="0" fontId="0" fillId="4" borderId="6" xfId="0" applyFill="1" applyBorder="1">
      <alignment vertical="center"/>
    </xf>
    <xf numFmtId="0" fontId="4" fillId="0" borderId="2" xfId="0" applyFont="1" applyBorder="1">
      <alignment vertical="center"/>
    </xf>
    <xf numFmtId="0" fontId="4" fillId="0" borderId="0" xfId="0" applyFont="1">
      <alignment vertical="center"/>
    </xf>
    <xf numFmtId="0" fontId="4" fillId="0" borderId="3" xfId="0" applyFont="1" applyBorder="1">
      <alignment vertical="center"/>
    </xf>
    <xf numFmtId="0" fontId="4" fillId="8" borderId="5" xfId="0" applyFont="1" applyFill="1" applyBorder="1">
      <alignment vertical="center"/>
    </xf>
    <xf numFmtId="0" fontId="4" fillId="8" borderId="6" xfId="0" applyFont="1" applyFill="1" applyBorder="1">
      <alignmen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0" xfId="0" quotePrefix="1" applyFont="1">
      <alignment vertical="center"/>
    </xf>
    <xf numFmtId="0" fontId="13" fillId="0" borderId="0" xfId="0" applyFont="1">
      <alignment vertical="center"/>
    </xf>
    <xf numFmtId="0" fontId="14" fillId="0" borderId="0" xfId="0" applyFont="1">
      <alignment vertical="center"/>
    </xf>
    <xf numFmtId="0" fontId="4" fillId="0" borderId="0" xfId="0" applyFont="1" applyAlignment="1">
      <alignment horizontal="center"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9" xfId="0" applyFont="1" applyBorder="1">
      <alignment vertical="center"/>
    </xf>
    <xf numFmtId="0" fontId="4" fillId="0" borderId="0" xfId="0" applyFont="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4" fillId="0" borderId="4" xfId="0" quotePrefix="1" applyFont="1" applyBorder="1">
      <alignment vertical="center"/>
    </xf>
    <xf numFmtId="0" fontId="15" fillId="6" borderId="0" xfId="0" applyFont="1" applyFill="1" applyAlignment="1">
      <alignment horizontal="left" vertical="center"/>
    </xf>
    <xf numFmtId="0" fontId="4" fillId="0" borderId="0" xfId="0" quotePrefix="1" applyFont="1" applyAlignment="1">
      <alignment horizontal="left" vertical="center"/>
    </xf>
    <xf numFmtId="0" fontId="16" fillId="0" borderId="5" xfId="0" applyFont="1" applyBorder="1">
      <alignment vertical="center"/>
    </xf>
    <xf numFmtId="0" fontId="13" fillId="0" borderId="0" xfId="0" quotePrefix="1" applyFont="1" applyAlignment="1">
      <alignment horizontal="left" vertical="center"/>
    </xf>
    <xf numFmtId="0" fontId="16" fillId="0" borderId="5" xfId="0" applyFont="1" applyBorder="1" applyAlignment="1">
      <alignment horizontal="left" vertical="center"/>
    </xf>
    <xf numFmtId="0" fontId="13" fillId="0" borderId="4" xfId="0" applyFont="1" applyBorder="1">
      <alignment vertical="center"/>
    </xf>
    <xf numFmtId="0" fontId="4" fillId="0" borderId="10" xfId="0" applyFont="1" applyBorder="1">
      <alignment vertical="center"/>
    </xf>
    <xf numFmtId="0" fontId="13" fillId="0" borderId="5" xfId="0" applyFont="1" applyBorder="1" applyAlignment="1">
      <alignment horizontal="left" vertical="center"/>
    </xf>
    <xf numFmtId="0" fontId="13" fillId="0" borderId="4" xfId="0" applyFont="1" applyBorder="1" applyAlignment="1">
      <alignment horizontal="center" vertical="center"/>
    </xf>
    <xf numFmtId="0" fontId="13" fillId="0" borderId="5" xfId="0" applyFont="1" applyBorder="1">
      <alignment vertical="center"/>
    </xf>
    <xf numFmtId="0" fontId="13" fillId="0" borderId="6" xfId="0" applyFont="1" applyBorder="1">
      <alignment vertical="center"/>
    </xf>
    <xf numFmtId="0" fontId="13" fillId="0" borderId="0" xfId="0" applyFont="1" applyAlignment="1">
      <alignment horizontal="left" vertical="center"/>
    </xf>
    <xf numFmtId="0" fontId="4" fillId="0" borderId="11" xfId="0" applyFont="1" applyBorder="1">
      <alignment vertical="center"/>
    </xf>
    <xf numFmtId="0" fontId="4" fillId="0" borderId="11" xfId="0" applyFont="1" applyBorder="1" applyAlignment="1">
      <alignment horizontal="center" vertical="center"/>
    </xf>
    <xf numFmtId="0" fontId="4" fillId="0" borderId="12" xfId="0" applyFont="1" applyBorder="1">
      <alignment vertical="center"/>
    </xf>
    <xf numFmtId="0" fontId="17" fillId="0" borderId="0" xfId="0" applyFont="1">
      <alignment vertical="center"/>
    </xf>
    <xf numFmtId="0" fontId="4" fillId="9" borderId="0" xfId="0" applyFont="1" applyFill="1">
      <alignment vertical="center"/>
    </xf>
    <xf numFmtId="0" fontId="4" fillId="10" borderId="1" xfId="0" applyFont="1" applyFill="1" applyBorder="1" applyAlignment="1">
      <alignment horizontal="center" vertical="center"/>
    </xf>
    <xf numFmtId="0" fontId="13" fillId="9" borderId="0" xfId="0" applyFont="1" applyFill="1">
      <alignment vertical="center"/>
    </xf>
    <xf numFmtId="0" fontId="4" fillId="9" borderId="4" xfId="0" applyFont="1" applyFill="1" applyBorder="1">
      <alignment vertical="center"/>
    </xf>
    <xf numFmtId="0" fontId="4" fillId="9" borderId="5" xfId="0" applyFont="1" applyFill="1" applyBorder="1">
      <alignment vertical="center"/>
    </xf>
    <xf numFmtId="0" fontId="4" fillId="9" borderId="6" xfId="0" applyFont="1" applyFill="1" applyBorder="1">
      <alignment vertical="center"/>
    </xf>
    <xf numFmtId="0" fontId="4" fillId="0" borderId="0" xfId="0" applyFont="1" applyAlignment="1">
      <alignment horizontal="left" vertical="center" wrapText="1"/>
    </xf>
    <xf numFmtId="0" fontId="4" fillId="0" borderId="3" xfId="0" applyFont="1" applyBorder="1" applyAlignment="1">
      <alignment vertical="center" wrapText="1"/>
    </xf>
    <xf numFmtId="0" fontId="18" fillId="0" borderId="5" xfId="0" applyFont="1" applyBorder="1" applyAlignment="1">
      <alignment horizontal="left" vertical="center"/>
    </xf>
    <xf numFmtId="0" fontId="4" fillId="11" borderId="0" xfId="0" applyFont="1" applyFill="1" applyAlignment="1">
      <alignment horizontal="left" vertical="center"/>
    </xf>
    <xf numFmtId="0" fontId="4" fillId="11" borderId="0" xfId="0" applyFont="1" applyFill="1" applyAlignment="1">
      <alignment horizontal="center" vertical="center"/>
    </xf>
    <xf numFmtId="0" fontId="4" fillId="11" borderId="0" xfId="0" applyFont="1" applyFill="1">
      <alignment vertical="center"/>
    </xf>
    <xf numFmtId="0" fontId="19" fillId="11" borderId="0" xfId="0" applyFont="1" applyFill="1" applyAlignment="1">
      <alignment horizontal="left" vertical="center"/>
    </xf>
    <xf numFmtId="0" fontId="4" fillId="9" borderId="4" xfId="0" applyFont="1" applyFill="1" applyBorder="1" applyAlignment="1">
      <alignment horizontal="left" vertical="center"/>
    </xf>
    <xf numFmtId="0" fontId="4" fillId="9" borderId="4" xfId="0" applyFont="1" applyFill="1" applyBorder="1" applyAlignment="1">
      <alignment horizontal="center" vertical="center"/>
    </xf>
    <xf numFmtId="0" fontId="4" fillId="0" borderId="7" xfId="0" applyFont="1" applyBorder="1" applyAlignment="1">
      <alignment horizontal="center" vertical="center"/>
    </xf>
    <xf numFmtId="0" fontId="13" fillId="0" borderId="8" xfId="0" applyFont="1" applyBorder="1">
      <alignment vertical="center"/>
    </xf>
    <xf numFmtId="0" fontId="13" fillId="0" borderId="9" xfId="0" applyFont="1" applyBorder="1">
      <alignment vertical="center"/>
    </xf>
    <xf numFmtId="0" fontId="4" fillId="0" borderId="13" xfId="0" applyFont="1" applyBorder="1" applyAlignment="1">
      <alignment horizontal="center" vertical="center"/>
    </xf>
    <xf numFmtId="0" fontId="4" fillId="0" borderId="11" xfId="0" applyFont="1" applyBorder="1" applyAlignment="1">
      <alignment horizontal="left" vertical="center" wrapText="1"/>
    </xf>
    <xf numFmtId="0" fontId="4" fillId="0" borderId="11" xfId="0" applyFont="1" applyBorder="1" applyAlignment="1">
      <alignment horizontal="left" vertical="center"/>
    </xf>
    <xf numFmtId="0" fontId="4" fillId="0" borderId="8" xfId="0" quotePrefix="1" applyFont="1" applyBorder="1" applyAlignment="1">
      <alignment horizontal="left" vertical="center"/>
    </xf>
    <xf numFmtId="0" fontId="4" fillId="0" borderId="8" xfId="0" applyFont="1" applyBorder="1" applyAlignment="1">
      <alignment horizontal="center" vertical="center"/>
    </xf>
    <xf numFmtId="0" fontId="15" fillId="6" borderId="8" xfId="0" applyFont="1" applyFill="1" applyBorder="1" applyAlignment="1">
      <alignment horizontal="left" vertical="center"/>
    </xf>
    <xf numFmtId="0" fontId="15" fillId="6" borderId="5" xfId="0" applyFont="1" applyFill="1" applyBorder="1" applyAlignment="1">
      <alignment horizontal="left" vertical="center"/>
    </xf>
    <xf numFmtId="0" fontId="20" fillId="0" borderId="5" xfId="0" applyFont="1" applyBorder="1">
      <alignment vertical="center"/>
    </xf>
    <xf numFmtId="0" fontId="4" fillId="8" borderId="1" xfId="0" applyFont="1" applyFill="1" applyBorder="1" applyAlignment="1">
      <alignment horizontal="center" vertical="center"/>
    </xf>
    <xf numFmtId="0" fontId="4" fillId="8" borderId="0" xfId="0" applyFont="1" applyFill="1">
      <alignment vertical="center"/>
    </xf>
    <xf numFmtId="0" fontId="4" fillId="8" borderId="0" xfId="0" applyFont="1" applyFill="1" applyAlignment="1">
      <alignment horizontal="center" vertical="center"/>
    </xf>
    <xf numFmtId="0" fontId="13" fillId="8" borderId="0" xfId="0" applyFont="1" applyFill="1">
      <alignment vertical="center"/>
    </xf>
    <xf numFmtId="0" fontId="4" fillId="8" borderId="2" xfId="0" applyFont="1" applyFill="1" applyBorder="1">
      <alignment vertical="center"/>
    </xf>
    <xf numFmtId="0" fontId="4" fillId="8" borderId="3" xfId="0" applyFont="1" applyFill="1" applyBorder="1">
      <alignment vertical="center"/>
    </xf>
    <xf numFmtId="0" fontId="4" fillId="8" borderId="4" xfId="0" applyFont="1" applyFill="1" applyBorder="1">
      <alignment vertical="center"/>
    </xf>
    <xf numFmtId="0" fontId="4" fillId="8" borderId="1" xfId="0" applyFont="1" applyFill="1" applyBorder="1" applyAlignment="1">
      <alignment horizontal="left" vertical="center"/>
    </xf>
    <xf numFmtId="0" fontId="4" fillId="8" borderId="7" xfId="0" applyFont="1" applyFill="1" applyBorder="1">
      <alignment vertical="center"/>
    </xf>
    <xf numFmtId="0" fontId="4" fillId="8" borderId="8" xfId="0" applyFont="1" applyFill="1" applyBorder="1">
      <alignment vertical="center"/>
    </xf>
    <xf numFmtId="0" fontId="4" fillId="8" borderId="9" xfId="0" applyFont="1" applyFill="1" applyBorder="1">
      <alignment vertical="center"/>
    </xf>
    <xf numFmtId="0" fontId="4" fillId="8" borderId="0" xfId="0" quotePrefix="1" applyFont="1" applyFill="1">
      <alignment vertical="center"/>
    </xf>
    <xf numFmtId="0" fontId="4" fillId="8" borderId="10" xfId="0" applyFont="1" applyFill="1" applyBorder="1">
      <alignment vertical="center"/>
    </xf>
    <xf numFmtId="0" fontId="4" fillId="8" borderId="11" xfId="0" applyFont="1" applyFill="1" applyBorder="1">
      <alignment vertical="center"/>
    </xf>
    <xf numFmtId="0" fontId="4" fillId="8" borderId="12" xfId="0" applyFont="1" applyFill="1" applyBorder="1">
      <alignment vertical="center"/>
    </xf>
    <xf numFmtId="0" fontId="21" fillId="8" borderId="0" xfId="0" applyFont="1" applyFill="1">
      <alignment vertical="center"/>
    </xf>
    <xf numFmtId="0" fontId="4" fillId="13" borderId="0" xfId="0" applyFont="1" applyFill="1">
      <alignment vertical="center"/>
    </xf>
    <xf numFmtId="0" fontId="13" fillId="13" borderId="0" xfId="0" applyFont="1" applyFill="1">
      <alignment vertical="center"/>
    </xf>
    <xf numFmtId="0" fontId="22" fillId="0" borderId="0" xfId="0" applyFont="1">
      <alignment vertical="center"/>
    </xf>
    <xf numFmtId="0" fontId="4" fillId="13" borderId="4" xfId="0" applyFont="1" applyFill="1" applyBorder="1" applyAlignment="1">
      <alignment horizontal="left" vertical="center"/>
    </xf>
    <xf numFmtId="0" fontId="4" fillId="13" borderId="5" xfId="0" applyFont="1" applyFill="1" applyBorder="1">
      <alignment vertical="center"/>
    </xf>
    <xf numFmtId="0" fontId="4" fillId="13" borderId="4" xfId="0" applyFont="1" applyFill="1" applyBorder="1">
      <alignment vertical="center"/>
    </xf>
    <xf numFmtId="0" fontId="4" fillId="13" borderId="6" xfId="0" applyFont="1" applyFill="1" applyBorder="1">
      <alignment vertical="center"/>
    </xf>
    <xf numFmtId="0" fontId="13" fillId="0" borderId="0" xfId="0" applyFont="1" applyAlignment="1">
      <alignment horizontal="center" vertical="center"/>
    </xf>
    <xf numFmtId="0" fontId="4" fillId="13" borderId="4" xfId="0" applyFont="1" applyFill="1" applyBorder="1" applyAlignment="1">
      <alignment horizontal="center" vertical="center"/>
    </xf>
    <xf numFmtId="0" fontId="4" fillId="13" borderId="5" xfId="0" applyFont="1" applyFill="1" applyBorder="1" applyAlignment="1">
      <alignment horizontal="left" vertical="center"/>
    </xf>
    <xf numFmtId="0" fontId="17" fillId="8" borderId="0" xfId="0" applyFont="1" applyFill="1">
      <alignment vertical="center"/>
    </xf>
    <xf numFmtId="0" fontId="4" fillId="8" borderId="0" xfId="0" applyFont="1" applyFill="1" applyAlignment="1">
      <alignment horizontal="left" vertical="center"/>
    </xf>
    <xf numFmtId="0" fontId="4" fillId="8" borderId="0" xfId="0" quotePrefix="1" applyFont="1" applyFill="1" applyAlignment="1">
      <alignment horizontal="left" vertical="center"/>
    </xf>
    <xf numFmtId="0" fontId="15" fillId="8" borderId="0" xfId="0" applyFont="1" applyFill="1" applyAlignment="1">
      <alignment horizontal="left" vertical="center"/>
    </xf>
    <xf numFmtId="0" fontId="4" fillId="8" borderId="0" xfId="0" quotePrefix="1" applyFont="1" applyFill="1" applyAlignment="1">
      <alignment horizontal="left" vertical="center" wrapText="1"/>
    </xf>
    <xf numFmtId="0" fontId="4" fillId="8" borderId="5" xfId="0" applyFont="1" applyFill="1" applyBorder="1" applyAlignment="1">
      <alignment horizontal="left" vertical="center"/>
    </xf>
    <xf numFmtId="0" fontId="24" fillId="0" borderId="0" xfId="1" applyFont="1"/>
    <xf numFmtId="0" fontId="23" fillId="0" borderId="0" xfId="1"/>
    <xf numFmtId="0" fontId="25" fillId="9" borderId="0" xfId="0" applyFont="1" applyFill="1">
      <alignment vertical="center"/>
    </xf>
    <xf numFmtId="0" fontId="25" fillId="9" borderId="4" xfId="0" applyFont="1" applyFill="1" applyBorder="1">
      <alignment vertical="center"/>
    </xf>
    <xf numFmtId="0" fontId="25" fillId="9" borderId="5" xfId="0" applyFont="1" applyFill="1" applyBorder="1">
      <alignment vertical="center"/>
    </xf>
    <xf numFmtId="0" fontId="25" fillId="9" borderId="6" xfId="0" applyFont="1" applyFill="1" applyBorder="1">
      <alignment vertical="center"/>
    </xf>
    <xf numFmtId="14" fontId="13" fillId="0" borderId="0" xfId="0" applyNumberFormat="1" applyFont="1">
      <alignment vertical="center"/>
    </xf>
    <xf numFmtId="0" fontId="13" fillId="8" borderId="5" xfId="0" applyFont="1" applyFill="1" applyBorder="1">
      <alignment vertical="center"/>
    </xf>
    <xf numFmtId="14" fontId="13" fillId="9" borderId="0" xfId="0" applyNumberFormat="1" applyFont="1" applyFill="1">
      <alignment vertical="center"/>
    </xf>
    <xf numFmtId="0" fontId="13" fillId="8" borderId="0" xfId="0" quotePrefix="1" applyFont="1" applyFill="1" applyAlignment="1">
      <alignment horizontal="left" vertical="center"/>
    </xf>
    <xf numFmtId="0" fontId="13" fillId="8" borderId="0" xfId="0" applyFont="1" applyFill="1" applyAlignment="1">
      <alignment horizontal="left" vertical="center"/>
    </xf>
    <xf numFmtId="0" fontId="4" fillId="8" borderId="4" xfId="0" applyFont="1" applyFill="1" applyBorder="1" applyAlignment="1">
      <alignment horizontal="left" vertical="center"/>
    </xf>
    <xf numFmtId="0" fontId="16" fillId="8" borderId="5" xfId="0" applyFont="1" applyFill="1" applyBorder="1" applyAlignment="1">
      <alignment horizontal="left" vertical="center"/>
    </xf>
    <xf numFmtId="0" fontId="4" fillId="8" borderId="5" xfId="0" applyFont="1" applyFill="1" applyBorder="1" applyAlignment="1">
      <alignment vertical="center" wrapText="1"/>
    </xf>
    <xf numFmtId="0" fontId="4" fillId="8" borderId="6" xfId="0" applyFont="1" applyFill="1" applyBorder="1" applyAlignment="1">
      <alignment vertical="center" wrapText="1"/>
    </xf>
    <xf numFmtId="0" fontId="4" fillId="8" borderId="11" xfId="0" applyFont="1" applyFill="1" applyBorder="1" applyAlignment="1">
      <alignment horizontal="center" vertical="center"/>
    </xf>
    <xf numFmtId="0" fontId="25" fillId="8" borderId="0" xfId="0" applyFont="1" applyFill="1">
      <alignment vertical="center"/>
    </xf>
    <xf numFmtId="0" fontId="14" fillId="8" borderId="0" xfId="0" applyFont="1" applyFill="1">
      <alignment vertical="center"/>
    </xf>
    <xf numFmtId="0" fontId="25" fillId="8" borderId="0" xfId="0" applyFont="1" applyFill="1" applyAlignment="1">
      <alignment horizontal="left" vertical="center"/>
    </xf>
    <xf numFmtId="0" fontId="13" fillId="8" borderId="4" xfId="0" applyFont="1" applyFill="1" applyBorder="1">
      <alignment vertical="center"/>
    </xf>
    <xf numFmtId="0" fontId="4" fillId="8" borderId="0" xfId="0" applyFont="1" applyFill="1" applyAlignment="1">
      <alignment horizontal="left" vertical="center" wrapText="1"/>
    </xf>
    <xf numFmtId="0" fontId="13" fillId="8" borderId="0" xfId="0" applyFont="1" applyFill="1" applyAlignment="1">
      <alignment horizontal="left" vertical="center" wrapText="1"/>
    </xf>
    <xf numFmtId="0" fontId="4" fillId="8" borderId="3" xfId="0" applyFont="1" applyFill="1" applyBorder="1" applyAlignment="1">
      <alignment vertical="center" wrapText="1"/>
    </xf>
    <xf numFmtId="0" fontId="18" fillId="8" borderId="5" xfId="0" applyFont="1" applyFill="1" applyBorder="1" applyAlignment="1">
      <alignment horizontal="left" vertical="center"/>
    </xf>
    <xf numFmtId="0" fontId="16" fillId="8" borderId="5" xfId="0" applyFont="1" applyFill="1" applyBorder="1">
      <alignment vertical="center"/>
    </xf>
    <xf numFmtId="0" fontId="25" fillId="8" borderId="3" xfId="0" applyFont="1" applyFill="1" applyBorder="1">
      <alignment vertical="center"/>
    </xf>
    <xf numFmtId="0" fontId="4" fillId="8" borderId="4" xfId="0" quotePrefix="1" applyFont="1" applyFill="1" applyBorder="1">
      <alignment vertical="center"/>
    </xf>
    <xf numFmtId="0" fontId="26" fillId="6" borderId="0" xfId="0" applyFont="1" applyFill="1">
      <alignment vertical="center"/>
    </xf>
    <xf numFmtId="0" fontId="27" fillId="6" borderId="0" xfId="0" applyFont="1" applyFill="1" applyAlignment="1">
      <alignment horizontal="center" vertical="center"/>
    </xf>
    <xf numFmtId="0" fontId="27" fillId="6" borderId="0" xfId="0" applyFont="1" applyFill="1">
      <alignment vertical="center"/>
    </xf>
    <xf numFmtId="0" fontId="27" fillId="0" borderId="0" xfId="0" applyFont="1">
      <alignment vertical="center"/>
    </xf>
    <xf numFmtId="0" fontId="28" fillId="14" borderId="15" xfId="0" applyFont="1" applyFill="1" applyBorder="1" applyAlignment="1">
      <alignment horizontal="center" vertical="center"/>
    </xf>
    <xf numFmtId="0" fontId="28" fillId="14" borderId="15" xfId="0" applyFont="1" applyFill="1" applyBorder="1" applyAlignment="1">
      <alignment horizontal="center" vertical="center" wrapText="1"/>
    </xf>
    <xf numFmtId="0" fontId="27" fillId="0" borderId="15" xfId="0" applyFont="1" applyBorder="1">
      <alignment vertical="center"/>
    </xf>
    <xf numFmtId="0" fontId="27" fillId="0" borderId="15" xfId="0" quotePrefix="1" applyFont="1" applyBorder="1" applyAlignment="1">
      <alignment horizontal="center" vertical="center"/>
    </xf>
    <xf numFmtId="0" fontId="27" fillId="0" borderId="15"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lignment vertical="center"/>
    </xf>
    <xf numFmtId="0" fontId="27" fillId="0" borderId="17" xfId="0" applyFont="1" applyBorder="1" applyAlignment="1">
      <alignment horizontal="center" vertical="center"/>
    </xf>
    <xf numFmtId="14" fontId="27" fillId="0" borderId="18" xfId="0" applyNumberFormat="1" applyFont="1" applyBorder="1" applyAlignment="1">
      <alignment horizontal="center" vertical="center"/>
    </xf>
    <xf numFmtId="14" fontId="27" fillId="0" borderId="19" xfId="0" applyNumberFormat="1" applyFont="1" applyBorder="1" applyAlignment="1">
      <alignment horizontal="center" vertical="center"/>
    </xf>
    <xf numFmtId="14" fontId="27" fillId="0" borderId="1" xfId="0" applyNumberFormat="1" applyFont="1" applyBorder="1" applyAlignment="1">
      <alignment horizontal="center" vertical="center"/>
    </xf>
    <xf numFmtId="0" fontId="27" fillId="0" borderId="19" xfId="0" applyFont="1" applyBorder="1" applyAlignment="1">
      <alignment horizontal="left" vertical="center" wrapText="1"/>
    </xf>
    <xf numFmtId="0" fontId="27" fillId="0" borderId="15" xfId="0" applyFont="1" applyBorder="1" applyAlignment="1">
      <alignment horizontal="left" vertical="center"/>
    </xf>
    <xf numFmtId="0" fontId="27" fillId="0" borderId="16" xfId="0" applyFont="1" applyBorder="1" applyAlignment="1">
      <alignment horizontal="left" vertical="center"/>
    </xf>
    <xf numFmtId="0" fontId="27" fillId="0" borderId="1" xfId="0" applyFont="1" applyBorder="1" applyAlignment="1">
      <alignment horizontal="left" vertical="center"/>
    </xf>
    <xf numFmtId="0" fontId="27" fillId="0" borderId="1" xfId="0" applyFont="1" applyBorder="1" applyAlignment="1">
      <alignment horizontal="left" vertical="center" wrapText="1"/>
    </xf>
    <xf numFmtId="0" fontId="27" fillId="0" borderId="16" xfId="0" applyFont="1" applyBorder="1" applyAlignment="1">
      <alignment vertical="center" wrapText="1"/>
    </xf>
    <xf numFmtId="0" fontId="13" fillId="0" borderId="2" xfId="0" applyFont="1" applyBorder="1">
      <alignment vertical="center"/>
    </xf>
    <xf numFmtId="0" fontId="13" fillId="0" borderId="11" xfId="0" applyFont="1" applyBorder="1">
      <alignment vertical="center"/>
    </xf>
    <xf numFmtId="0" fontId="13" fillId="0" borderId="3" xfId="0" applyFont="1" applyBorder="1">
      <alignment vertical="center"/>
    </xf>
    <xf numFmtId="0" fontId="13" fillId="8" borderId="2" xfId="0" applyFont="1" applyFill="1" applyBorder="1">
      <alignment vertical="center"/>
    </xf>
    <xf numFmtId="0" fontId="13" fillId="8" borderId="1" xfId="0" applyFont="1" applyFill="1" applyBorder="1" applyAlignment="1">
      <alignment horizontal="center" vertical="center"/>
    </xf>
    <xf numFmtId="0" fontId="13" fillId="8" borderId="6" xfId="0" applyFont="1" applyFill="1" applyBorder="1">
      <alignment vertical="center"/>
    </xf>
    <xf numFmtId="0" fontId="13" fillId="8" borderId="3" xfId="0" applyFont="1" applyFill="1" applyBorder="1">
      <alignment vertical="center"/>
    </xf>
    <xf numFmtId="0" fontId="13" fillId="8" borderId="4" xfId="0" applyFont="1" applyFill="1" applyBorder="1" applyAlignment="1">
      <alignment horizontal="left" vertical="center"/>
    </xf>
    <xf numFmtId="0" fontId="29" fillId="8" borderId="0" xfId="0" applyFont="1" applyFill="1" applyAlignment="1">
      <alignment horizontal="left" vertical="center"/>
    </xf>
    <xf numFmtId="0" fontId="30" fillId="8" borderId="0" xfId="0" applyFont="1" applyFill="1" applyAlignment="1">
      <alignment horizontal="left" vertical="center"/>
    </xf>
    <xf numFmtId="0" fontId="30" fillId="13" borderId="0" xfId="0" applyFont="1" applyFill="1">
      <alignment vertical="center"/>
    </xf>
    <xf numFmtId="0" fontId="30" fillId="0" borderId="0" xfId="0" applyFont="1">
      <alignment vertical="center"/>
    </xf>
    <xf numFmtId="14" fontId="27" fillId="0" borderId="15" xfId="0" applyNumberFormat="1" applyFont="1" applyBorder="1" applyAlignment="1">
      <alignment horizontal="center" vertical="center"/>
    </xf>
    <xf numFmtId="49" fontId="27" fillId="0" borderId="15" xfId="0" applyNumberFormat="1" applyFont="1" applyBorder="1" applyAlignment="1">
      <alignment vertical="center" wrapText="1"/>
    </xf>
    <xf numFmtId="14" fontId="32" fillId="0" borderId="0" xfId="1" applyNumberFormat="1" applyFont="1" applyAlignment="1">
      <alignment vertical="center"/>
    </xf>
    <xf numFmtId="0" fontId="13" fillId="8" borderId="0" xfId="0" quotePrefix="1" applyFont="1" applyFill="1">
      <alignment vertical="center"/>
    </xf>
    <xf numFmtId="0" fontId="13" fillId="8" borderId="0" xfId="0" applyFont="1" applyFill="1" applyAlignment="1">
      <alignment horizontal="center" vertical="center"/>
    </xf>
    <xf numFmtId="0" fontId="13" fillId="15" borderId="0" xfId="0" applyFont="1" applyFill="1" applyAlignment="1">
      <alignment horizontal="left" vertical="center"/>
    </xf>
    <xf numFmtId="0" fontId="33" fillId="0" borderId="5" xfId="0" applyFont="1" applyBorder="1">
      <alignment vertical="center"/>
    </xf>
    <xf numFmtId="0" fontId="25" fillId="0" borderId="5" xfId="0" applyFont="1" applyBorder="1">
      <alignment vertical="center"/>
    </xf>
    <xf numFmtId="0" fontId="25" fillId="0" borderId="6" xfId="0" applyFont="1" applyBorder="1">
      <alignment vertical="center"/>
    </xf>
    <xf numFmtId="0" fontId="25" fillId="0" borderId="4" xfId="0" applyFont="1" applyBorder="1">
      <alignment vertical="center"/>
    </xf>
    <xf numFmtId="0" fontId="34" fillId="0" borderId="0" xfId="0" applyFont="1">
      <alignment vertical="center"/>
    </xf>
    <xf numFmtId="49" fontId="4" fillId="8" borderId="4" xfId="0" quotePrefix="1" applyNumberFormat="1" applyFont="1" applyFill="1" applyBorder="1">
      <alignment vertical="center"/>
    </xf>
    <xf numFmtId="49" fontId="4" fillId="8" borderId="2" xfId="0" applyNumberFormat="1" applyFont="1" applyFill="1" applyBorder="1">
      <alignment vertical="center"/>
    </xf>
    <xf numFmtId="49" fontId="4" fillId="8" borderId="0" xfId="0" applyNumberFormat="1" applyFont="1" applyFill="1">
      <alignment vertical="center"/>
    </xf>
    <xf numFmtId="49" fontId="4" fillId="8" borderId="3" xfId="0" applyNumberFormat="1" applyFont="1" applyFill="1" applyBorder="1">
      <alignment vertical="center"/>
    </xf>
    <xf numFmtId="49" fontId="13" fillId="0" borderId="0" xfId="0" applyNumberFormat="1" applyFont="1">
      <alignment vertical="center"/>
    </xf>
    <xf numFmtId="49" fontId="4" fillId="0" borderId="0" xfId="0" applyNumberFormat="1" applyFont="1">
      <alignment vertical="center"/>
    </xf>
    <xf numFmtId="49" fontId="14" fillId="0" borderId="0" xfId="0" applyNumberFormat="1" applyFont="1">
      <alignment vertical="center"/>
    </xf>
    <xf numFmtId="49" fontId="4" fillId="8" borderId="0" xfId="0" applyNumberFormat="1" applyFont="1" applyFill="1" applyAlignment="1">
      <alignment horizontal="left" vertical="center"/>
    </xf>
    <xf numFmtId="49" fontId="4" fillId="8" borderId="0" xfId="0" quotePrefix="1" applyNumberFormat="1" applyFont="1" applyFill="1">
      <alignment vertical="center"/>
    </xf>
    <xf numFmtId="49" fontId="17" fillId="0" borderId="0" xfId="0" applyNumberFormat="1" applyFont="1">
      <alignment vertical="center"/>
    </xf>
    <xf numFmtId="49" fontId="4" fillId="8" borderId="4" xfId="0" applyNumberFormat="1" applyFont="1" applyFill="1" applyBorder="1" applyAlignment="1">
      <alignment horizontal="left" vertical="center"/>
    </xf>
    <xf numFmtId="49" fontId="4" fillId="8" borderId="5" xfId="0" applyNumberFormat="1" applyFont="1" applyFill="1" applyBorder="1">
      <alignment vertical="center"/>
    </xf>
    <xf numFmtId="49" fontId="4" fillId="8" borderId="4" xfId="0" applyNumberFormat="1" applyFont="1" applyFill="1" applyBorder="1">
      <alignment vertical="center"/>
    </xf>
    <xf numFmtId="49" fontId="4" fillId="8" borderId="6" xfId="0" applyNumberFormat="1" applyFont="1" applyFill="1" applyBorder="1">
      <alignment vertical="center"/>
    </xf>
    <xf numFmtId="49" fontId="4" fillId="0" borderId="4" xfId="0" applyNumberFormat="1" applyFont="1" applyBorder="1">
      <alignment vertical="center"/>
    </xf>
    <xf numFmtId="49" fontId="35" fillId="0" borderId="5" xfId="0" applyNumberFormat="1" applyFont="1" applyBorder="1">
      <alignment vertical="center"/>
    </xf>
    <xf numFmtId="49" fontId="13" fillId="8" borderId="2" xfId="0" applyNumberFormat="1" applyFont="1" applyFill="1" applyBorder="1">
      <alignment vertical="center"/>
    </xf>
    <xf numFmtId="49" fontId="13" fillId="8" borderId="0" xfId="0" applyNumberFormat="1" applyFont="1" applyFill="1">
      <alignment vertical="center"/>
    </xf>
    <xf numFmtId="49" fontId="13" fillId="8" borderId="5" xfId="0" applyNumberFormat="1" applyFont="1" applyFill="1" applyBorder="1">
      <alignment vertical="center"/>
    </xf>
    <xf numFmtId="49" fontId="14" fillId="8" borderId="4" xfId="0" applyNumberFormat="1" applyFont="1" applyFill="1" applyBorder="1">
      <alignment vertical="center"/>
    </xf>
    <xf numFmtId="49" fontId="13" fillId="8" borderId="6" xfId="0" applyNumberFormat="1" applyFont="1" applyFill="1" applyBorder="1">
      <alignment vertical="center"/>
    </xf>
    <xf numFmtId="49" fontId="13" fillId="8" borderId="3" xfId="0" applyNumberFormat="1" applyFont="1" applyFill="1" applyBorder="1">
      <alignment vertical="center"/>
    </xf>
    <xf numFmtId="49" fontId="4" fillId="8" borderId="0" xfId="0" applyNumberFormat="1" applyFont="1" applyFill="1" applyAlignment="1">
      <alignment horizontal="center" vertical="center"/>
    </xf>
    <xf numFmtId="49" fontId="0" fillId="0" borderId="0" xfId="0" applyNumberFormat="1">
      <alignment vertical="center"/>
    </xf>
    <xf numFmtId="49" fontId="22" fillId="0" borderId="0" xfId="0" applyNumberFormat="1" applyFont="1">
      <alignment vertical="center"/>
    </xf>
    <xf numFmtId="0" fontId="27" fillId="0" borderId="15" xfId="0" applyFont="1" applyBorder="1" applyAlignment="1">
      <alignment vertical="center" wrapText="1"/>
    </xf>
    <xf numFmtId="0" fontId="13" fillId="0" borderId="0" xfId="0" quotePrefix="1" applyFont="1">
      <alignment vertical="center"/>
    </xf>
    <xf numFmtId="0" fontId="4" fillId="11" borderId="2" xfId="0" applyFont="1" applyFill="1" applyBorder="1">
      <alignment vertical="center"/>
    </xf>
    <xf numFmtId="0" fontId="13" fillId="11" borderId="0" xfId="0" applyFont="1" applyFill="1" applyAlignment="1">
      <alignment horizontal="left" vertical="center"/>
    </xf>
    <xf numFmtId="0" fontId="25" fillId="11" borderId="0" xfId="0" applyFont="1" applyFill="1">
      <alignment vertical="center"/>
    </xf>
    <xf numFmtId="0" fontId="25" fillId="11" borderId="0" xfId="0" applyFont="1" applyFill="1" applyAlignment="1">
      <alignment horizontal="left" vertical="center"/>
    </xf>
    <xf numFmtId="0" fontId="4" fillId="11" borderId="3" xfId="0" applyFont="1" applyFill="1" applyBorder="1">
      <alignment vertical="center"/>
    </xf>
    <xf numFmtId="0" fontId="19" fillId="11" borderId="0" xfId="0" applyFont="1" applyFill="1">
      <alignment vertical="center"/>
    </xf>
    <xf numFmtId="0" fontId="25" fillId="11" borderId="0" xfId="0" quotePrefix="1" applyFont="1" applyFill="1" applyAlignment="1">
      <alignment horizontal="left" vertical="center"/>
    </xf>
    <xf numFmtId="0" fontId="36" fillId="11" borderId="0" xfId="0" applyFont="1" applyFill="1">
      <alignment vertical="center"/>
    </xf>
    <xf numFmtId="0" fontId="25" fillId="11" borderId="1" xfId="0" applyFont="1" applyFill="1" applyBorder="1" applyAlignment="1">
      <alignment horizontal="center" vertical="center"/>
    </xf>
    <xf numFmtId="0" fontId="25" fillId="11" borderId="4" xfId="0" applyFont="1" applyFill="1" applyBorder="1" applyAlignment="1">
      <alignment horizontal="left" vertical="center"/>
    </xf>
    <xf numFmtId="0" fontId="25" fillId="11" borderId="5" xfId="0" applyFont="1" applyFill="1" applyBorder="1">
      <alignment vertical="center"/>
    </xf>
    <xf numFmtId="0" fontId="25" fillId="11" borderId="4" xfId="0" applyFont="1" applyFill="1" applyBorder="1">
      <alignment vertical="center"/>
    </xf>
    <xf numFmtId="0" fontId="25" fillId="11" borderId="6" xfId="0" applyFont="1" applyFill="1" applyBorder="1">
      <alignment vertical="center"/>
    </xf>
    <xf numFmtId="0" fontId="19" fillId="11" borderId="2" xfId="0" applyFont="1" applyFill="1" applyBorder="1">
      <alignment vertical="center"/>
    </xf>
    <xf numFmtId="0" fontId="19" fillId="11" borderId="0" xfId="0" applyFont="1" applyFill="1" applyAlignment="1">
      <alignment horizontal="center" vertical="center"/>
    </xf>
    <xf numFmtId="0" fontId="19" fillId="11" borderId="3" xfId="0" applyFont="1" applyFill="1" applyBorder="1">
      <alignment vertical="center"/>
    </xf>
    <xf numFmtId="0" fontId="25" fillId="11" borderId="2" xfId="0" applyFont="1" applyFill="1" applyBorder="1">
      <alignment vertical="center"/>
    </xf>
    <xf numFmtId="0" fontId="25" fillId="11" borderId="0" xfId="0" applyFont="1" applyFill="1" applyAlignment="1">
      <alignment horizontal="center" vertical="center"/>
    </xf>
    <xf numFmtId="0" fontId="25" fillId="11" borderId="3" xfId="0" applyFont="1" applyFill="1" applyBorder="1">
      <alignment vertical="center"/>
    </xf>
    <xf numFmtId="0" fontId="19" fillId="0" borderId="0" xfId="0" quotePrefix="1" applyFont="1" applyAlignment="1">
      <alignment horizontal="left" vertical="center"/>
    </xf>
    <xf numFmtId="0" fontId="19" fillId="0" borderId="0" xfId="0" applyFont="1" applyAlignment="1">
      <alignment horizontal="center" vertical="center"/>
    </xf>
    <xf numFmtId="0" fontId="19" fillId="0" borderId="4" xfId="0" applyFont="1" applyBorder="1">
      <alignment vertical="center"/>
    </xf>
    <xf numFmtId="0" fontId="19" fillId="0" borderId="5" xfId="0" applyFont="1" applyBorder="1">
      <alignment vertical="center"/>
    </xf>
    <xf numFmtId="0" fontId="19" fillId="0" borderId="6" xfId="0" applyFont="1" applyBorder="1">
      <alignment vertical="center"/>
    </xf>
    <xf numFmtId="0" fontId="19" fillId="0" borderId="4" xfId="0" applyFont="1" applyBorder="1" applyAlignment="1">
      <alignment horizontal="center" vertical="center"/>
    </xf>
    <xf numFmtId="0" fontId="25" fillId="0" borderId="4" xfId="0" applyFont="1" applyBorder="1" applyAlignment="1">
      <alignment horizontal="center" vertical="center"/>
    </xf>
    <xf numFmtId="0" fontId="37" fillId="0" borderId="5" xfId="0" applyFont="1" applyBorder="1">
      <alignment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center" vertical="center" shrinkToFit="1"/>
    </xf>
    <xf numFmtId="0" fontId="1" fillId="0" borderId="1" xfId="0" applyFont="1" applyBorder="1" applyAlignment="1">
      <alignment horizontal="center" vertical="center" shrinkToFit="1"/>
    </xf>
    <xf numFmtId="14" fontId="0" fillId="0" borderId="1" xfId="0" applyNumberFormat="1" applyBorder="1" applyAlignment="1">
      <alignment horizontal="center" vertical="center" shrinkToFi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1" xfId="0" applyFill="1"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5" fillId="0" borderId="1" xfId="0" applyFont="1" applyBorder="1" applyAlignment="1">
      <alignment horizontal="left" vertical="center"/>
    </xf>
    <xf numFmtId="0" fontId="1" fillId="0" borderId="1" xfId="0" applyFont="1" applyBorder="1" applyAlignment="1">
      <alignment horizontal="left" vertical="center"/>
    </xf>
    <xf numFmtId="0" fontId="4" fillId="3" borderId="1"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8" borderId="1" xfId="0" applyFont="1" applyFill="1" applyBorder="1" applyAlignment="1">
      <alignment horizontal="left" vertical="center"/>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4" fillId="10" borderId="1" xfId="0" applyFont="1" applyFill="1" applyBorder="1" applyAlignment="1">
      <alignment horizontal="center" vertical="center" shrinkToFit="1"/>
    </xf>
    <xf numFmtId="14" fontId="4" fillId="8" borderId="4" xfId="0" applyNumberFormat="1" applyFont="1" applyFill="1" applyBorder="1" applyAlignment="1">
      <alignment horizontal="center" vertical="center" shrinkToFit="1"/>
    </xf>
    <xf numFmtId="14" fontId="4" fillId="8" borderId="5" xfId="0" applyNumberFormat="1" applyFont="1" applyFill="1" applyBorder="1" applyAlignment="1">
      <alignment horizontal="center" vertical="center" shrinkToFit="1"/>
    </xf>
    <xf numFmtId="14" fontId="4" fillId="8" borderId="6" xfId="0" applyNumberFormat="1" applyFont="1" applyFill="1" applyBorder="1" applyAlignment="1">
      <alignment horizontal="center" vertical="center" shrinkToFit="1"/>
    </xf>
    <xf numFmtId="0" fontId="4" fillId="12" borderId="1" xfId="0" applyFont="1" applyFill="1" applyBorder="1" applyAlignment="1">
      <alignment horizontal="center" vertical="center"/>
    </xf>
    <xf numFmtId="0" fontId="4" fillId="12" borderId="10" xfId="0" applyFont="1" applyFill="1" applyBorder="1" applyAlignment="1">
      <alignment horizontal="center" vertical="center"/>
    </xf>
    <xf numFmtId="0" fontId="4" fillId="12" borderId="11" xfId="0" applyFont="1" applyFill="1" applyBorder="1" applyAlignment="1">
      <alignment horizontal="center" vertical="center"/>
    </xf>
    <xf numFmtId="0" fontId="4" fillId="12" borderId="12" xfId="0" applyFont="1" applyFill="1" applyBorder="1" applyAlignment="1">
      <alignment horizontal="center" vertical="center"/>
    </xf>
    <xf numFmtId="0" fontId="4" fillId="12" borderId="2" xfId="0" applyFont="1" applyFill="1" applyBorder="1" applyAlignment="1">
      <alignment horizontal="center" vertical="center"/>
    </xf>
    <xf numFmtId="0" fontId="4" fillId="12" borderId="0" xfId="0" applyFont="1" applyFill="1" applyAlignment="1">
      <alignment horizontal="center" vertical="center"/>
    </xf>
    <xf numFmtId="0" fontId="4" fillId="12" borderId="3" xfId="0" applyFont="1" applyFill="1" applyBorder="1" applyAlignment="1">
      <alignment horizontal="center" vertical="center"/>
    </xf>
    <xf numFmtId="0" fontId="4" fillId="12" borderId="7" xfId="0" applyFont="1" applyFill="1" applyBorder="1" applyAlignment="1">
      <alignment horizontal="center" vertical="center"/>
    </xf>
    <xf numFmtId="0" fontId="4" fillId="12" borderId="8" xfId="0" applyFont="1" applyFill="1" applyBorder="1" applyAlignment="1">
      <alignment horizontal="center" vertical="center"/>
    </xf>
    <xf numFmtId="0" fontId="4" fillId="12"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2" fillId="10" borderId="1" xfId="0" applyFont="1" applyFill="1" applyBorder="1" applyAlignment="1">
      <alignment horizontal="center" vertical="center"/>
    </xf>
    <xf numFmtId="0" fontId="2" fillId="8" borderId="1" xfId="0" applyFont="1" applyFill="1" applyBorder="1" applyAlignment="1">
      <alignment horizontal="center" vertical="center"/>
    </xf>
    <xf numFmtId="0" fontId="4" fillId="8" borderId="1" xfId="0" applyFont="1" applyFill="1" applyBorder="1" applyAlignment="1">
      <alignment horizontal="center" vertical="center" shrinkToFit="1"/>
    </xf>
    <xf numFmtId="14" fontId="4" fillId="8" borderId="1" xfId="0" applyNumberFormat="1" applyFont="1" applyFill="1" applyBorder="1" applyAlignment="1">
      <alignment horizontal="center" vertical="center" shrinkToFit="1"/>
    </xf>
    <xf numFmtId="0" fontId="4" fillId="10" borderId="4" xfId="0" applyFont="1" applyFill="1" applyBorder="1" applyAlignment="1">
      <alignment horizontal="center" vertical="center"/>
    </xf>
    <xf numFmtId="0" fontId="4" fillId="10" borderId="5" xfId="0" applyFont="1" applyFill="1" applyBorder="1" applyAlignment="1">
      <alignment horizontal="center" vertical="center"/>
    </xf>
    <xf numFmtId="0" fontId="4" fillId="10" borderId="6" xfId="0" applyFont="1" applyFill="1" applyBorder="1" applyAlignment="1">
      <alignment horizontal="center" vertical="center"/>
    </xf>
    <xf numFmtId="0" fontId="4" fillId="10" borderId="1"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6" xfId="0" applyFont="1" applyFill="1" applyBorder="1" applyAlignment="1">
      <alignment horizontal="center" vertical="center"/>
    </xf>
    <xf numFmtId="0" fontId="4" fillId="12" borderId="4" xfId="0" applyFont="1" applyFill="1" applyBorder="1" applyAlignment="1">
      <alignment horizontal="center" vertical="center"/>
    </xf>
    <xf numFmtId="0" fontId="4" fillId="8" borderId="14" xfId="0" applyFont="1" applyFill="1" applyBorder="1" applyAlignment="1">
      <alignment horizontal="left" vertical="center" wrapText="1"/>
    </xf>
    <xf numFmtId="0" fontId="4" fillId="8" borderId="14" xfId="0" applyFont="1" applyFill="1" applyBorder="1" applyAlignment="1">
      <alignment horizontal="left" vertical="center"/>
    </xf>
    <xf numFmtId="0" fontId="13" fillId="3" borderId="4" xfId="0" applyFont="1" applyFill="1" applyBorder="1" applyAlignment="1">
      <alignment horizontal="center" vertical="center"/>
    </xf>
    <xf numFmtId="0" fontId="13" fillId="3" borderId="5"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13" fillId="8" borderId="1" xfId="0" applyFont="1" applyFill="1" applyBorder="1" applyAlignment="1">
      <alignment horizontal="center" vertical="center"/>
    </xf>
    <xf numFmtId="0" fontId="13" fillId="3" borderId="1" xfId="0" applyFont="1" applyFill="1" applyBorder="1" applyAlignment="1">
      <alignment horizontal="center" vertical="center"/>
    </xf>
    <xf numFmtId="0" fontId="13" fillId="8" borderId="1" xfId="0" applyFont="1" applyFill="1" applyBorder="1" applyAlignment="1">
      <alignment horizontal="left" vertical="center"/>
    </xf>
    <xf numFmtId="0" fontId="4" fillId="5" borderId="1" xfId="0" applyFont="1" applyFill="1" applyBorder="1" applyAlignment="1">
      <alignment horizontal="center" vertical="center"/>
    </xf>
    <xf numFmtId="0" fontId="4" fillId="8" borderId="4" xfId="0" applyFont="1" applyFill="1" applyBorder="1" applyAlignment="1">
      <alignment horizontal="left" vertical="center" wrapText="1"/>
    </xf>
    <xf numFmtId="0" fontId="4" fillId="8" borderId="5" xfId="0" applyFont="1" applyFill="1" applyBorder="1" applyAlignment="1">
      <alignment horizontal="left" vertical="center"/>
    </xf>
    <xf numFmtId="0" fontId="4" fillId="8" borderId="6" xfId="0" applyFont="1" applyFill="1" applyBorder="1" applyAlignment="1">
      <alignment horizontal="left" vertical="center"/>
    </xf>
    <xf numFmtId="0" fontId="4" fillId="5" borderId="10" xfId="0" applyFont="1" applyFill="1" applyBorder="1" applyAlignment="1">
      <alignment horizontal="center" vertical="center"/>
    </xf>
    <xf numFmtId="0" fontId="4" fillId="5" borderId="11"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0" xfId="0" applyFont="1" applyFill="1" applyAlignment="1">
      <alignment horizontal="center" vertical="center"/>
    </xf>
    <xf numFmtId="0" fontId="4" fillId="5"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9" xfId="0" applyFont="1" applyFill="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9"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4" borderId="1" xfId="0" applyFont="1" applyFill="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19" fillId="0" borderId="1"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25" fillId="5" borderId="1" xfId="0" applyFont="1" applyFill="1" applyBorder="1" applyAlignment="1">
      <alignment horizontal="center" vertical="center"/>
    </xf>
    <xf numFmtId="0" fontId="25" fillId="0" borderId="1" xfId="0" applyFont="1" applyBorder="1" applyAlignment="1">
      <alignment horizontal="left" vertical="center" wrapText="1"/>
    </xf>
    <xf numFmtId="0" fontId="25" fillId="0" borderId="1" xfId="0" applyFont="1" applyBorder="1" applyAlignment="1">
      <alignment horizontal="left" vertical="center"/>
    </xf>
    <xf numFmtId="49" fontId="25" fillId="0" borderId="1" xfId="0" applyNumberFormat="1" applyFont="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1" xfId="0" applyFont="1" applyFill="1" applyBorder="1" applyAlignment="1">
      <alignment horizontal="center" vertical="center"/>
    </xf>
    <xf numFmtId="0" fontId="4" fillId="0" borderId="1" xfId="0" applyFont="1" applyBorder="1" applyAlignment="1">
      <alignment horizontal="center" vertical="center" shrinkToFit="1"/>
    </xf>
    <xf numFmtId="14" fontId="4" fillId="0" borderId="1" xfId="0" applyNumberFormat="1" applyFont="1" applyBorder="1" applyAlignment="1">
      <alignment horizontal="center" vertical="center" shrinkToFit="1"/>
    </xf>
    <xf numFmtId="56" fontId="4" fillId="0" borderId="1" xfId="0" quotePrefix="1" applyNumberFormat="1" applyFont="1" applyBorder="1" applyAlignment="1">
      <alignment horizontal="center" vertical="center" shrinkToFit="1"/>
    </xf>
    <xf numFmtId="0" fontId="4" fillId="0" borderId="4"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19" fillId="4" borderId="1" xfId="0" applyFont="1" applyFill="1" applyBorder="1" applyAlignment="1">
      <alignment horizontal="center" vertical="center"/>
    </xf>
    <xf numFmtId="0" fontId="13" fillId="0" borderId="1" xfId="0" applyFont="1" applyBorder="1" applyAlignment="1">
      <alignment horizontal="center" vertical="center"/>
    </xf>
    <xf numFmtId="0" fontId="4" fillId="9" borderId="5" xfId="0" applyFont="1" applyFill="1" applyBorder="1" applyAlignment="1">
      <alignment horizontal="left" vertical="center" wrapText="1"/>
    </xf>
    <xf numFmtId="0" fontId="4" fillId="9" borderId="6" xfId="0" applyFont="1" applyFill="1" applyBorder="1" applyAlignment="1">
      <alignment horizontal="left" vertical="center" wrapText="1"/>
    </xf>
    <xf numFmtId="0" fontId="19" fillId="4" borderId="4" xfId="0" applyFont="1" applyFill="1" applyBorder="1" applyAlignment="1">
      <alignment horizontal="center" vertical="center"/>
    </xf>
    <xf numFmtId="0" fontId="19" fillId="4" borderId="5" xfId="0" applyFont="1" applyFill="1" applyBorder="1" applyAlignment="1">
      <alignment horizontal="center" vertical="center"/>
    </xf>
    <xf numFmtId="0" fontId="19" fillId="4" borderId="6" xfId="0" applyFont="1" applyFill="1" applyBorder="1" applyAlignment="1">
      <alignment horizontal="center" vertical="center"/>
    </xf>
    <xf numFmtId="0" fontId="25" fillId="0" borderId="1" xfId="0" applyFont="1" applyBorder="1" applyAlignment="1">
      <alignment horizontal="center" vertical="center"/>
    </xf>
    <xf numFmtId="0" fontId="19" fillId="0" borderId="1" xfId="0" applyFont="1" applyBorder="1" applyAlignment="1">
      <alignment horizontal="left" vertical="center"/>
    </xf>
    <xf numFmtId="0" fontId="25" fillId="5" borderId="4" xfId="0" applyFont="1" applyFill="1" applyBorder="1" applyAlignment="1">
      <alignment horizontal="center" vertical="center"/>
    </xf>
    <xf numFmtId="0" fontId="25" fillId="5" borderId="5" xfId="0" applyFont="1" applyFill="1" applyBorder="1" applyAlignment="1">
      <alignment horizontal="center" vertical="center"/>
    </xf>
    <xf numFmtId="0" fontId="25" fillId="5" borderId="6" xfId="0" applyFont="1" applyFill="1" applyBorder="1" applyAlignment="1">
      <alignment horizontal="center" vertical="center"/>
    </xf>
    <xf numFmtId="0" fontId="4" fillId="8" borderId="5" xfId="0" applyFont="1" applyFill="1" applyBorder="1" applyAlignment="1">
      <alignment horizontal="left" vertical="center" wrapText="1"/>
    </xf>
    <xf numFmtId="0" fontId="4" fillId="8" borderId="6" xfId="0" applyFont="1" applyFill="1" applyBorder="1" applyAlignment="1">
      <alignment horizontal="left" vertical="center" wrapText="1"/>
    </xf>
    <xf numFmtId="0" fontId="13" fillId="8" borderId="0" xfId="0" applyFont="1" applyFill="1" applyAlignment="1">
      <alignment horizontal="left" vertical="center" wrapText="1"/>
    </xf>
    <xf numFmtId="0" fontId="4" fillId="4" borderId="10"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12" xfId="0" applyFont="1" applyFill="1" applyBorder="1" applyAlignment="1">
      <alignment horizontal="center" vertical="center"/>
    </xf>
    <xf numFmtId="0" fontId="4" fillId="8" borderId="5" xfId="0" applyFont="1" applyFill="1" applyBorder="1" applyAlignment="1">
      <alignment horizontal="center" vertical="center"/>
    </xf>
    <xf numFmtId="0" fontId="4" fillId="8" borderId="0" xfId="0" quotePrefix="1" applyFont="1" applyFill="1" applyAlignment="1">
      <alignment horizontal="left" vertical="center" wrapText="1"/>
    </xf>
    <xf numFmtId="0" fontId="25" fillId="8" borderId="0" xfId="0" applyFont="1" applyFill="1" applyAlignment="1">
      <alignment horizontal="left" vertical="center" wrapText="1"/>
    </xf>
    <xf numFmtId="0" fontId="4" fillId="13" borderId="4" xfId="0" applyFont="1" applyFill="1" applyBorder="1" applyAlignment="1">
      <alignment horizontal="center" vertical="center"/>
    </xf>
    <xf numFmtId="0" fontId="4" fillId="13" borderId="6" xfId="0" applyFont="1" applyFill="1" applyBorder="1" applyAlignment="1">
      <alignment horizontal="center" vertical="center"/>
    </xf>
    <xf numFmtId="0" fontId="4" fillId="10" borderId="10" xfId="0" applyFont="1" applyFill="1" applyBorder="1" applyAlignment="1">
      <alignment horizontal="center" vertical="center"/>
    </xf>
    <xf numFmtId="0" fontId="4" fillId="10" borderId="11" xfId="0" applyFont="1" applyFill="1" applyBorder="1" applyAlignment="1">
      <alignment horizontal="center" vertical="center"/>
    </xf>
    <xf numFmtId="0" fontId="4" fillId="10" borderId="12" xfId="0" applyFont="1" applyFill="1" applyBorder="1" applyAlignment="1">
      <alignment horizontal="center" vertical="center"/>
    </xf>
    <xf numFmtId="0" fontId="25" fillId="11" borderId="1" xfId="0" applyFont="1" applyFill="1" applyBorder="1" applyAlignment="1">
      <alignment horizontal="center" vertical="center"/>
    </xf>
    <xf numFmtId="0" fontId="25" fillId="9" borderId="1" xfId="0" applyFont="1" applyFill="1" applyBorder="1" applyAlignment="1">
      <alignment horizontal="center" vertical="center"/>
    </xf>
    <xf numFmtId="0" fontId="25" fillId="11" borderId="4" xfId="0" applyFont="1" applyFill="1" applyBorder="1" applyAlignment="1">
      <alignment horizontal="left" vertical="center" wrapText="1"/>
    </xf>
    <xf numFmtId="0" fontId="25" fillId="11" borderId="5" xfId="0" applyFont="1" applyFill="1" applyBorder="1" applyAlignment="1">
      <alignment horizontal="left" vertical="center"/>
    </xf>
    <xf numFmtId="0" fontId="25" fillId="11" borderId="6" xfId="0" applyFont="1" applyFill="1" applyBorder="1" applyAlignment="1">
      <alignment horizontal="left" vertical="center"/>
    </xf>
    <xf numFmtId="0" fontId="25" fillId="11" borderId="4" xfId="0" applyFont="1" applyFill="1" applyBorder="1" applyAlignment="1">
      <alignment horizontal="center" vertical="center"/>
    </xf>
    <xf numFmtId="0" fontId="25" fillId="11" borderId="6" xfId="0" applyFont="1" applyFill="1" applyBorder="1" applyAlignment="1">
      <alignment horizontal="center" vertical="center"/>
    </xf>
    <xf numFmtId="0" fontId="13" fillId="8" borderId="4" xfId="0" applyFont="1" applyFill="1" applyBorder="1" applyAlignment="1">
      <alignment horizontal="left" vertical="center" wrapText="1"/>
    </xf>
    <xf numFmtId="0" fontId="13" fillId="8" borderId="5" xfId="0" applyFont="1" applyFill="1" applyBorder="1" applyAlignment="1">
      <alignment horizontal="left" vertical="center" wrapText="1"/>
    </xf>
    <xf numFmtId="0" fontId="13" fillId="8" borderId="6" xfId="0" applyFont="1" applyFill="1" applyBorder="1" applyAlignment="1">
      <alignment horizontal="left" vertical="center" wrapText="1"/>
    </xf>
    <xf numFmtId="0" fontId="4" fillId="7" borderId="4"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6" xfId="0" applyFont="1" applyFill="1" applyBorder="1" applyAlignment="1">
      <alignment horizontal="center" vertical="center"/>
    </xf>
    <xf numFmtId="0" fontId="4" fillId="7"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8" borderId="5" xfId="0" applyFont="1" applyFill="1" applyBorder="1" applyAlignment="1">
      <alignment horizontal="left" vertical="center"/>
    </xf>
    <xf numFmtId="0" fontId="13" fillId="8" borderId="6" xfId="0" applyFont="1" applyFill="1" applyBorder="1" applyAlignment="1">
      <alignment horizontal="left" vertical="center"/>
    </xf>
    <xf numFmtId="49" fontId="13" fillId="8" borderId="1" xfId="0" applyNumberFormat="1" applyFont="1" applyFill="1" applyBorder="1" applyAlignment="1">
      <alignment horizontal="center" vertical="center"/>
    </xf>
    <xf numFmtId="0" fontId="13" fillId="8" borderId="1" xfId="0" applyFont="1" applyFill="1" applyBorder="1" applyAlignment="1">
      <alignment horizontal="left" vertical="center" wrapText="1"/>
    </xf>
    <xf numFmtId="49" fontId="4" fillId="8" borderId="1" xfId="0" applyNumberFormat="1" applyFont="1" applyFill="1" applyBorder="1" applyAlignment="1">
      <alignment horizontal="center" vertical="center"/>
    </xf>
    <xf numFmtId="49" fontId="4" fillId="4" borderId="1" xfId="0" applyNumberFormat="1" applyFont="1" applyFill="1" applyBorder="1" applyAlignment="1">
      <alignment horizontal="center" vertical="center"/>
    </xf>
    <xf numFmtId="49" fontId="4" fillId="0" borderId="1" xfId="0" applyNumberFormat="1" applyFont="1" applyBorder="1" applyAlignment="1">
      <alignment horizontal="left" vertical="center"/>
    </xf>
    <xf numFmtId="49" fontId="4" fillId="4" borderId="4" xfId="0" applyNumberFormat="1" applyFont="1" applyFill="1" applyBorder="1" applyAlignment="1">
      <alignment horizontal="center" vertical="center"/>
    </xf>
    <xf numFmtId="49" fontId="4" fillId="4" borderId="5" xfId="0" applyNumberFormat="1" applyFont="1" applyFill="1" applyBorder="1" applyAlignment="1">
      <alignment horizontal="center" vertical="center"/>
    </xf>
    <xf numFmtId="49" fontId="4" fillId="4" borderId="6" xfId="0" applyNumberFormat="1" applyFont="1" applyFill="1" applyBorder="1" applyAlignment="1">
      <alignment horizontal="center" vertical="center"/>
    </xf>
    <xf numFmtId="49" fontId="14" fillId="8" borderId="1" xfId="0" applyNumberFormat="1" applyFont="1" applyFill="1" applyBorder="1" applyAlignment="1">
      <alignment horizontal="center"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0" xfId="0" applyFont="1" applyAlignment="1">
      <alignment horizontal="left" vertical="center" wrapText="1"/>
    </xf>
  </cellXfs>
  <cellStyles count="2">
    <cellStyle name="標準" xfId="0" builtinId="0"/>
    <cellStyle name="標準 2" xfId="1" xr:uid="{94D248CE-F29A-440D-A2CC-5EDEE5D1E2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69850</xdr:colOff>
      <xdr:row>8</xdr:row>
      <xdr:rowOff>57150</xdr:rowOff>
    </xdr:from>
    <xdr:to>
      <xdr:col>25</xdr:col>
      <xdr:colOff>203200</xdr:colOff>
      <xdr:row>8</xdr:row>
      <xdr:rowOff>946150</xdr:rowOff>
    </xdr:to>
    <xdr:sp macro="" textlink="">
      <xdr:nvSpPr>
        <xdr:cNvPr id="2" name="正方形/長方形 1">
          <a:extLst>
            <a:ext uri="{FF2B5EF4-FFF2-40B4-BE49-F238E27FC236}">
              <a16:creationId xmlns:a16="http://schemas.microsoft.com/office/drawing/2014/main" id="{F68B390C-8A36-4152-89B4-81F46B48C498}"/>
            </a:ext>
          </a:extLst>
        </xdr:cNvPr>
        <xdr:cNvSpPr/>
      </xdr:nvSpPr>
      <xdr:spPr>
        <a:xfrm>
          <a:off x="568325" y="1987550"/>
          <a:ext cx="5829300" cy="892175"/>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1100" kern="1200"/>
            <a:t>なし</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103187</xdr:colOff>
      <xdr:row>267</xdr:row>
      <xdr:rowOff>2628900</xdr:rowOff>
    </xdr:from>
    <xdr:to>
      <xdr:col>38</xdr:col>
      <xdr:colOff>95249</xdr:colOff>
      <xdr:row>270</xdr:row>
      <xdr:rowOff>79375</xdr:rowOff>
    </xdr:to>
    <xdr:sp macro="" textlink="">
      <xdr:nvSpPr>
        <xdr:cNvPr id="2" name="吹き出し: 角を丸めた四角形 1">
          <a:extLst>
            <a:ext uri="{FF2B5EF4-FFF2-40B4-BE49-F238E27FC236}">
              <a16:creationId xmlns:a16="http://schemas.microsoft.com/office/drawing/2014/main" id="{376343B8-0F0D-441C-9C89-6BE65FB4E91D}"/>
            </a:ext>
          </a:extLst>
        </xdr:cNvPr>
        <xdr:cNvSpPr/>
      </xdr:nvSpPr>
      <xdr:spPr>
        <a:xfrm>
          <a:off x="5551487" y="63455550"/>
          <a:ext cx="3211512" cy="974725"/>
        </a:xfrm>
        <a:prstGeom prst="wedgeRoundRectCallout">
          <a:avLst>
            <a:gd name="adj1" fmla="val -59780"/>
            <a:gd name="adj2" fmla="val 10363"/>
            <a:gd name="adj3" fmla="val 16667"/>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この</a:t>
          </a:r>
          <a:r>
            <a:rPr kumimoji="1" lang="en-US" altLang="ja-JP" sz="1100"/>
            <a:t>SQL</a:t>
          </a:r>
          <a:r>
            <a:rPr kumimoji="1" lang="ja-JP" altLang="en-US" sz="1100"/>
            <a:t>は何のデータを取得しますか。</a:t>
          </a:r>
          <a:endParaRPr kumimoji="1" lang="en-US" altLang="ja-JP" sz="1100"/>
        </a:p>
        <a:p>
          <a:pPr algn="l"/>
          <a:r>
            <a:rPr kumimoji="1" lang="ja-JP" altLang="en-US" sz="1100"/>
            <a:t>明細最小連番に案件</a:t>
          </a:r>
          <a:r>
            <a:rPr kumimoji="1" lang="en-US" altLang="ja-JP" sz="1100"/>
            <a:t>ID</a:t>
          </a:r>
          <a:r>
            <a:rPr kumimoji="1" lang="ja-JP" altLang="en-US" sz="1100"/>
            <a:t>は存在しない</a:t>
          </a:r>
          <a:endParaRPr kumimoji="1" lang="en-US" altLang="ja-JP" sz="1100"/>
        </a:p>
        <a:p>
          <a:pPr algn="l"/>
          <a:r>
            <a:rPr kumimoji="1" lang="ja-JP" altLang="en-US" sz="1100"/>
            <a:t>このところについては屋良さんに確認</a:t>
          </a:r>
          <a:r>
            <a:rPr kumimoji="1" lang="ja-JP" altLang="ja-JP" sz="1100">
              <a:solidFill>
                <a:schemeClr val="lt1"/>
              </a:solidFill>
              <a:effectLst/>
              <a:latin typeface="+mn-lt"/>
              <a:ea typeface="+mn-ea"/>
              <a:cs typeface="+mn-cs"/>
            </a:rPr>
            <a:t>要</a:t>
          </a: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11906</xdr:colOff>
      <xdr:row>10</xdr:row>
      <xdr:rowOff>226219</xdr:rowOff>
    </xdr:from>
    <xdr:to>
      <xdr:col>20</xdr:col>
      <xdr:colOff>11906</xdr:colOff>
      <xdr:row>14</xdr:row>
      <xdr:rowOff>119063</xdr:rowOff>
    </xdr:to>
    <xdr:sp macro="" textlink="">
      <xdr:nvSpPr>
        <xdr:cNvPr id="2" name="テキスト ボックス 1">
          <a:extLst>
            <a:ext uri="{FF2B5EF4-FFF2-40B4-BE49-F238E27FC236}">
              <a16:creationId xmlns:a16="http://schemas.microsoft.com/office/drawing/2014/main" id="{667B165C-440B-4281-AD6B-313CD2815AF0}"/>
            </a:ext>
          </a:extLst>
        </xdr:cNvPr>
        <xdr:cNvSpPr txBox="1"/>
      </xdr:nvSpPr>
      <xdr:spPr>
        <a:xfrm>
          <a:off x="3355181" y="2607469"/>
          <a:ext cx="1543050" cy="84534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0</a:t>
          </a:r>
        </a:p>
        <a:p>
          <a:pPr algn="ctr"/>
          <a:r>
            <a:rPr kumimoji="1" lang="ja-JP" altLang="en-US" sz="1100"/>
            <a:t>案件に紐づく現場情報を取得</a:t>
          </a:r>
        </a:p>
      </xdr:txBody>
    </xdr:sp>
    <xdr:clientData/>
  </xdr:twoCellAnchor>
  <xdr:twoCellAnchor>
    <xdr:from>
      <xdr:col>20</xdr:col>
      <xdr:colOff>154782</xdr:colOff>
      <xdr:row>26</xdr:row>
      <xdr:rowOff>142875</xdr:rowOff>
    </xdr:from>
    <xdr:to>
      <xdr:col>27</xdr:col>
      <xdr:colOff>59531</xdr:colOff>
      <xdr:row>30</xdr:row>
      <xdr:rowOff>71438</xdr:rowOff>
    </xdr:to>
    <xdr:sp macro="" textlink="">
      <xdr:nvSpPr>
        <xdr:cNvPr id="3" name="フローチャート: 端子 2">
          <a:extLst>
            <a:ext uri="{FF2B5EF4-FFF2-40B4-BE49-F238E27FC236}">
              <a16:creationId xmlns:a16="http://schemas.microsoft.com/office/drawing/2014/main" id="{70D31007-D2F8-4112-8BE0-1C09763528BD}"/>
            </a:ext>
          </a:extLst>
        </xdr:cNvPr>
        <xdr:cNvSpPr/>
      </xdr:nvSpPr>
      <xdr:spPr>
        <a:xfrm>
          <a:off x="5041107" y="6334125"/>
          <a:ext cx="1704974" cy="881063"/>
        </a:xfrm>
        <a:prstGeom prst="flowChartTerminator">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100">
              <a:solidFill>
                <a:sysClr val="windowText" lastClr="000000"/>
              </a:solidFill>
              <a:effectLst/>
              <a:latin typeface="+mn-lt"/>
              <a:ea typeface="+mn-ea"/>
              <a:cs typeface="+mn-cs"/>
            </a:rPr>
            <a:t>未発注確認用リスト</a:t>
          </a:r>
          <a:endParaRPr kumimoji="1" lang="en-US" altLang="ja-JP" sz="1100">
            <a:solidFill>
              <a:sysClr val="windowText" lastClr="000000"/>
            </a:solidFill>
            <a:effectLst/>
            <a:latin typeface="+mn-lt"/>
            <a:ea typeface="+mn-ea"/>
            <a:cs typeface="+mn-cs"/>
          </a:endParaRPr>
        </a:p>
        <a:p>
          <a:pPr algn="ctr"/>
          <a:r>
            <a:rPr kumimoji="1" lang="en-US" altLang="ja-JP" sz="1100">
              <a:solidFill>
                <a:sysClr val="windowText" lastClr="000000"/>
              </a:solidFill>
              <a:effectLst/>
              <a:latin typeface="+mn-lt"/>
              <a:ea typeface="+mn-ea"/>
              <a:cs typeface="+mn-cs"/>
            </a:rPr>
            <a:t>LOOP</a:t>
          </a:r>
          <a:r>
            <a:rPr kumimoji="1" lang="ja-JP" altLang="en-US" sz="1100">
              <a:solidFill>
                <a:sysClr val="windowText" lastClr="000000"/>
              </a:solidFill>
              <a:effectLst/>
              <a:latin typeface="+mn-lt"/>
              <a:ea typeface="+mn-ea"/>
              <a:cs typeface="+mn-cs"/>
            </a:rPr>
            <a:t>　</a:t>
          </a:r>
          <a:r>
            <a:rPr kumimoji="1" lang="en-US" altLang="ja-JP" sz="1100">
              <a:solidFill>
                <a:sysClr val="windowText" lastClr="000000"/>
              </a:solidFill>
              <a:effectLst/>
              <a:latin typeface="+mn-lt"/>
              <a:ea typeface="+mn-ea"/>
              <a:cs typeface="+mn-cs"/>
            </a:rPr>
            <a:t>START</a:t>
          </a:r>
          <a:endParaRPr kumimoji="1" lang="ja-JP" altLang="en-US" sz="1100">
            <a:solidFill>
              <a:sysClr val="windowText" lastClr="000000"/>
            </a:solidFill>
          </a:endParaRPr>
        </a:p>
      </xdr:txBody>
    </xdr:sp>
    <xdr:clientData/>
  </xdr:twoCellAnchor>
  <xdr:twoCellAnchor>
    <xdr:from>
      <xdr:col>15</xdr:col>
      <xdr:colOff>190500</xdr:colOff>
      <xdr:row>15</xdr:row>
      <xdr:rowOff>214311</xdr:rowOff>
    </xdr:from>
    <xdr:to>
      <xdr:col>18</xdr:col>
      <xdr:colOff>107156</xdr:colOff>
      <xdr:row>17</xdr:row>
      <xdr:rowOff>95248</xdr:rowOff>
    </xdr:to>
    <xdr:sp macro="" textlink="">
      <xdr:nvSpPr>
        <xdr:cNvPr id="4" name="フローチャート: 判断 3">
          <a:extLst>
            <a:ext uri="{FF2B5EF4-FFF2-40B4-BE49-F238E27FC236}">
              <a16:creationId xmlns:a16="http://schemas.microsoft.com/office/drawing/2014/main" id="{39400E1B-FCC9-48D8-84F4-5EEE5C5823F5}"/>
            </a:ext>
          </a:extLst>
        </xdr:cNvPr>
        <xdr:cNvSpPr/>
      </xdr:nvSpPr>
      <xdr:spPr>
        <a:xfrm>
          <a:off x="3790950" y="3786186"/>
          <a:ext cx="688181" cy="357187"/>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11906</xdr:colOff>
      <xdr:row>14</xdr:row>
      <xdr:rowOff>119063</xdr:rowOff>
    </xdr:from>
    <xdr:to>
      <xdr:col>17</xdr:col>
      <xdr:colOff>17859</xdr:colOff>
      <xdr:row>15</xdr:row>
      <xdr:rowOff>214311</xdr:rowOff>
    </xdr:to>
    <xdr:cxnSp macro="">
      <xdr:nvCxnSpPr>
        <xdr:cNvPr id="5" name="直線矢印コネクタ 4">
          <a:extLst>
            <a:ext uri="{FF2B5EF4-FFF2-40B4-BE49-F238E27FC236}">
              <a16:creationId xmlns:a16="http://schemas.microsoft.com/office/drawing/2014/main" id="{86C069A2-3F28-4D75-B790-CC90DF052D0E}"/>
            </a:ext>
          </a:extLst>
        </xdr:cNvPr>
        <xdr:cNvCxnSpPr>
          <a:stCxn id="2" idx="2"/>
          <a:endCxn id="4" idx="0"/>
        </xdr:cNvCxnSpPr>
      </xdr:nvCxnSpPr>
      <xdr:spPr>
        <a:xfrm>
          <a:off x="4126706" y="3452813"/>
          <a:ext cx="5953" cy="333373"/>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214313</xdr:colOff>
      <xdr:row>15</xdr:row>
      <xdr:rowOff>35719</xdr:rowOff>
    </xdr:from>
    <xdr:to>
      <xdr:col>15</xdr:col>
      <xdr:colOff>166688</xdr:colOff>
      <xdr:row>16</xdr:row>
      <xdr:rowOff>107157</xdr:rowOff>
    </xdr:to>
    <xdr:sp macro="" textlink="">
      <xdr:nvSpPr>
        <xdr:cNvPr id="6" name="テキスト ボックス 5">
          <a:extLst>
            <a:ext uri="{FF2B5EF4-FFF2-40B4-BE49-F238E27FC236}">
              <a16:creationId xmlns:a16="http://schemas.microsoft.com/office/drawing/2014/main" id="{332489EB-97D3-4FFB-9C06-BD5FAC566546}"/>
            </a:ext>
          </a:extLst>
        </xdr:cNvPr>
        <xdr:cNvSpPr txBox="1"/>
      </xdr:nvSpPr>
      <xdr:spPr>
        <a:xfrm>
          <a:off x="3300413" y="3607594"/>
          <a:ext cx="466725" cy="309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0</a:t>
          </a:r>
          <a:r>
            <a:rPr kumimoji="1" lang="ja-JP" altLang="en-US" sz="1100"/>
            <a:t>件</a:t>
          </a:r>
        </a:p>
      </xdr:txBody>
    </xdr:sp>
    <xdr:clientData/>
  </xdr:twoCellAnchor>
  <xdr:twoCellAnchor>
    <xdr:from>
      <xdr:col>18</xdr:col>
      <xdr:colOff>119062</xdr:colOff>
      <xdr:row>15</xdr:row>
      <xdr:rowOff>47624</xdr:rowOff>
    </xdr:from>
    <xdr:to>
      <xdr:col>20</xdr:col>
      <xdr:colOff>71437</xdr:colOff>
      <xdr:row>16</xdr:row>
      <xdr:rowOff>119062</xdr:rowOff>
    </xdr:to>
    <xdr:sp macro="" textlink="">
      <xdr:nvSpPr>
        <xdr:cNvPr id="7" name="テキスト ボックス 6">
          <a:extLst>
            <a:ext uri="{FF2B5EF4-FFF2-40B4-BE49-F238E27FC236}">
              <a16:creationId xmlns:a16="http://schemas.microsoft.com/office/drawing/2014/main" id="{4DC6662A-D4AA-48D9-8018-C4A8E7D8D9B7}"/>
            </a:ext>
          </a:extLst>
        </xdr:cNvPr>
        <xdr:cNvSpPr txBox="1"/>
      </xdr:nvSpPr>
      <xdr:spPr>
        <a:xfrm>
          <a:off x="4491037" y="3619499"/>
          <a:ext cx="466725" cy="309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&gt;0</a:t>
          </a:r>
          <a:r>
            <a:rPr kumimoji="1" lang="ja-JP" altLang="en-US" sz="1100"/>
            <a:t>件</a:t>
          </a:r>
        </a:p>
      </xdr:txBody>
    </xdr:sp>
    <xdr:clientData/>
  </xdr:twoCellAnchor>
  <xdr:twoCellAnchor>
    <xdr:from>
      <xdr:col>24</xdr:col>
      <xdr:colOff>166688</xdr:colOff>
      <xdr:row>39</xdr:row>
      <xdr:rowOff>47623</xdr:rowOff>
    </xdr:from>
    <xdr:to>
      <xdr:col>33</xdr:col>
      <xdr:colOff>71437</xdr:colOff>
      <xdr:row>42</xdr:row>
      <xdr:rowOff>178592</xdr:rowOff>
    </xdr:to>
    <xdr:sp macro="" textlink="">
      <xdr:nvSpPr>
        <xdr:cNvPr id="8" name="テキスト ボックス 7">
          <a:extLst>
            <a:ext uri="{FF2B5EF4-FFF2-40B4-BE49-F238E27FC236}">
              <a16:creationId xmlns:a16="http://schemas.microsoft.com/office/drawing/2014/main" id="{033B8815-0B03-4F94-8016-FF9980DFFA79}"/>
            </a:ext>
          </a:extLst>
        </xdr:cNvPr>
        <xdr:cNvSpPr txBox="1"/>
      </xdr:nvSpPr>
      <xdr:spPr>
        <a:xfrm>
          <a:off x="6081713" y="9334498"/>
          <a:ext cx="2219324" cy="84534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未査定残有りリスト</a:t>
          </a:r>
          <a:r>
            <a:rPr kumimoji="1" lang="en-US" altLang="ja-JP" sz="1100"/>
            <a:t>.</a:t>
          </a:r>
          <a:r>
            <a:rPr kumimoji="1" lang="ja-JP" altLang="en-US" sz="1100"/>
            <a:t>注文書№に未発注確認用リスト</a:t>
          </a:r>
          <a:r>
            <a:rPr kumimoji="1" lang="en-US" altLang="ja-JP" sz="1100"/>
            <a:t>.</a:t>
          </a:r>
          <a:r>
            <a:rPr kumimoji="1" lang="ja-JP" altLang="en-US" sz="1100"/>
            <a:t>注文書№</a:t>
          </a:r>
          <a:r>
            <a:rPr kumimoji="1" lang="en-US" altLang="ja-JP" sz="1100"/>
            <a:t>[i]</a:t>
          </a:r>
          <a:r>
            <a:rPr kumimoji="1" lang="ja-JP" altLang="en-US" sz="1100"/>
            <a:t>を追加セット</a:t>
          </a:r>
        </a:p>
      </xdr:txBody>
    </xdr:sp>
    <xdr:clientData/>
  </xdr:twoCellAnchor>
  <xdr:twoCellAnchor>
    <xdr:from>
      <xdr:col>14</xdr:col>
      <xdr:colOff>238126</xdr:colOff>
      <xdr:row>18</xdr:row>
      <xdr:rowOff>202406</xdr:rowOff>
    </xdr:from>
    <xdr:to>
      <xdr:col>25</xdr:col>
      <xdr:colOff>107156</xdr:colOff>
      <xdr:row>22</xdr:row>
      <xdr:rowOff>142875</xdr:rowOff>
    </xdr:to>
    <xdr:sp macro="" textlink="">
      <xdr:nvSpPr>
        <xdr:cNvPr id="9" name="テキスト ボックス 8">
          <a:extLst>
            <a:ext uri="{FF2B5EF4-FFF2-40B4-BE49-F238E27FC236}">
              <a16:creationId xmlns:a16="http://schemas.microsoft.com/office/drawing/2014/main" id="{5ADF80EE-8F96-46A5-8789-33F29565EB72}"/>
            </a:ext>
          </a:extLst>
        </xdr:cNvPr>
        <xdr:cNvSpPr txBox="1"/>
      </xdr:nvSpPr>
      <xdr:spPr>
        <a:xfrm>
          <a:off x="3581401" y="4488656"/>
          <a:ext cx="2697955" cy="89296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0-4</a:t>
          </a:r>
        </a:p>
        <a:p>
          <a:pPr algn="ctr"/>
          <a:r>
            <a:rPr kumimoji="1" lang="en-US" altLang="ja-JP" sz="1100"/>
            <a:t>0</a:t>
          </a:r>
          <a:r>
            <a:rPr kumimoji="1" lang="ja-JP" altLang="en-US" sz="1100"/>
            <a:t>で取得した現場コードリストを</a:t>
          </a:r>
          <a:endParaRPr kumimoji="1" lang="en-US" altLang="ja-JP" sz="1100"/>
        </a:p>
        <a:p>
          <a:pPr algn="ctr"/>
          <a:r>
            <a:rPr kumimoji="1" lang="ja-JP" altLang="en-US" sz="1100"/>
            <a:t>条件に未発注確認用リストを取得</a:t>
          </a:r>
        </a:p>
      </xdr:txBody>
    </xdr:sp>
    <xdr:clientData/>
  </xdr:twoCellAnchor>
  <xdr:twoCellAnchor>
    <xdr:from>
      <xdr:col>18</xdr:col>
      <xdr:colOff>107156</xdr:colOff>
      <xdr:row>16</xdr:row>
      <xdr:rowOff>154780</xdr:rowOff>
    </xdr:from>
    <xdr:to>
      <xdr:col>20</xdr:col>
      <xdr:colOff>41673</xdr:colOff>
      <xdr:row>18</xdr:row>
      <xdr:rowOff>202406</xdr:rowOff>
    </xdr:to>
    <xdr:cxnSp macro="">
      <xdr:nvCxnSpPr>
        <xdr:cNvPr id="10" name="コネクタ: カギ線 9">
          <a:extLst>
            <a:ext uri="{FF2B5EF4-FFF2-40B4-BE49-F238E27FC236}">
              <a16:creationId xmlns:a16="http://schemas.microsoft.com/office/drawing/2014/main" id="{BD24B255-8B5F-4C68-88B4-B13ACC14C639}"/>
            </a:ext>
          </a:extLst>
        </xdr:cNvPr>
        <xdr:cNvCxnSpPr>
          <a:stCxn id="4" idx="3"/>
          <a:endCxn id="9" idx="0"/>
        </xdr:cNvCxnSpPr>
      </xdr:nvCxnSpPr>
      <xdr:spPr>
        <a:xfrm>
          <a:off x="4479131" y="3964780"/>
          <a:ext cx="448867" cy="523876"/>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214312</xdr:colOff>
      <xdr:row>23</xdr:row>
      <xdr:rowOff>214312</xdr:rowOff>
    </xdr:from>
    <xdr:to>
      <xdr:col>21</xdr:col>
      <xdr:colOff>130967</xdr:colOff>
      <xdr:row>25</xdr:row>
      <xdr:rowOff>95249</xdr:rowOff>
    </xdr:to>
    <xdr:sp macro="" textlink="">
      <xdr:nvSpPr>
        <xdr:cNvPr id="11" name="フローチャート: 判断 10">
          <a:extLst>
            <a:ext uri="{FF2B5EF4-FFF2-40B4-BE49-F238E27FC236}">
              <a16:creationId xmlns:a16="http://schemas.microsoft.com/office/drawing/2014/main" id="{CAAD42DC-A9B8-4704-A8F5-9B6D62F3D387}"/>
            </a:ext>
          </a:extLst>
        </xdr:cNvPr>
        <xdr:cNvSpPr/>
      </xdr:nvSpPr>
      <xdr:spPr>
        <a:xfrm>
          <a:off x="4586287" y="5691187"/>
          <a:ext cx="688180" cy="357187"/>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41671</xdr:colOff>
      <xdr:row>22</xdr:row>
      <xdr:rowOff>142875</xdr:rowOff>
    </xdr:from>
    <xdr:to>
      <xdr:col>20</xdr:col>
      <xdr:colOff>41673</xdr:colOff>
      <xdr:row>23</xdr:row>
      <xdr:rowOff>214312</xdr:rowOff>
    </xdr:to>
    <xdr:cxnSp macro="">
      <xdr:nvCxnSpPr>
        <xdr:cNvPr id="12" name="直線矢印コネクタ 11">
          <a:extLst>
            <a:ext uri="{FF2B5EF4-FFF2-40B4-BE49-F238E27FC236}">
              <a16:creationId xmlns:a16="http://schemas.microsoft.com/office/drawing/2014/main" id="{E74C3581-8705-45FF-B09B-7B820499E8A6}"/>
            </a:ext>
          </a:extLst>
        </xdr:cNvPr>
        <xdr:cNvCxnSpPr>
          <a:stCxn id="9" idx="2"/>
          <a:endCxn id="11" idx="0"/>
        </xdr:cNvCxnSpPr>
      </xdr:nvCxnSpPr>
      <xdr:spPr>
        <a:xfrm flipH="1">
          <a:off x="4927996" y="5381625"/>
          <a:ext cx="2" cy="309562"/>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154781</xdr:colOff>
      <xdr:row>23</xdr:row>
      <xdr:rowOff>47625</xdr:rowOff>
    </xdr:from>
    <xdr:to>
      <xdr:col>18</xdr:col>
      <xdr:colOff>107156</xdr:colOff>
      <xdr:row>24</xdr:row>
      <xdr:rowOff>119063</xdr:rowOff>
    </xdr:to>
    <xdr:sp macro="" textlink="">
      <xdr:nvSpPr>
        <xdr:cNvPr id="13" name="テキスト ボックス 12">
          <a:extLst>
            <a:ext uri="{FF2B5EF4-FFF2-40B4-BE49-F238E27FC236}">
              <a16:creationId xmlns:a16="http://schemas.microsoft.com/office/drawing/2014/main" id="{E7C21E4B-75A4-4862-8920-67C0EC89F777}"/>
            </a:ext>
          </a:extLst>
        </xdr:cNvPr>
        <xdr:cNvSpPr txBox="1"/>
      </xdr:nvSpPr>
      <xdr:spPr>
        <a:xfrm>
          <a:off x="4012406" y="5524500"/>
          <a:ext cx="466725" cy="309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0</a:t>
          </a:r>
          <a:r>
            <a:rPr kumimoji="1" lang="ja-JP" altLang="en-US" sz="1100"/>
            <a:t>件</a:t>
          </a:r>
        </a:p>
      </xdr:txBody>
    </xdr:sp>
    <xdr:clientData/>
  </xdr:twoCellAnchor>
  <xdr:twoCellAnchor>
    <xdr:from>
      <xdr:col>21</xdr:col>
      <xdr:colOff>166687</xdr:colOff>
      <xdr:row>23</xdr:row>
      <xdr:rowOff>0</xdr:rowOff>
    </xdr:from>
    <xdr:to>
      <xdr:col>23</xdr:col>
      <xdr:colOff>130967</xdr:colOff>
      <xdr:row>24</xdr:row>
      <xdr:rowOff>59531</xdr:rowOff>
    </xdr:to>
    <xdr:sp macro="" textlink="">
      <xdr:nvSpPr>
        <xdr:cNvPr id="14" name="テキスト ボックス 13">
          <a:extLst>
            <a:ext uri="{FF2B5EF4-FFF2-40B4-BE49-F238E27FC236}">
              <a16:creationId xmlns:a16="http://schemas.microsoft.com/office/drawing/2014/main" id="{0FF4227A-8A0D-4FA5-A762-28C72344A62D}"/>
            </a:ext>
          </a:extLst>
        </xdr:cNvPr>
        <xdr:cNvSpPr txBox="1"/>
      </xdr:nvSpPr>
      <xdr:spPr>
        <a:xfrm>
          <a:off x="5310187" y="5476875"/>
          <a:ext cx="478630"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&gt;0</a:t>
          </a:r>
          <a:r>
            <a:rPr kumimoji="1" lang="ja-JP" altLang="en-US" sz="1100"/>
            <a:t>件</a:t>
          </a:r>
        </a:p>
      </xdr:txBody>
    </xdr:sp>
    <xdr:clientData/>
  </xdr:twoCellAnchor>
  <xdr:twoCellAnchor>
    <xdr:from>
      <xdr:col>15</xdr:col>
      <xdr:colOff>190500</xdr:colOff>
      <xdr:row>31</xdr:row>
      <xdr:rowOff>178593</xdr:rowOff>
    </xdr:from>
    <xdr:to>
      <xdr:col>32</xdr:col>
      <xdr:colOff>23813</xdr:colOff>
      <xdr:row>34</xdr:row>
      <xdr:rowOff>23811</xdr:rowOff>
    </xdr:to>
    <xdr:sp macro="" textlink="">
      <xdr:nvSpPr>
        <xdr:cNvPr id="15" name="テキスト ボックス 14">
          <a:extLst>
            <a:ext uri="{FF2B5EF4-FFF2-40B4-BE49-F238E27FC236}">
              <a16:creationId xmlns:a16="http://schemas.microsoft.com/office/drawing/2014/main" id="{0D0187AF-D18C-4604-8954-9CCD226E408B}"/>
            </a:ext>
          </a:extLst>
        </xdr:cNvPr>
        <xdr:cNvSpPr txBox="1"/>
      </xdr:nvSpPr>
      <xdr:spPr>
        <a:xfrm>
          <a:off x="3790950" y="7560468"/>
          <a:ext cx="4205288" cy="55959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未発注確認用リスト</a:t>
          </a:r>
          <a:r>
            <a:rPr kumimoji="1" lang="en-US" altLang="ja-JP" sz="1100"/>
            <a:t>.</a:t>
          </a:r>
          <a:r>
            <a:rPr kumimoji="1" lang="ja-JP" altLang="en-US" sz="1100"/>
            <a:t>発注金額</a:t>
          </a:r>
          <a:r>
            <a:rPr kumimoji="1" lang="en-US" altLang="ja-JP" sz="1100"/>
            <a:t>!=</a:t>
          </a:r>
          <a:r>
            <a:rPr kumimoji="1" lang="ja-JP" altLang="ja-JP" sz="1100">
              <a:solidFill>
                <a:schemeClr val="dk1"/>
              </a:solidFill>
              <a:effectLst/>
              <a:latin typeface="+mn-lt"/>
              <a:ea typeface="+mn-ea"/>
              <a:cs typeface="+mn-cs"/>
            </a:rPr>
            <a:t>未発注確認用リスト</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査定済金額</a:t>
          </a:r>
          <a:r>
            <a:rPr kumimoji="1" lang="en-US" altLang="ja-JP" sz="1100">
              <a:solidFill>
                <a:schemeClr val="dk1"/>
              </a:solidFill>
              <a:effectLst/>
              <a:latin typeface="+mn-lt"/>
              <a:ea typeface="+mn-ea"/>
              <a:cs typeface="+mn-cs"/>
            </a:rPr>
            <a:t>?</a:t>
          </a:r>
          <a:endParaRPr kumimoji="1" lang="ja-JP" altLang="en-US" sz="1100"/>
        </a:p>
      </xdr:txBody>
    </xdr:sp>
    <xdr:clientData/>
  </xdr:twoCellAnchor>
  <xdr:twoCellAnchor>
    <xdr:from>
      <xdr:col>23</xdr:col>
      <xdr:colOff>238125</xdr:colOff>
      <xdr:row>30</xdr:row>
      <xdr:rowOff>71438</xdr:rowOff>
    </xdr:from>
    <xdr:to>
      <xdr:col>23</xdr:col>
      <xdr:colOff>238125</xdr:colOff>
      <xdr:row>31</xdr:row>
      <xdr:rowOff>178593</xdr:rowOff>
    </xdr:to>
    <xdr:cxnSp macro="">
      <xdr:nvCxnSpPr>
        <xdr:cNvPr id="16" name="直線矢印コネクタ 15">
          <a:extLst>
            <a:ext uri="{FF2B5EF4-FFF2-40B4-BE49-F238E27FC236}">
              <a16:creationId xmlns:a16="http://schemas.microsoft.com/office/drawing/2014/main" id="{FB27F38D-08CE-474E-8FC8-45450ED1E194}"/>
            </a:ext>
          </a:extLst>
        </xdr:cNvPr>
        <xdr:cNvCxnSpPr>
          <a:stCxn id="3" idx="2"/>
          <a:endCxn id="15" idx="0"/>
        </xdr:cNvCxnSpPr>
      </xdr:nvCxnSpPr>
      <xdr:spPr>
        <a:xfrm>
          <a:off x="5895975" y="7215188"/>
          <a:ext cx="0" cy="34528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154081</xdr:colOff>
      <xdr:row>36</xdr:row>
      <xdr:rowOff>119062</xdr:rowOff>
    </xdr:from>
    <xdr:to>
      <xdr:col>25</xdr:col>
      <xdr:colOff>70736</xdr:colOff>
      <xdr:row>38</xdr:row>
      <xdr:rowOff>2801</xdr:rowOff>
    </xdr:to>
    <xdr:sp macro="" textlink="">
      <xdr:nvSpPr>
        <xdr:cNvPr id="17" name="フローチャート: 判断 16">
          <a:extLst>
            <a:ext uri="{FF2B5EF4-FFF2-40B4-BE49-F238E27FC236}">
              <a16:creationId xmlns:a16="http://schemas.microsoft.com/office/drawing/2014/main" id="{9FCAC3E0-D202-4D6D-9692-73C1C5C6BEDC}"/>
            </a:ext>
          </a:extLst>
        </xdr:cNvPr>
        <xdr:cNvSpPr/>
      </xdr:nvSpPr>
      <xdr:spPr>
        <a:xfrm>
          <a:off x="5554756" y="8691562"/>
          <a:ext cx="688180" cy="359989"/>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236025</xdr:colOff>
      <xdr:row>34</xdr:row>
      <xdr:rowOff>23811</xdr:rowOff>
    </xdr:from>
    <xdr:to>
      <xdr:col>23</xdr:col>
      <xdr:colOff>241277</xdr:colOff>
      <xdr:row>36</xdr:row>
      <xdr:rowOff>119062</xdr:rowOff>
    </xdr:to>
    <xdr:cxnSp macro="">
      <xdr:nvCxnSpPr>
        <xdr:cNvPr id="18" name="直線矢印コネクタ 17">
          <a:extLst>
            <a:ext uri="{FF2B5EF4-FFF2-40B4-BE49-F238E27FC236}">
              <a16:creationId xmlns:a16="http://schemas.microsoft.com/office/drawing/2014/main" id="{A512AE8B-E2C5-485A-A403-29B3918D1A53}"/>
            </a:ext>
          </a:extLst>
        </xdr:cNvPr>
        <xdr:cNvCxnSpPr>
          <a:stCxn id="15" idx="2"/>
          <a:endCxn id="17" idx="0"/>
        </xdr:cNvCxnSpPr>
      </xdr:nvCxnSpPr>
      <xdr:spPr>
        <a:xfrm>
          <a:off x="5893875" y="8120061"/>
          <a:ext cx="5252" cy="571501"/>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95249</xdr:colOff>
      <xdr:row>37</xdr:row>
      <xdr:rowOff>166688</xdr:rowOff>
    </xdr:from>
    <xdr:to>
      <xdr:col>27</xdr:col>
      <xdr:colOff>59529</xdr:colOff>
      <xdr:row>38</xdr:row>
      <xdr:rowOff>226219</xdr:rowOff>
    </xdr:to>
    <xdr:sp macro="" textlink="">
      <xdr:nvSpPr>
        <xdr:cNvPr id="19" name="テキスト ボックス 18">
          <a:extLst>
            <a:ext uri="{FF2B5EF4-FFF2-40B4-BE49-F238E27FC236}">
              <a16:creationId xmlns:a16="http://schemas.microsoft.com/office/drawing/2014/main" id="{969A83BD-4240-4CDC-B852-DBEC2C4A08E0}"/>
            </a:ext>
          </a:extLst>
        </xdr:cNvPr>
        <xdr:cNvSpPr txBox="1"/>
      </xdr:nvSpPr>
      <xdr:spPr>
        <a:xfrm>
          <a:off x="6267449" y="8977313"/>
          <a:ext cx="478630"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clientData/>
  </xdr:twoCellAnchor>
  <xdr:twoCellAnchor>
    <xdr:from>
      <xdr:col>25</xdr:col>
      <xdr:colOff>70736</xdr:colOff>
      <xdr:row>37</xdr:row>
      <xdr:rowOff>60931</xdr:rowOff>
    </xdr:from>
    <xdr:to>
      <xdr:col>28</xdr:col>
      <xdr:colOff>247930</xdr:colOff>
      <xdr:row>39</xdr:row>
      <xdr:rowOff>47623</xdr:rowOff>
    </xdr:to>
    <xdr:cxnSp macro="">
      <xdr:nvCxnSpPr>
        <xdr:cNvPr id="20" name="コネクタ: カギ線 19">
          <a:extLst>
            <a:ext uri="{FF2B5EF4-FFF2-40B4-BE49-F238E27FC236}">
              <a16:creationId xmlns:a16="http://schemas.microsoft.com/office/drawing/2014/main" id="{71B80CBF-4B31-4DC8-B3E9-80BE2592F610}"/>
            </a:ext>
          </a:extLst>
        </xdr:cNvPr>
        <xdr:cNvCxnSpPr>
          <a:stCxn id="17" idx="3"/>
          <a:endCxn id="8" idx="0"/>
        </xdr:cNvCxnSpPr>
      </xdr:nvCxnSpPr>
      <xdr:spPr>
        <a:xfrm>
          <a:off x="6242936" y="8871556"/>
          <a:ext cx="948719" cy="462942"/>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165286</xdr:colOff>
      <xdr:row>43</xdr:row>
      <xdr:rowOff>226217</xdr:rowOff>
    </xdr:from>
    <xdr:to>
      <xdr:col>27</xdr:col>
      <xdr:colOff>70035</xdr:colOff>
      <xdr:row>46</xdr:row>
      <xdr:rowOff>214311</xdr:rowOff>
    </xdr:to>
    <xdr:sp macro="" textlink="">
      <xdr:nvSpPr>
        <xdr:cNvPr id="21" name="フローチャート: 端子 20">
          <a:extLst>
            <a:ext uri="{FF2B5EF4-FFF2-40B4-BE49-F238E27FC236}">
              <a16:creationId xmlns:a16="http://schemas.microsoft.com/office/drawing/2014/main" id="{95E1CE10-2BB6-477A-96A4-29F61CB54B9A}"/>
            </a:ext>
          </a:extLst>
        </xdr:cNvPr>
        <xdr:cNvSpPr/>
      </xdr:nvSpPr>
      <xdr:spPr>
        <a:xfrm>
          <a:off x="5051611" y="10465592"/>
          <a:ext cx="1704974" cy="702469"/>
        </a:xfrm>
        <a:prstGeom prst="flowChartTerminator">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100">
              <a:solidFill>
                <a:sysClr val="windowText" lastClr="000000"/>
              </a:solidFill>
              <a:effectLst/>
              <a:latin typeface="+mn-lt"/>
              <a:ea typeface="+mn-ea"/>
              <a:cs typeface="+mn-cs"/>
            </a:rPr>
            <a:t>未発注確認用リスト</a:t>
          </a:r>
          <a:endParaRPr kumimoji="1" lang="en-US" altLang="ja-JP" sz="1100">
            <a:solidFill>
              <a:sysClr val="windowText" lastClr="000000"/>
            </a:solidFill>
            <a:effectLst/>
            <a:latin typeface="+mn-lt"/>
            <a:ea typeface="+mn-ea"/>
            <a:cs typeface="+mn-cs"/>
          </a:endParaRPr>
        </a:p>
        <a:p>
          <a:pPr algn="ctr"/>
          <a:r>
            <a:rPr kumimoji="1" lang="en-US" altLang="ja-JP" sz="1100">
              <a:solidFill>
                <a:sysClr val="windowText" lastClr="000000"/>
              </a:solidFill>
              <a:effectLst/>
              <a:latin typeface="+mn-lt"/>
              <a:ea typeface="+mn-ea"/>
              <a:cs typeface="+mn-cs"/>
            </a:rPr>
            <a:t>LOOP END</a:t>
          </a:r>
          <a:endParaRPr kumimoji="1" lang="ja-JP" altLang="en-US" sz="1100">
            <a:solidFill>
              <a:sysClr val="windowText" lastClr="000000"/>
            </a:solidFill>
          </a:endParaRPr>
        </a:p>
      </xdr:txBody>
    </xdr:sp>
    <xdr:clientData/>
  </xdr:twoCellAnchor>
  <xdr:twoCellAnchor>
    <xdr:from>
      <xdr:col>23</xdr:col>
      <xdr:colOff>247232</xdr:colOff>
      <xdr:row>42</xdr:row>
      <xdr:rowOff>178591</xdr:rowOff>
    </xdr:from>
    <xdr:to>
      <xdr:col>28</xdr:col>
      <xdr:colOff>247931</xdr:colOff>
      <xdr:row>49</xdr:row>
      <xdr:rowOff>95249</xdr:rowOff>
    </xdr:to>
    <xdr:cxnSp macro="">
      <xdr:nvCxnSpPr>
        <xdr:cNvPr id="22" name="コネクタ: カギ線 21">
          <a:extLst>
            <a:ext uri="{FF2B5EF4-FFF2-40B4-BE49-F238E27FC236}">
              <a16:creationId xmlns:a16="http://schemas.microsoft.com/office/drawing/2014/main" id="{B05CDBAF-7730-4F6D-81D7-5DFD56A26880}"/>
            </a:ext>
          </a:extLst>
        </xdr:cNvPr>
        <xdr:cNvCxnSpPr>
          <a:stCxn id="8" idx="2"/>
          <a:endCxn id="24" idx="0"/>
        </xdr:cNvCxnSpPr>
      </xdr:nvCxnSpPr>
      <xdr:spPr>
        <a:xfrm rot="5400000">
          <a:off x="5756602" y="10328321"/>
          <a:ext cx="1583533" cy="1286574"/>
        </a:xfrm>
        <a:prstGeom prst="bentConnector3">
          <a:avLst>
            <a:gd name="adj1" fmla="val 77944"/>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241277</xdr:colOff>
      <xdr:row>38</xdr:row>
      <xdr:rowOff>2801</xdr:rowOff>
    </xdr:from>
    <xdr:to>
      <xdr:col>23</xdr:col>
      <xdr:colOff>246529</xdr:colOff>
      <xdr:row>43</xdr:row>
      <xdr:rowOff>226217</xdr:rowOff>
    </xdr:to>
    <xdr:cxnSp macro="">
      <xdr:nvCxnSpPr>
        <xdr:cNvPr id="23" name="直線矢印コネクタ 22">
          <a:extLst>
            <a:ext uri="{FF2B5EF4-FFF2-40B4-BE49-F238E27FC236}">
              <a16:creationId xmlns:a16="http://schemas.microsoft.com/office/drawing/2014/main" id="{C647267C-3E00-413E-ABD1-45F50A1882E6}"/>
            </a:ext>
          </a:extLst>
        </xdr:cNvPr>
        <xdr:cNvCxnSpPr>
          <a:stCxn id="17" idx="2"/>
          <a:endCxn id="21" idx="0"/>
        </xdr:cNvCxnSpPr>
      </xdr:nvCxnSpPr>
      <xdr:spPr>
        <a:xfrm>
          <a:off x="5899127" y="9051551"/>
          <a:ext cx="5252" cy="1414041"/>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165987</xdr:colOff>
      <xdr:row>49</xdr:row>
      <xdr:rowOff>95250</xdr:rowOff>
    </xdr:from>
    <xdr:to>
      <xdr:col>28</xdr:col>
      <xdr:colOff>70738</xdr:colOff>
      <xdr:row>51</xdr:row>
      <xdr:rowOff>178593</xdr:rowOff>
    </xdr:to>
    <xdr:sp macro="" textlink="">
      <xdr:nvSpPr>
        <xdr:cNvPr id="24" name="テキスト ボックス 23">
          <a:extLst>
            <a:ext uri="{FF2B5EF4-FFF2-40B4-BE49-F238E27FC236}">
              <a16:creationId xmlns:a16="http://schemas.microsoft.com/office/drawing/2014/main" id="{8FE5E50D-AAA3-40D5-81D1-E55A69433B50}"/>
            </a:ext>
          </a:extLst>
        </xdr:cNvPr>
        <xdr:cNvSpPr txBox="1"/>
      </xdr:nvSpPr>
      <xdr:spPr>
        <a:xfrm>
          <a:off x="4795137" y="11763375"/>
          <a:ext cx="2219326" cy="55959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未査定残有りリスト </a:t>
          </a:r>
          <a:r>
            <a:rPr kumimoji="1" lang="en-US" altLang="ja-JP" sz="1100"/>
            <a:t>&gt; 0</a:t>
          </a:r>
          <a:r>
            <a:rPr kumimoji="1" lang="ja-JP" altLang="en-US" sz="1100"/>
            <a:t>件</a:t>
          </a:r>
          <a:r>
            <a:rPr kumimoji="1" lang="en-US" altLang="ja-JP" sz="1100"/>
            <a:t>?</a:t>
          </a:r>
          <a:endParaRPr kumimoji="1" lang="ja-JP" altLang="en-US" sz="1100"/>
        </a:p>
      </xdr:txBody>
    </xdr:sp>
    <xdr:clientData/>
  </xdr:twoCellAnchor>
  <xdr:twoCellAnchor>
    <xdr:from>
      <xdr:col>23</xdr:col>
      <xdr:colOff>246529</xdr:colOff>
      <xdr:row>46</xdr:row>
      <xdr:rowOff>214311</xdr:rowOff>
    </xdr:from>
    <xdr:to>
      <xdr:col>23</xdr:col>
      <xdr:colOff>247231</xdr:colOff>
      <xdr:row>49</xdr:row>
      <xdr:rowOff>95250</xdr:rowOff>
    </xdr:to>
    <xdr:cxnSp macro="">
      <xdr:nvCxnSpPr>
        <xdr:cNvPr id="25" name="直線矢印コネクタ 24">
          <a:extLst>
            <a:ext uri="{FF2B5EF4-FFF2-40B4-BE49-F238E27FC236}">
              <a16:creationId xmlns:a16="http://schemas.microsoft.com/office/drawing/2014/main" id="{5E000AAF-4D4C-437A-ADC2-BDFC6A29C815}"/>
            </a:ext>
          </a:extLst>
        </xdr:cNvPr>
        <xdr:cNvCxnSpPr>
          <a:stCxn id="21" idx="2"/>
          <a:endCxn id="24" idx="0"/>
        </xdr:cNvCxnSpPr>
      </xdr:nvCxnSpPr>
      <xdr:spPr>
        <a:xfrm>
          <a:off x="5904379" y="11168061"/>
          <a:ext cx="702" cy="595314"/>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202406</xdr:colOff>
      <xdr:row>54</xdr:row>
      <xdr:rowOff>142876</xdr:rowOff>
    </xdr:from>
    <xdr:to>
      <xdr:col>22</xdr:col>
      <xdr:colOff>166686</xdr:colOff>
      <xdr:row>55</xdr:row>
      <xdr:rowOff>202407</xdr:rowOff>
    </xdr:to>
    <xdr:sp macro="" textlink="">
      <xdr:nvSpPr>
        <xdr:cNvPr id="26" name="テキスト ボックス 25">
          <a:extLst>
            <a:ext uri="{FF2B5EF4-FFF2-40B4-BE49-F238E27FC236}">
              <a16:creationId xmlns:a16="http://schemas.microsoft.com/office/drawing/2014/main" id="{444746B9-8BB1-49AA-A915-8D13A29DA139}"/>
            </a:ext>
          </a:extLst>
        </xdr:cNvPr>
        <xdr:cNvSpPr txBox="1"/>
      </xdr:nvSpPr>
      <xdr:spPr>
        <a:xfrm>
          <a:off x="5088731" y="13001626"/>
          <a:ext cx="478630"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clientData/>
  </xdr:twoCellAnchor>
  <xdr:twoCellAnchor>
    <xdr:from>
      <xdr:col>22</xdr:col>
      <xdr:colOff>165988</xdr:colOff>
      <xdr:row>53</xdr:row>
      <xdr:rowOff>83343</xdr:rowOff>
    </xdr:from>
    <xdr:to>
      <xdr:col>25</xdr:col>
      <xdr:colOff>82643</xdr:colOff>
      <xdr:row>54</xdr:row>
      <xdr:rowOff>202405</xdr:rowOff>
    </xdr:to>
    <xdr:sp macro="" textlink="">
      <xdr:nvSpPr>
        <xdr:cNvPr id="27" name="フローチャート: 判断 26">
          <a:extLst>
            <a:ext uri="{FF2B5EF4-FFF2-40B4-BE49-F238E27FC236}">
              <a16:creationId xmlns:a16="http://schemas.microsoft.com/office/drawing/2014/main" id="{DCF1098A-ED65-44BE-ADF5-70A84095D9CF}"/>
            </a:ext>
          </a:extLst>
        </xdr:cNvPr>
        <xdr:cNvSpPr/>
      </xdr:nvSpPr>
      <xdr:spPr>
        <a:xfrm>
          <a:off x="5566663" y="12703968"/>
          <a:ext cx="688180" cy="357187"/>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247231</xdr:colOff>
      <xdr:row>51</xdr:row>
      <xdr:rowOff>178593</xdr:rowOff>
    </xdr:from>
    <xdr:to>
      <xdr:col>23</xdr:col>
      <xdr:colOff>253184</xdr:colOff>
      <xdr:row>53</xdr:row>
      <xdr:rowOff>83343</xdr:rowOff>
    </xdr:to>
    <xdr:cxnSp macro="">
      <xdr:nvCxnSpPr>
        <xdr:cNvPr id="28" name="直線矢印コネクタ 27">
          <a:extLst>
            <a:ext uri="{FF2B5EF4-FFF2-40B4-BE49-F238E27FC236}">
              <a16:creationId xmlns:a16="http://schemas.microsoft.com/office/drawing/2014/main" id="{F59343CB-6F89-44DC-9ADA-35D930319216}"/>
            </a:ext>
          </a:extLst>
        </xdr:cNvPr>
        <xdr:cNvCxnSpPr>
          <a:stCxn id="24" idx="2"/>
          <a:endCxn id="27" idx="0"/>
        </xdr:cNvCxnSpPr>
      </xdr:nvCxnSpPr>
      <xdr:spPr>
        <a:xfrm>
          <a:off x="5905081" y="12322968"/>
          <a:ext cx="5953" cy="38100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202405</xdr:colOff>
      <xdr:row>54</xdr:row>
      <xdr:rowOff>154781</xdr:rowOff>
    </xdr:from>
    <xdr:to>
      <xdr:col>27</xdr:col>
      <xdr:colOff>166685</xdr:colOff>
      <xdr:row>55</xdr:row>
      <xdr:rowOff>214312</xdr:rowOff>
    </xdr:to>
    <xdr:sp macro="" textlink="">
      <xdr:nvSpPr>
        <xdr:cNvPr id="29" name="テキスト ボックス 28">
          <a:extLst>
            <a:ext uri="{FF2B5EF4-FFF2-40B4-BE49-F238E27FC236}">
              <a16:creationId xmlns:a16="http://schemas.microsoft.com/office/drawing/2014/main" id="{FCC9CD19-3FCB-4D94-B5C8-CD71AB3617F6}"/>
            </a:ext>
          </a:extLst>
        </xdr:cNvPr>
        <xdr:cNvSpPr txBox="1"/>
      </xdr:nvSpPr>
      <xdr:spPr>
        <a:xfrm>
          <a:off x="6374605" y="13013531"/>
          <a:ext cx="478630"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clientData/>
  </xdr:twoCellAnchor>
  <xdr:twoCellAnchor>
    <xdr:from>
      <xdr:col>25</xdr:col>
      <xdr:colOff>44824</xdr:colOff>
      <xdr:row>56</xdr:row>
      <xdr:rowOff>166686</xdr:rowOff>
    </xdr:from>
    <xdr:to>
      <xdr:col>32</xdr:col>
      <xdr:colOff>11206</xdr:colOff>
      <xdr:row>59</xdr:row>
      <xdr:rowOff>202405</xdr:rowOff>
    </xdr:to>
    <xdr:sp macro="" textlink="">
      <xdr:nvSpPr>
        <xdr:cNvPr id="30" name="テキスト ボックス 29">
          <a:extLst>
            <a:ext uri="{FF2B5EF4-FFF2-40B4-BE49-F238E27FC236}">
              <a16:creationId xmlns:a16="http://schemas.microsoft.com/office/drawing/2014/main" id="{A1D804E1-ED86-4333-8326-D5AFB5F0B1D6}"/>
            </a:ext>
          </a:extLst>
        </xdr:cNvPr>
        <xdr:cNvSpPr txBox="1"/>
      </xdr:nvSpPr>
      <xdr:spPr>
        <a:xfrm>
          <a:off x="6217024" y="13501686"/>
          <a:ext cx="1766607" cy="75009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ステータス＝</a:t>
          </a:r>
          <a:r>
            <a:rPr kumimoji="1" lang="en-US" altLang="ja-JP" sz="1100"/>
            <a:t>201</a:t>
          </a:r>
        </a:p>
        <a:p>
          <a:pPr algn="ctr"/>
          <a:r>
            <a:rPr kumimoji="1" lang="ja-JP" altLang="en-US" sz="1100"/>
            <a:t>メッセージ</a:t>
          </a:r>
          <a:r>
            <a:rPr kumimoji="1" lang="en-US" altLang="ja-JP" sz="1100"/>
            <a:t>ID=E00068</a:t>
          </a:r>
          <a:endParaRPr kumimoji="1" lang="ja-JP" altLang="en-US" sz="1100"/>
        </a:p>
      </xdr:txBody>
    </xdr:sp>
    <xdr:clientData/>
  </xdr:twoCellAnchor>
  <xdr:twoCellAnchor>
    <xdr:from>
      <xdr:col>25</xdr:col>
      <xdr:colOff>82643</xdr:colOff>
      <xdr:row>54</xdr:row>
      <xdr:rowOff>25213</xdr:rowOff>
    </xdr:from>
    <xdr:to>
      <xdr:col>28</xdr:col>
      <xdr:colOff>156883</xdr:colOff>
      <xdr:row>56</xdr:row>
      <xdr:rowOff>166686</xdr:rowOff>
    </xdr:to>
    <xdr:cxnSp macro="">
      <xdr:nvCxnSpPr>
        <xdr:cNvPr id="31" name="コネクタ: カギ線 30">
          <a:extLst>
            <a:ext uri="{FF2B5EF4-FFF2-40B4-BE49-F238E27FC236}">
              <a16:creationId xmlns:a16="http://schemas.microsoft.com/office/drawing/2014/main" id="{13A1F7C5-4872-46CF-9A0B-B0481ECA800A}"/>
            </a:ext>
          </a:extLst>
        </xdr:cNvPr>
        <xdr:cNvCxnSpPr>
          <a:stCxn id="27" idx="3"/>
          <a:endCxn id="30" idx="0"/>
        </xdr:cNvCxnSpPr>
      </xdr:nvCxnSpPr>
      <xdr:spPr>
        <a:xfrm>
          <a:off x="6254843" y="12883963"/>
          <a:ext cx="845765" cy="617723"/>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36651</xdr:colOff>
      <xdr:row>60</xdr:row>
      <xdr:rowOff>226917</xdr:rowOff>
    </xdr:from>
    <xdr:to>
      <xdr:col>29</xdr:col>
      <xdr:colOff>12838</xdr:colOff>
      <xdr:row>61</xdr:row>
      <xdr:rowOff>215011</xdr:rowOff>
    </xdr:to>
    <xdr:grpSp>
      <xdr:nvGrpSpPr>
        <xdr:cNvPr id="32" name="グループ化 31">
          <a:extLst>
            <a:ext uri="{FF2B5EF4-FFF2-40B4-BE49-F238E27FC236}">
              <a16:creationId xmlns:a16="http://schemas.microsoft.com/office/drawing/2014/main" id="{32DAD5F8-3FB3-438C-B2DD-EE46E731579A}"/>
            </a:ext>
          </a:extLst>
        </xdr:cNvPr>
        <xdr:cNvGrpSpPr/>
      </xdr:nvGrpSpPr>
      <xdr:grpSpPr>
        <a:xfrm>
          <a:off x="7253239" y="14346329"/>
          <a:ext cx="233923" cy="223417"/>
          <a:chOff x="4909342" y="11870530"/>
          <a:chExt cx="230188" cy="226219"/>
        </a:xfrm>
      </xdr:grpSpPr>
      <xdr:sp macro="" textlink="">
        <xdr:nvSpPr>
          <xdr:cNvPr id="33" name="フローチャート: 結合子 32">
            <a:extLst>
              <a:ext uri="{FF2B5EF4-FFF2-40B4-BE49-F238E27FC236}">
                <a16:creationId xmlns:a16="http://schemas.microsoft.com/office/drawing/2014/main" id="{5962480F-CFAD-9796-13FF-D0D3CBEDA844}"/>
              </a:ext>
            </a:extLst>
          </xdr:cNvPr>
          <xdr:cNvSpPr/>
        </xdr:nvSpPr>
        <xdr:spPr>
          <a:xfrm>
            <a:off x="4909342" y="11870530"/>
            <a:ext cx="230188" cy="226219"/>
          </a:xfrm>
          <a:prstGeom prst="flowChartConnector">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フローチャート: 結合子 33">
            <a:extLst>
              <a:ext uri="{FF2B5EF4-FFF2-40B4-BE49-F238E27FC236}">
                <a16:creationId xmlns:a16="http://schemas.microsoft.com/office/drawing/2014/main" id="{B6BBDAF7-76A3-8740-0B77-7323753F866C}"/>
              </a:ext>
            </a:extLst>
          </xdr:cNvPr>
          <xdr:cNvSpPr/>
        </xdr:nvSpPr>
        <xdr:spPr>
          <a:xfrm>
            <a:off x="4968875" y="11922125"/>
            <a:ext cx="111125" cy="115093"/>
          </a:xfrm>
          <a:prstGeom prst="flowChartConnector">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28</xdr:col>
      <xdr:colOff>153612</xdr:colOff>
      <xdr:row>59</xdr:row>
      <xdr:rowOff>202405</xdr:rowOff>
    </xdr:from>
    <xdr:to>
      <xdr:col>28</xdr:col>
      <xdr:colOff>156883</xdr:colOff>
      <xdr:row>60</xdr:row>
      <xdr:rowOff>226917</xdr:rowOff>
    </xdr:to>
    <xdr:cxnSp macro="">
      <xdr:nvCxnSpPr>
        <xdr:cNvPr id="35" name="直線矢印コネクタ 34">
          <a:extLst>
            <a:ext uri="{FF2B5EF4-FFF2-40B4-BE49-F238E27FC236}">
              <a16:creationId xmlns:a16="http://schemas.microsoft.com/office/drawing/2014/main" id="{8A0EB5E7-9008-4F70-A0AE-DAB655487C72}"/>
            </a:ext>
          </a:extLst>
        </xdr:cNvPr>
        <xdr:cNvCxnSpPr>
          <a:stCxn id="30" idx="2"/>
          <a:endCxn id="33" idx="0"/>
        </xdr:cNvCxnSpPr>
      </xdr:nvCxnSpPr>
      <xdr:spPr>
        <a:xfrm flipH="1">
          <a:off x="7097337" y="14251780"/>
          <a:ext cx="3271" cy="262637"/>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107157</xdr:colOff>
      <xdr:row>56</xdr:row>
      <xdr:rowOff>202407</xdr:rowOff>
    </xdr:from>
    <xdr:to>
      <xdr:col>17</xdr:col>
      <xdr:colOff>142876</xdr:colOff>
      <xdr:row>59</xdr:row>
      <xdr:rowOff>47625</xdr:rowOff>
    </xdr:to>
    <xdr:sp macro="" textlink="">
      <xdr:nvSpPr>
        <xdr:cNvPr id="36" name="テキスト ボックス 35">
          <a:extLst>
            <a:ext uri="{FF2B5EF4-FFF2-40B4-BE49-F238E27FC236}">
              <a16:creationId xmlns:a16="http://schemas.microsoft.com/office/drawing/2014/main" id="{21D034CA-B0A6-494E-9A3C-C8D6AE934A1C}"/>
            </a:ext>
          </a:extLst>
        </xdr:cNvPr>
        <xdr:cNvSpPr txBox="1"/>
      </xdr:nvSpPr>
      <xdr:spPr>
        <a:xfrm>
          <a:off x="1907382" y="13537407"/>
          <a:ext cx="2350294" cy="55959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パラメータ</a:t>
          </a:r>
          <a:r>
            <a:rPr kumimoji="1" lang="en-US" altLang="ja-JP" sz="1100"/>
            <a:t>.</a:t>
          </a:r>
          <a:r>
            <a:rPr kumimoji="1" lang="ja-JP" altLang="en-US" sz="1100"/>
            <a:t>案件コードが未採番</a:t>
          </a:r>
          <a:r>
            <a:rPr kumimoji="1" lang="en-US" altLang="ja-JP" sz="1100"/>
            <a:t>?</a:t>
          </a:r>
          <a:endParaRPr kumimoji="1" lang="ja-JP" altLang="en-US" sz="1100"/>
        </a:p>
      </xdr:txBody>
    </xdr:sp>
    <xdr:clientData/>
  </xdr:twoCellAnchor>
  <xdr:twoCellAnchor>
    <xdr:from>
      <xdr:col>12</xdr:col>
      <xdr:colOff>255987</xdr:colOff>
      <xdr:row>24</xdr:row>
      <xdr:rowOff>154780</xdr:rowOff>
    </xdr:from>
    <xdr:to>
      <xdr:col>18</xdr:col>
      <xdr:colOff>214313</xdr:colOff>
      <xdr:row>56</xdr:row>
      <xdr:rowOff>202406</xdr:rowOff>
    </xdr:to>
    <xdr:cxnSp macro="">
      <xdr:nvCxnSpPr>
        <xdr:cNvPr id="37" name="コネクタ: カギ線 36">
          <a:extLst>
            <a:ext uri="{FF2B5EF4-FFF2-40B4-BE49-F238E27FC236}">
              <a16:creationId xmlns:a16="http://schemas.microsoft.com/office/drawing/2014/main" id="{909BAAE2-5D90-499E-AFB2-DE9D0FA6DAB1}"/>
            </a:ext>
          </a:extLst>
        </xdr:cNvPr>
        <xdr:cNvCxnSpPr>
          <a:stCxn id="11" idx="1"/>
          <a:endCxn id="36" idx="0"/>
        </xdr:cNvCxnSpPr>
      </xdr:nvCxnSpPr>
      <xdr:spPr>
        <a:xfrm rot="10800000" flipV="1">
          <a:off x="3084912" y="5869780"/>
          <a:ext cx="1501376" cy="7667626"/>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130967</xdr:colOff>
      <xdr:row>24</xdr:row>
      <xdr:rowOff>154781</xdr:rowOff>
    </xdr:from>
    <xdr:to>
      <xdr:col>23</xdr:col>
      <xdr:colOff>238125</xdr:colOff>
      <xdr:row>26</xdr:row>
      <xdr:rowOff>142875</xdr:rowOff>
    </xdr:to>
    <xdr:cxnSp macro="">
      <xdr:nvCxnSpPr>
        <xdr:cNvPr id="38" name="コネクタ: カギ線 37">
          <a:extLst>
            <a:ext uri="{FF2B5EF4-FFF2-40B4-BE49-F238E27FC236}">
              <a16:creationId xmlns:a16="http://schemas.microsoft.com/office/drawing/2014/main" id="{FCF8CD81-3EA6-4A09-B496-E015B623E14C}"/>
            </a:ext>
          </a:extLst>
        </xdr:cNvPr>
        <xdr:cNvCxnSpPr>
          <a:stCxn id="11" idx="3"/>
          <a:endCxn id="3" idx="0"/>
        </xdr:cNvCxnSpPr>
      </xdr:nvCxnSpPr>
      <xdr:spPr>
        <a:xfrm>
          <a:off x="5274467" y="5869781"/>
          <a:ext cx="621508" cy="464344"/>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154783</xdr:colOff>
      <xdr:row>28</xdr:row>
      <xdr:rowOff>107157</xdr:rowOff>
    </xdr:from>
    <xdr:to>
      <xdr:col>22</xdr:col>
      <xdr:colOff>154082</xdr:colOff>
      <xdr:row>37</xdr:row>
      <xdr:rowOff>60931</xdr:rowOff>
    </xdr:to>
    <xdr:cxnSp macro="">
      <xdr:nvCxnSpPr>
        <xdr:cNvPr id="39" name="コネクタ: カギ線 38">
          <a:extLst>
            <a:ext uri="{FF2B5EF4-FFF2-40B4-BE49-F238E27FC236}">
              <a16:creationId xmlns:a16="http://schemas.microsoft.com/office/drawing/2014/main" id="{D987045E-1B13-452A-9240-CCCD6F9F23EA}"/>
            </a:ext>
          </a:extLst>
        </xdr:cNvPr>
        <xdr:cNvCxnSpPr>
          <a:stCxn id="17" idx="1"/>
          <a:endCxn id="3" idx="1"/>
        </xdr:cNvCxnSpPr>
      </xdr:nvCxnSpPr>
      <xdr:spPr>
        <a:xfrm rot="10800000">
          <a:off x="5041108" y="6774657"/>
          <a:ext cx="513649" cy="2096899"/>
        </a:xfrm>
        <a:prstGeom prst="bentConnector3">
          <a:avLst>
            <a:gd name="adj1" fmla="val 407810"/>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135871</xdr:colOff>
      <xdr:row>64</xdr:row>
      <xdr:rowOff>107155</xdr:rowOff>
    </xdr:from>
    <xdr:to>
      <xdr:col>14</xdr:col>
      <xdr:colOff>40621</xdr:colOff>
      <xdr:row>66</xdr:row>
      <xdr:rowOff>190498</xdr:rowOff>
    </xdr:to>
    <xdr:sp macro="" textlink="">
      <xdr:nvSpPr>
        <xdr:cNvPr id="40" name="テキスト ボックス 39">
          <a:extLst>
            <a:ext uri="{FF2B5EF4-FFF2-40B4-BE49-F238E27FC236}">
              <a16:creationId xmlns:a16="http://schemas.microsoft.com/office/drawing/2014/main" id="{1DC3192B-998D-43ED-AD56-204ECF7CF519}"/>
            </a:ext>
          </a:extLst>
        </xdr:cNvPr>
        <xdr:cNvSpPr txBox="1"/>
      </xdr:nvSpPr>
      <xdr:spPr>
        <a:xfrm>
          <a:off x="1164571" y="15347155"/>
          <a:ext cx="2219325" cy="55959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１．保存前の最新の歴番の取得</a:t>
          </a:r>
        </a:p>
      </xdr:txBody>
    </xdr:sp>
    <xdr:clientData/>
  </xdr:twoCellAnchor>
  <xdr:twoCellAnchor>
    <xdr:from>
      <xdr:col>20</xdr:col>
      <xdr:colOff>130969</xdr:colOff>
      <xdr:row>37</xdr:row>
      <xdr:rowOff>142876</xdr:rowOff>
    </xdr:from>
    <xdr:to>
      <xdr:col>22</xdr:col>
      <xdr:colOff>95249</xdr:colOff>
      <xdr:row>38</xdr:row>
      <xdr:rowOff>202407</xdr:rowOff>
    </xdr:to>
    <xdr:sp macro="" textlink="">
      <xdr:nvSpPr>
        <xdr:cNvPr id="41" name="テキスト ボックス 40">
          <a:extLst>
            <a:ext uri="{FF2B5EF4-FFF2-40B4-BE49-F238E27FC236}">
              <a16:creationId xmlns:a16="http://schemas.microsoft.com/office/drawing/2014/main" id="{00D2074D-642B-4039-A00B-9DE1F4D5A29E}"/>
            </a:ext>
          </a:extLst>
        </xdr:cNvPr>
        <xdr:cNvSpPr txBox="1"/>
      </xdr:nvSpPr>
      <xdr:spPr>
        <a:xfrm>
          <a:off x="5017294" y="8953501"/>
          <a:ext cx="478630"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clientData/>
  </xdr:twoCellAnchor>
  <xdr:twoCellAnchor>
    <xdr:from>
      <xdr:col>12</xdr:col>
      <xdr:colOff>253885</xdr:colOff>
      <xdr:row>54</xdr:row>
      <xdr:rowOff>25212</xdr:rowOff>
    </xdr:from>
    <xdr:to>
      <xdr:col>22</xdr:col>
      <xdr:colOff>165988</xdr:colOff>
      <xdr:row>56</xdr:row>
      <xdr:rowOff>202406</xdr:rowOff>
    </xdr:to>
    <xdr:cxnSp macro="">
      <xdr:nvCxnSpPr>
        <xdr:cNvPr id="42" name="コネクタ: カギ線 41">
          <a:extLst>
            <a:ext uri="{FF2B5EF4-FFF2-40B4-BE49-F238E27FC236}">
              <a16:creationId xmlns:a16="http://schemas.microsoft.com/office/drawing/2014/main" id="{0989D1C1-DD64-454D-9D59-956CE8248EEC}"/>
            </a:ext>
          </a:extLst>
        </xdr:cNvPr>
        <xdr:cNvCxnSpPr>
          <a:stCxn id="27" idx="1"/>
          <a:endCxn id="36" idx="0"/>
        </xdr:cNvCxnSpPr>
      </xdr:nvCxnSpPr>
      <xdr:spPr>
        <a:xfrm rot="10800000" flipV="1">
          <a:off x="3082810" y="12883962"/>
          <a:ext cx="2483853" cy="653444"/>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255987</xdr:colOff>
      <xdr:row>16</xdr:row>
      <xdr:rowOff>154780</xdr:rowOff>
    </xdr:from>
    <xdr:to>
      <xdr:col>15</xdr:col>
      <xdr:colOff>190501</xdr:colOff>
      <xdr:row>56</xdr:row>
      <xdr:rowOff>202407</xdr:rowOff>
    </xdr:to>
    <xdr:cxnSp macro="">
      <xdr:nvCxnSpPr>
        <xdr:cNvPr id="43" name="コネクタ: カギ線 42">
          <a:extLst>
            <a:ext uri="{FF2B5EF4-FFF2-40B4-BE49-F238E27FC236}">
              <a16:creationId xmlns:a16="http://schemas.microsoft.com/office/drawing/2014/main" id="{7CE1930C-9C3A-46BB-9FBD-577006926E89}"/>
            </a:ext>
          </a:extLst>
        </xdr:cNvPr>
        <xdr:cNvCxnSpPr>
          <a:stCxn id="4" idx="1"/>
          <a:endCxn id="36" idx="0"/>
        </xdr:cNvCxnSpPr>
      </xdr:nvCxnSpPr>
      <xdr:spPr>
        <a:xfrm rot="10800000" flipV="1">
          <a:off x="3084912" y="3964780"/>
          <a:ext cx="706039" cy="9572627"/>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166686</xdr:colOff>
      <xdr:row>60</xdr:row>
      <xdr:rowOff>178594</xdr:rowOff>
    </xdr:from>
    <xdr:to>
      <xdr:col>14</xdr:col>
      <xdr:colOff>83342</xdr:colOff>
      <xdr:row>62</xdr:row>
      <xdr:rowOff>59531</xdr:rowOff>
    </xdr:to>
    <xdr:sp macro="" textlink="">
      <xdr:nvSpPr>
        <xdr:cNvPr id="44" name="フローチャート: 判断 43">
          <a:extLst>
            <a:ext uri="{FF2B5EF4-FFF2-40B4-BE49-F238E27FC236}">
              <a16:creationId xmlns:a16="http://schemas.microsoft.com/office/drawing/2014/main" id="{11F4EFE0-F4B0-4A35-9955-DFC7E475E1C9}"/>
            </a:ext>
          </a:extLst>
        </xdr:cNvPr>
        <xdr:cNvSpPr/>
      </xdr:nvSpPr>
      <xdr:spPr>
        <a:xfrm>
          <a:off x="2738436" y="14466094"/>
          <a:ext cx="688181" cy="357187"/>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255983</xdr:colOff>
      <xdr:row>59</xdr:row>
      <xdr:rowOff>47625</xdr:rowOff>
    </xdr:from>
    <xdr:to>
      <xdr:col>12</xdr:col>
      <xdr:colOff>255986</xdr:colOff>
      <xdr:row>60</xdr:row>
      <xdr:rowOff>178594</xdr:rowOff>
    </xdr:to>
    <xdr:cxnSp macro="">
      <xdr:nvCxnSpPr>
        <xdr:cNvPr id="45" name="直線矢印コネクタ 44">
          <a:extLst>
            <a:ext uri="{FF2B5EF4-FFF2-40B4-BE49-F238E27FC236}">
              <a16:creationId xmlns:a16="http://schemas.microsoft.com/office/drawing/2014/main" id="{EB73FB81-A3CC-4064-B418-89FB9B84AD87}"/>
            </a:ext>
          </a:extLst>
        </xdr:cNvPr>
        <xdr:cNvCxnSpPr>
          <a:stCxn id="36" idx="2"/>
          <a:endCxn id="44" idx="0"/>
        </xdr:cNvCxnSpPr>
      </xdr:nvCxnSpPr>
      <xdr:spPr>
        <a:xfrm flipH="1">
          <a:off x="3084908" y="14097000"/>
          <a:ext cx="3" cy="369094"/>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81943</xdr:colOff>
      <xdr:row>72</xdr:row>
      <xdr:rowOff>90346</xdr:rowOff>
    </xdr:from>
    <xdr:to>
      <xdr:col>15</xdr:col>
      <xdr:colOff>93848</xdr:colOff>
      <xdr:row>75</xdr:row>
      <xdr:rowOff>69334</xdr:rowOff>
    </xdr:to>
    <xdr:sp macro="" textlink="">
      <xdr:nvSpPr>
        <xdr:cNvPr id="46" name="テキスト ボックス 45">
          <a:extLst>
            <a:ext uri="{FF2B5EF4-FFF2-40B4-BE49-F238E27FC236}">
              <a16:creationId xmlns:a16="http://schemas.microsoft.com/office/drawing/2014/main" id="{A0EEF7D7-A326-47FD-8B98-92390C0B20CD}"/>
            </a:ext>
          </a:extLst>
        </xdr:cNvPr>
        <xdr:cNvSpPr txBox="1"/>
      </xdr:nvSpPr>
      <xdr:spPr>
        <a:xfrm>
          <a:off x="853468" y="17235346"/>
          <a:ext cx="2840830" cy="69336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該当データを履歴として更新</a:t>
          </a:r>
          <a:endParaRPr kumimoji="1" lang="en-US" altLang="ja-JP" sz="1100"/>
        </a:p>
        <a:p>
          <a:pPr algn="ctr"/>
          <a:r>
            <a:rPr kumimoji="1" lang="en-US" altLang="ja-JP" sz="1100"/>
            <a:t>(</a:t>
          </a:r>
          <a:r>
            <a:rPr kumimoji="1" lang="ja-JP" altLang="en-US" sz="1100"/>
            <a:t>最新フラグ</a:t>
          </a:r>
          <a:r>
            <a:rPr kumimoji="1" lang="en-US" altLang="ja-JP" sz="1100"/>
            <a:t>='2'</a:t>
          </a:r>
          <a:r>
            <a:rPr kumimoji="1" lang="ja-JP" altLang="en-US" sz="1100"/>
            <a:t>（過去）</a:t>
          </a:r>
          <a:r>
            <a:rPr kumimoji="1" lang="en-US" altLang="ja-JP" sz="1100"/>
            <a:t>)</a:t>
          </a:r>
          <a:endParaRPr kumimoji="1" lang="ja-JP" altLang="en-US" sz="1100"/>
        </a:p>
      </xdr:txBody>
    </xdr:sp>
    <xdr:clientData/>
  </xdr:twoCellAnchor>
  <xdr:twoCellAnchor>
    <xdr:from>
      <xdr:col>10</xdr:col>
      <xdr:colOff>93149</xdr:colOff>
      <xdr:row>62</xdr:row>
      <xdr:rowOff>11908</xdr:rowOff>
    </xdr:from>
    <xdr:to>
      <xdr:col>12</xdr:col>
      <xdr:colOff>57429</xdr:colOff>
      <xdr:row>63</xdr:row>
      <xdr:rowOff>71439</xdr:rowOff>
    </xdr:to>
    <xdr:sp macro="" textlink="">
      <xdr:nvSpPr>
        <xdr:cNvPr id="47" name="テキスト ボックス 46">
          <a:extLst>
            <a:ext uri="{FF2B5EF4-FFF2-40B4-BE49-F238E27FC236}">
              <a16:creationId xmlns:a16="http://schemas.microsoft.com/office/drawing/2014/main" id="{20CB0AAB-766A-4228-979D-B6A35181D99A}"/>
            </a:ext>
          </a:extLst>
        </xdr:cNvPr>
        <xdr:cNvSpPr txBox="1"/>
      </xdr:nvSpPr>
      <xdr:spPr>
        <a:xfrm>
          <a:off x="2407724" y="14775658"/>
          <a:ext cx="478630"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clientData/>
  </xdr:twoCellAnchor>
  <xdr:twoCellAnchor>
    <xdr:from>
      <xdr:col>9</xdr:col>
      <xdr:colOff>217115</xdr:colOff>
      <xdr:row>61</xdr:row>
      <xdr:rowOff>119062</xdr:rowOff>
    </xdr:from>
    <xdr:to>
      <xdr:col>11</xdr:col>
      <xdr:colOff>166687</xdr:colOff>
      <xdr:row>64</xdr:row>
      <xdr:rowOff>107155</xdr:rowOff>
    </xdr:to>
    <xdr:cxnSp macro="">
      <xdr:nvCxnSpPr>
        <xdr:cNvPr id="48" name="コネクタ: カギ線 47">
          <a:extLst>
            <a:ext uri="{FF2B5EF4-FFF2-40B4-BE49-F238E27FC236}">
              <a16:creationId xmlns:a16="http://schemas.microsoft.com/office/drawing/2014/main" id="{53D7F72B-5B9B-43C5-84F1-9DF499FC1E4C}"/>
            </a:ext>
          </a:extLst>
        </xdr:cNvPr>
        <xdr:cNvCxnSpPr>
          <a:stCxn id="44" idx="1"/>
          <a:endCxn id="40" idx="0"/>
        </xdr:cNvCxnSpPr>
      </xdr:nvCxnSpPr>
      <xdr:spPr>
        <a:xfrm rot="10800000" flipV="1">
          <a:off x="2274515" y="14644687"/>
          <a:ext cx="463922" cy="702468"/>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154780</xdr:colOff>
      <xdr:row>61</xdr:row>
      <xdr:rowOff>192601</xdr:rowOff>
    </xdr:from>
    <xdr:to>
      <xdr:col>16</xdr:col>
      <xdr:colOff>119061</xdr:colOff>
      <xdr:row>63</xdr:row>
      <xdr:rowOff>67236</xdr:rowOff>
    </xdr:to>
    <xdr:sp macro="" textlink="">
      <xdr:nvSpPr>
        <xdr:cNvPr id="49" name="テキスト ボックス 48">
          <a:extLst>
            <a:ext uri="{FF2B5EF4-FFF2-40B4-BE49-F238E27FC236}">
              <a16:creationId xmlns:a16="http://schemas.microsoft.com/office/drawing/2014/main" id="{3121DE1F-698F-47DC-B4BE-20A1515F608B}"/>
            </a:ext>
          </a:extLst>
        </xdr:cNvPr>
        <xdr:cNvSpPr txBox="1"/>
      </xdr:nvSpPr>
      <xdr:spPr>
        <a:xfrm>
          <a:off x="3498055" y="14718226"/>
          <a:ext cx="478631" cy="350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clientData/>
  </xdr:twoCellAnchor>
  <xdr:twoCellAnchor>
    <xdr:from>
      <xdr:col>8</xdr:col>
      <xdr:colOff>123963</xdr:colOff>
      <xdr:row>68</xdr:row>
      <xdr:rowOff>29415</xdr:rowOff>
    </xdr:from>
    <xdr:to>
      <xdr:col>11</xdr:col>
      <xdr:colOff>40619</xdr:colOff>
      <xdr:row>69</xdr:row>
      <xdr:rowOff>148477</xdr:rowOff>
    </xdr:to>
    <xdr:sp macro="" textlink="">
      <xdr:nvSpPr>
        <xdr:cNvPr id="50" name="フローチャート: 判断 49">
          <a:extLst>
            <a:ext uri="{FF2B5EF4-FFF2-40B4-BE49-F238E27FC236}">
              <a16:creationId xmlns:a16="http://schemas.microsoft.com/office/drawing/2014/main" id="{76D63A81-4187-46A4-96DC-A48D24F41796}"/>
            </a:ext>
          </a:extLst>
        </xdr:cNvPr>
        <xdr:cNvSpPr/>
      </xdr:nvSpPr>
      <xdr:spPr>
        <a:xfrm>
          <a:off x="1924188" y="16221915"/>
          <a:ext cx="688181" cy="357187"/>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211159</xdr:colOff>
      <xdr:row>66</xdr:row>
      <xdr:rowOff>190498</xdr:rowOff>
    </xdr:from>
    <xdr:to>
      <xdr:col>9</xdr:col>
      <xdr:colOff>217114</xdr:colOff>
      <xdr:row>68</xdr:row>
      <xdr:rowOff>29415</xdr:rowOff>
    </xdr:to>
    <xdr:cxnSp macro="">
      <xdr:nvCxnSpPr>
        <xdr:cNvPr id="51" name="直線矢印コネクタ 50">
          <a:extLst>
            <a:ext uri="{FF2B5EF4-FFF2-40B4-BE49-F238E27FC236}">
              <a16:creationId xmlns:a16="http://schemas.microsoft.com/office/drawing/2014/main" id="{42B58457-D39E-406F-ACAA-42296D0DC4AA}"/>
            </a:ext>
          </a:extLst>
        </xdr:cNvPr>
        <xdr:cNvCxnSpPr>
          <a:stCxn id="40" idx="2"/>
          <a:endCxn id="50" idx="0"/>
        </xdr:cNvCxnSpPr>
      </xdr:nvCxnSpPr>
      <xdr:spPr>
        <a:xfrm flipH="1">
          <a:off x="2268559" y="15906748"/>
          <a:ext cx="5955" cy="315167"/>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154080</xdr:colOff>
      <xdr:row>69</xdr:row>
      <xdr:rowOff>201704</xdr:rowOff>
    </xdr:from>
    <xdr:to>
      <xdr:col>9</xdr:col>
      <xdr:colOff>106456</xdr:colOff>
      <xdr:row>71</xdr:row>
      <xdr:rowOff>11204</xdr:rowOff>
    </xdr:to>
    <xdr:sp macro="" textlink="">
      <xdr:nvSpPr>
        <xdr:cNvPr id="52" name="テキスト ボックス 51">
          <a:extLst>
            <a:ext uri="{FF2B5EF4-FFF2-40B4-BE49-F238E27FC236}">
              <a16:creationId xmlns:a16="http://schemas.microsoft.com/office/drawing/2014/main" id="{2E5760A1-C7D7-4406-B230-FEDD54E651A8}"/>
            </a:ext>
          </a:extLst>
        </xdr:cNvPr>
        <xdr:cNvSpPr txBox="1"/>
      </xdr:nvSpPr>
      <xdr:spPr>
        <a:xfrm>
          <a:off x="1697130" y="16632329"/>
          <a:ext cx="466726"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&gt;0</a:t>
          </a:r>
          <a:r>
            <a:rPr kumimoji="1" lang="ja-JP" altLang="en-US" sz="1100"/>
            <a:t>件</a:t>
          </a:r>
        </a:p>
      </xdr:txBody>
    </xdr:sp>
    <xdr:clientData/>
  </xdr:twoCellAnchor>
  <xdr:twoCellAnchor>
    <xdr:from>
      <xdr:col>6</xdr:col>
      <xdr:colOff>119062</xdr:colOff>
      <xdr:row>78</xdr:row>
      <xdr:rowOff>107157</xdr:rowOff>
    </xdr:from>
    <xdr:to>
      <xdr:col>13</xdr:col>
      <xdr:colOff>59531</xdr:colOff>
      <xdr:row>81</xdr:row>
      <xdr:rowOff>107156</xdr:rowOff>
    </xdr:to>
    <xdr:sp macro="" textlink="">
      <xdr:nvSpPr>
        <xdr:cNvPr id="53" name="テキスト ボックス 52">
          <a:extLst>
            <a:ext uri="{FF2B5EF4-FFF2-40B4-BE49-F238E27FC236}">
              <a16:creationId xmlns:a16="http://schemas.microsoft.com/office/drawing/2014/main" id="{F9CBC655-3DE8-4636-B95A-9E7915C0CEDF}"/>
            </a:ext>
          </a:extLst>
        </xdr:cNvPr>
        <xdr:cNvSpPr txBox="1"/>
      </xdr:nvSpPr>
      <xdr:spPr>
        <a:xfrm>
          <a:off x="1404937" y="18680907"/>
          <a:ext cx="1740694" cy="71437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２．最新案件情報を作成</a:t>
          </a:r>
          <a:endParaRPr kumimoji="1" lang="en-US" altLang="ja-JP" sz="1100"/>
        </a:p>
        <a:p>
          <a:pPr algn="ctr"/>
          <a:r>
            <a:rPr kumimoji="1" lang="ja-JP" altLang="en-US" sz="1100"/>
            <a:t>登録した</a:t>
          </a:r>
          <a:r>
            <a:rPr kumimoji="1" lang="ja-JP" altLang="en-US" sz="1100" b="1"/>
            <a:t>案件</a:t>
          </a:r>
          <a:r>
            <a:rPr kumimoji="1" lang="en-US" altLang="ja-JP" sz="1100" b="1"/>
            <a:t>ID</a:t>
          </a:r>
          <a:r>
            <a:rPr kumimoji="1" lang="ja-JP" altLang="en-US" sz="1100"/>
            <a:t>を保持</a:t>
          </a:r>
        </a:p>
      </xdr:txBody>
    </xdr:sp>
    <xdr:clientData/>
  </xdr:twoCellAnchor>
  <xdr:twoCellAnchor>
    <xdr:from>
      <xdr:col>11</xdr:col>
      <xdr:colOff>40619</xdr:colOff>
      <xdr:row>68</xdr:row>
      <xdr:rowOff>206608</xdr:rowOff>
    </xdr:from>
    <xdr:to>
      <xdr:col>22</xdr:col>
      <xdr:colOff>145677</xdr:colOff>
      <xdr:row>70</xdr:row>
      <xdr:rowOff>99451</xdr:rowOff>
    </xdr:to>
    <xdr:cxnSp macro="">
      <xdr:nvCxnSpPr>
        <xdr:cNvPr id="54" name="コネクタ: カギ線 53">
          <a:extLst>
            <a:ext uri="{FF2B5EF4-FFF2-40B4-BE49-F238E27FC236}">
              <a16:creationId xmlns:a16="http://schemas.microsoft.com/office/drawing/2014/main" id="{5F62F563-C78C-49BA-BD64-C81611F49E79}"/>
            </a:ext>
          </a:extLst>
        </xdr:cNvPr>
        <xdr:cNvCxnSpPr>
          <a:stCxn id="50" idx="3"/>
          <a:endCxn id="150" idx="0"/>
        </xdr:cNvCxnSpPr>
      </xdr:nvCxnSpPr>
      <xdr:spPr>
        <a:xfrm>
          <a:off x="2612369" y="16399108"/>
          <a:ext cx="2933983" cy="369093"/>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218165</xdr:colOff>
      <xdr:row>61</xdr:row>
      <xdr:rowOff>119063</xdr:rowOff>
    </xdr:from>
    <xdr:to>
      <xdr:col>14</xdr:col>
      <xdr:colOff>83342</xdr:colOff>
      <xdr:row>78</xdr:row>
      <xdr:rowOff>107157</xdr:rowOff>
    </xdr:to>
    <xdr:cxnSp macro="">
      <xdr:nvCxnSpPr>
        <xdr:cNvPr id="55" name="コネクタ: カギ線 54">
          <a:extLst>
            <a:ext uri="{FF2B5EF4-FFF2-40B4-BE49-F238E27FC236}">
              <a16:creationId xmlns:a16="http://schemas.microsoft.com/office/drawing/2014/main" id="{9796AC12-B099-4019-8DC1-C228913CD189}"/>
            </a:ext>
          </a:extLst>
        </xdr:cNvPr>
        <xdr:cNvCxnSpPr>
          <a:stCxn id="44" idx="3"/>
          <a:endCxn id="53" idx="0"/>
        </xdr:cNvCxnSpPr>
      </xdr:nvCxnSpPr>
      <xdr:spPr>
        <a:xfrm flipH="1">
          <a:off x="2275565" y="14644688"/>
          <a:ext cx="1151052" cy="4036219"/>
        </a:xfrm>
        <a:prstGeom prst="bentConnector4">
          <a:avLst>
            <a:gd name="adj1" fmla="val -68371"/>
            <a:gd name="adj2" fmla="val 89205"/>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203106</xdr:colOff>
      <xdr:row>83</xdr:row>
      <xdr:rowOff>47626</xdr:rowOff>
    </xdr:from>
    <xdr:to>
      <xdr:col>13</xdr:col>
      <xdr:colOff>226918</xdr:colOff>
      <xdr:row>85</xdr:row>
      <xdr:rowOff>107157</xdr:rowOff>
    </xdr:to>
    <xdr:sp macro="" textlink="">
      <xdr:nvSpPr>
        <xdr:cNvPr id="56" name="テキスト ボックス 55">
          <a:extLst>
            <a:ext uri="{FF2B5EF4-FFF2-40B4-BE49-F238E27FC236}">
              <a16:creationId xmlns:a16="http://schemas.microsoft.com/office/drawing/2014/main" id="{394028A8-E9C8-4EAD-B2A5-F3BB3C066196}"/>
            </a:ext>
          </a:extLst>
        </xdr:cNvPr>
        <xdr:cNvSpPr txBox="1"/>
      </xdr:nvSpPr>
      <xdr:spPr>
        <a:xfrm>
          <a:off x="1231806" y="19812001"/>
          <a:ext cx="2081212" cy="53578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３．請求条件明細情報を保存</a:t>
          </a:r>
        </a:p>
      </xdr:txBody>
    </xdr:sp>
    <xdr:clientData/>
  </xdr:twoCellAnchor>
  <xdr:twoCellAnchor>
    <xdr:from>
      <xdr:col>9</xdr:col>
      <xdr:colOff>215013</xdr:colOff>
      <xdr:row>81</xdr:row>
      <xdr:rowOff>107156</xdr:rowOff>
    </xdr:from>
    <xdr:to>
      <xdr:col>9</xdr:col>
      <xdr:colOff>218165</xdr:colOff>
      <xdr:row>83</xdr:row>
      <xdr:rowOff>47626</xdr:rowOff>
    </xdr:to>
    <xdr:cxnSp macro="">
      <xdr:nvCxnSpPr>
        <xdr:cNvPr id="57" name="直線矢印コネクタ 56">
          <a:extLst>
            <a:ext uri="{FF2B5EF4-FFF2-40B4-BE49-F238E27FC236}">
              <a16:creationId xmlns:a16="http://schemas.microsoft.com/office/drawing/2014/main" id="{33246F01-4DFE-4E6D-AED4-B69A33B56643}"/>
            </a:ext>
          </a:extLst>
        </xdr:cNvPr>
        <xdr:cNvCxnSpPr>
          <a:stCxn id="53" idx="2"/>
          <a:endCxn id="56" idx="0"/>
        </xdr:cNvCxnSpPr>
      </xdr:nvCxnSpPr>
      <xdr:spPr>
        <a:xfrm flipH="1">
          <a:off x="2272413" y="19395281"/>
          <a:ext cx="3152" cy="41672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216411</xdr:colOff>
      <xdr:row>69</xdr:row>
      <xdr:rowOff>63033</xdr:rowOff>
    </xdr:from>
    <xdr:to>
      <xdr:col>13</xdr:col>
      <xdr:colOff>168785</xdr:colOff>
      <xdr:row>70</xdr:row>
      <xdr:rowOff>134470</xdr:rowOff>
    </xdr:to>
    <xdr:sp macro="" textlink="">
      <xdr:nvSpPr>
        <xdr:cNvPr id="58" name="テキスト ボックス 57">
          <a:extLst>
            <a:ext uri="{FF2B5EF4-FFF2-40B4-BE49-F238E27FC236}">
              <a16:creationId xmlns:a16="http://schemas.microsoft.com/office/drawing/2014/main" id="{E89E53DD-0CD1-43B5-A573-5E7203AFFAC9}"/>
            </a:ext>
          </a:extLst>
        </xdr:cNvPr>
        <xdr:cNvSpPr txBox="1"/>
      </xdr:nvSpPr>
      <xdr:spPr>
        <a:xfrm>
          <a:off x="2788161" y="16493658"/>
          <a:ext cx="466724" cy="309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0</a:t>
          </a:r>
          <a:r>
            <a:rPr kumimoji="1" lang="ja-JP" altLang="en-US" sz="1100"/>
            <a:t>件</a:t>
          </a:r>
        </a:p>
      </xdr:txBody>
    </xdr:sp>
    <xdr:clientData/>
  </xdr:twoCellAnchor>
  <xdr:twoCellAnchor>
    <xdr:from>
      <xdr:col>5</xdr:col>
      <xdr:colOff>203105</xdr:colOff>
      <xdr:row>87</xdr:row>
      <xdr:rowOff>59532</xdr:rowOff>
    </xdr:from>
    <xdr:to>
      <xdr:col>13</xdr:col>
      <xdr:colOff>226917</xdr:colOff>
      <xdr:row>89</xdr:row>
      <xdr:rowOff>119063</xdr:rowOff>
    </xdr:to>
    <xdr:sp macro="" textlink="">
      <xdr:nvSpPr>
        <xdr:cNvPr id="59" name="テキスト ボックス 58">
          <a:extLst>
            <a:ext uri="{FF2B5EF4-FFF2-40B4-BE49-F238E27FC236}">
              <a16:creationId xmlns:a16="http://schemas.microsoft.com/office/drawing/2014/main" id="{E926C9CD-E99C-43A9-A732-D52B73B57DEE}"/>
            </a:ext>
          </a:extLst>
        </xdr:cNvPr>
        <xdr:cNvSpPr txBox="1"/>
      </xdr:nvSpPr>
      <xdr:spPr>
        <a:xfrm>
          <a:off x="1231805" y="20776407"/>
          <a:ext cx="2081212" cy="53578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４．現場棟明細情報を保存</a:t>
          </a:r>
        </a:p>
      </xdr:txBody>
    </xdr:sp>
    <xdr:clientData/>
  </xdr:twoCellAnchor>
  <xdr:twoCellAnchor>
    <xdr:from>
      <xdr:col>9</xdr:col>
      <xdr:colOff>215012</xdr:colOff>
      <xdr:row>85</xdr:row>
      <xdr:rowOff>107157</xdr:rowOff>
    </xdr:from>
    <xdr:to>
      <xdr:col>9</xdr:col>
      <xdr:colOff>215013</xdr:colOff>
      <xdr:row>87</xdr:row>
      <xdr:rowOff>59532</xdr:rowOff>
    </xdr:to>
    <xdr:cxnSp macro="">
      <xdr:nvCxnSpPr>
        <xdr:cNvPr id="60" name="直線矢印コネクタ 59">
          <a:extLst>
            <a:ext uri="{FF2B5EF4-FFF2-40B4-BE49-F238E27FC236}">
              <a16:creationId xmlns:a16="http://schemas.microsoft.com/office/drawing/2014/main" id="{1C91B747-1983-4632-B1C1-43EFEBDFF4EA}"/>
            </a:ext>
          </a:extLst>
        </xdr:cNvPr>
        <xdr:cNvCxnSpPr>
          <a:stCxn id="56" idx="2"/>
          <a:endCxn id="59" idx="0"/>
        </xdr:cNvCxnSpPr>
      </xdr:nvCxnSpPr>
      <xdr:spPr>
        <a:xfrm flipH="1">
          <a:off x="2272412" y="20347782"/>
          <a:ext cx="1" cy="428625"/>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203105</xdr:colOff>
      <xdr:row>91</xdr:row>
      <xdr:rowOff>119063</xdr:rowOff>
    </xdr:from>
    <xdr:to>
      <xdr:col>13</xdr:col>
      <xdr:colOff>226917</xdr:colOff>
      <xdr:row>93</xdr:row>
      <xdr:rowOff>178594</xdr:rowOff>
    </xdr:to>
    <xdr:sp macro="" textlink="">
      <xdr:nvSpPr>
        <xdr:cNvPr id="61" name="テキスト ボックス 60">
          <a:extLst>
            <a:ext uri="{FF2B5EF4-FFF2-40B4-BE49-F238E27FC236}">
              <a16:creationId xmlns:a16="http://schemas.microsoft.com/office/drawing/2014/main" id="{52BE4043-BE24-45BC-82A5-D382D43DB06E}"/>
            </a:ext>
          </a:extLst>
        </xdr:cNvPr>
        <xdr:cNvSpPr txBox="1"/>
      </xdr:nvSpPr>
      <xdr:spPr>
        <a:xfrm>
          <a:off x="1231805" y="21788438"/>
          <a:ext cx="2081212" cy="53578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５．案件要望明細情報を保存</a:t>
          </a:r>
        </a:p>
      </xdr:txBody>
    </xdr:sp>
    <xdr:clientData/>
  </xdr:twoCellAnchor>
  <xdr:twoCellAnchor>
    <xdr:from>
      <xdr:col>9</xdr:col>
      <xdr:colOff>215012</xdr:colOff>
      <xdr:row>89</xdr:row>
      <xdr:rowOff>119063</xdr:rowOff>
    </xdr:from>
    <xdr:to>
      <xdr:col>9</xdr:col>
      <xdr:colOff>215012</xdr:colOff>
      <xdr:row>91</xdr:row>
      <xdr:rowOff>119063</xdr:rowOff>
    </xdr:to>
    <xdr:cxnSp macro="">
      <xdr:nvCxnSpPr>
        <xdr:cNvPr id="62" name="直線矢印コネクタ 61">
          <a:extLst>
            <a:ext uri="{FF2B5EF4-FFF2-40B4-BE49-F238E27FC236}">
              <a16:creationId xmlns:a16="http://schemas.microsoft.com/office/drawing/2014/main" id="{2685A67F-BBD6-4428-8F73-F0A2B8AB7A46}"/>
            </a:ext>
          </a:extLst>
        </xdr:cNvPr>
        <xdr:cNvCxnSpPr>
          <a:stCxn id="59" idx="2"/>
          <a:endCxn id="61" idx="0"/>
        </xdr:cNvCxnSpPr>
      </xdr:nvCxnSpPr>
      <xdr:spPr>
        <a:xfrm>
          <a:off x="2272412" y="21312188"/>
          <a:ext cx="0" cy="47625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78443</xdr:colOff>
      <xdr:row>99</xdr:row>
      <xdr:rowOff>186299</xdr:rowOff>
    </xdr:from>
    <xdr:to>
      <xdr:col>14</xdr:col>
      <xdr:colOff>89647</xdr:colOff>
      <xdr:row>102</xdr:row>
      <xdr:rowOff>10506</xdr:rowOff>
    </xdr:to>
    <xdr:sp macro="" textlink="">
      <xdr:nvSpPr>
        <xdr:cNvPr id="63" name="テキスト ボックス 62">
          <a:extLst>
            <a:ext uri="{FF2B5EF4-FFF2-40B4-BE49-F238E27FC236}">
              <a16:creationId xmlns:a16="http://schemas.microsoft.com/office/drawing/2014/main" id="{77B9435C-5E89-4BFE-97A1-90557B6CAAAE}"/>
            </a:ext>
          </a:extLst>
        </xdr:cNvPr>
        <xdr:cNvSpPr txBox="1"/>
      </xdr:nvSpPr>
      <xdr:spPr>
        <a:xfrm>
          <a:off x="1367119" y="23483328"/>
          <a:ext cx="2330822" cy="53017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rPr>
            <a:t>６</a:t>
          </a:r>
          <a:r>
            <a:rPr kumimoji="1" lang="en-US" altLang="ja-JP" sz="1100">
              <a:solidFill>
                <a:srgbClr val="FF0000"/>
              </a:solidFill>
            </a:rPr>
            <a:t>-2</a:t>
          </a:r>
          <a:r>
            <a:rPr kumimoji="1" lang="ja-JP" altLang="en-US" sz="1100">
              <a:solidFill>
                <a:srgbClr val="FF0000"/>
              </a:solidFill>
            </a:rPr>
            <a:t>．案件先行作業明細を保存</a:t>
          </a:r>
        </a:p>
      </xdr:txBody>
    </xdr:sp>
    <xdr:clientData/>
  </xdr:twoCellAnchor>
  <xdr:twoCellAnchor>
    <xdr:from>
      <xdr:col>9</xdr:col>
      <xdr:colOff>212912</xdr:colOff>
      <xdr:row>93</xdr:row>
      <xdr:rowOff>178594</xdr:rowOff>
    </xdr:from>
    <xdr:to>
      <xdr:col>9</xdr:col>
      <xdr:colOff>215011</xdr:colOff>
      <xdr:row>95</xdr:row>
      <xdr:rowOff>186299</xdr:rowOff>
    </xdr:to>
    <xdr:cxnSp macro="">
      <xdr:nvCxnSpPr>
        <xdr:cNvPr id="64" name="直線矢印コネクタ 63">
          <a:extLst>
            <a:ext uri="{FF2B5EF4-FFF2-40B4-BE49-F238E27FC236}">
              <a16:creationId xmlns:a16="http://schemas.microsoft.com/office/drawing/2014/main" id="{960C92B4-1B1F-4927-A80A-5D3D61382432}"/>
            </a:ext>
          </a:extLst>
        </xdr:cNvPr>
        <xdr:cNvCxnSpPr>
          <a:stCxn id="61" idx="2"/>
          <a:endCxn id="185" idx="0"/>
        </xdr:cNvCxnSpPr>
      </xdr:nvCxnSpPr>
      <xdr:spPr>
        <a:xfrm flipH="1">
          <a:off x="2532530" y="22063682"/>
          <a:ext cx="2099" cy="478352"/>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212912</xdr:colOff>
      <xdr:row>102</xdr:row>
      <xdr:rowOff>10506</xdr:rowOff>
    </xdr:from>
    <xdr:to>
      <xdr:col>9</xdr:col>
      <xdr:colOff>212912</xdr:colOff>
      <xdr:row>103</xdr:row>
      <xdr:rowOff>145677</xdr:rowOff>
    </xdr:to>
    <xdr:cxnSp macro="">
      <xdr:nvCxnSpPr>
        <xdr:cNvPr id="65" name="直線矢印コネクタ 64">
          <a:extLst>
            <a:ext uri="{FF2B5EF4-FFF2-40B4-BE49-F238E27FC236}">
              <a16:creationId xmlns:a16="http://schemas.microsoft.com/office/drawing/2014/main" id="{45CF78DC-3DA2-4953-86C1-C2FBA7AF0555}"/>
            </a:ext>
          </a:extLst>
        </xdr:cNvPr>
        <xdr:cNvCxnSpPr>
          <a:cxnSpLocks/>
          <a:stCxn id="63" idx="2"/>
          <a:endCxn id="157" idx="0"/>
        </xdr:cNvCxnSpPr>
      </xdr:nvCxnSpPr>
      <xdr:spPr>
        <a:xfrm>
          <a:off x="2532530" y="24013506"/>
          <a:ext cx="0" cy="370495"/>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172992</xdr:colOff>
      <xdr:row>110</xdr:row>
      <xdr:rowOff>56029</xdr:rowOff>
    </xdr:from>
    <xdr:to>
      <xdr:col>13</xdr:col>
      <xdr:colOff>137271</xdr:colOff>
      <xdr:row>111</xdr:row>
      <xdr:rowOff>115561</xdr:rowOff>
    </xdr:to>
    <xdr:sp macro="" textlink="">
      <xdr:nvSpPr>
        <xdr:cNvPr id="66" name="テキスト ボックス 65">
          <a:extLst>
            <a:ext uri="{FF2B5EF4-FFF2-40B4-BE49-F238E27FC236}">
              <a16:creationId xmlns:a16="http://schemas.microsoft.com/office/drawing/2014/main" id="{89143582-EC90-46E3-A41B-7BD2417FFBE1}"/>
            </a:ext>
          </a:extLst>
        </xdr:cNvPr>
        <xdr:cNvSpPr txBox="1"/>
      </xdr:nvSpPr>
      <xdr:spPr>
        <a:xfrm>
          <a:off x="2744742" y="25297279"/>
          <a:ext cx="478629" cy="2976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9</xdr:col>
      <xdr:colOff>210461</xdr:colOff>
      <xdr:row>107</xdr:row>
      <xdr:rowOff>116260</xdr:rowOff>
    </xdr:from>
    <xdr:to>
      <xdr:col>9</xdr:col>
      <xdr:colOff>212913</xdr:colOff>
      <xdr:row>108</xdr:row>
      <xdr:rowOff>224118</xdr:rowOff>
    </xdr:to>
    <xdr:cxnSp macro="">
      <xdr:nvCxnSpPr>
        <xdr:cNvPr id="67" name="直線矢印コネクタ 66">
          <a:extLst>
            <a:ext uri="{FF2B5EF4-FFF2-40B4-BE49-F238E27FC236}">
              <a16:creationId xmlns:a16="http://schemas.microsoft.com/office/drawing/2014/main" id="{FC28FEF7-91A4-4431-928B-CE60A1473483}"/>
            </a:ext>
          </a:extLst>
        </xdr:cNvPr>
        <xdr:cNvCxnSpPr>
          <a:cxnSpLocks/>
          <a:stCxn id="157" idx="2"/>
          <a:endCxn id="158" idx="0"/>
        </xdr:cNvCxnSpPr>
      </xdr:nvCxnSpPr>
      <xdr:spPr>
        <a:xfrm flipH="1">
          <a:off x="2267861" y="24643135"/>
          <a:ext cx="2452" cy="345983"/>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128169</xdr:colOff>
      <xdr:row>110</xdr:row>
      <xdr:rowOff>67235</xdr:rowOff>
    </xdr:from>
    <xdr:to>
      <xdr:col>9</xdr:col>
      <xdr:colOff>92449</xdr:colOff>
      <xdr:row>111</xdr:row>
      <xdr:rowOff>126765</xdr:rowOff>
    </xdr:to>
    <xdr:sp macro="" textlink="">
      <xdr:nvSpPr>
        <xdr:cNvPr id="68" name="テキスト ボックス 67">
          <a:extLst>
            <a:ext uri="{FF2B5EF4-FFF2-40B4-BE49-F238E27FC236}">
              <a16:creationId xmlns:a16="http://schemas.microsoft.com/office/drawing/2014/main" id="{2EBA84EE-82B3-4538-9A16-DF76D42A30B9}"/>
            </a:ext>
          </a:extLst>
        </xdr:cNvPr>
        <xdr:cNvSpPr txBox="1"/>
      </xdr:nvSpPr>
      <xdr:spPr>
        <a:xfrm>
          <a:off x="1671219" y="25308485"/>
          <a:ext cx="478630" cy="2976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5</xdr:col>
      <xdr:colOff>203103</xdr:colOff>
      <xdr:row>111</xdr:row>
      <xdr:rowOff>219917</xdr:rowOff>
    </xdr:from>
    <xdr:to>
      <xdr:col>13</xdr:col>
      <xdr:colOff>226915</xdr:colOff>
      <xdr:row>114</xdr:row>
      <xdr:rowOff>190500</xdr:rowOff>
    </xdr:to>
    <xdr:sp macro="" textlink="">
      <xdr:nvSpPr>
        <xdr:cNvPr id="69" name="テキスト ボックス 68">
          <a:extLst>
            <a:ext uri="{FF2B5EF4-FFF2-40B4-BE49-F238E27FC236}">
              <a16:creationId xmlns:a16="http://schemas.microsoft.com/office/drawing/2014/main" id="{957E9668-9141-4620-A460-ACFC1B71CAE1}"/>
            </a:ext>
          </a:extLst>
        </xdr:cNvPr>
        <xdr:cNvSpPr txBox="1"/>
      </xdr:nvSpPr>
      <xdr:spPr>
        <a:xfrm>
          <a:off x="1231803" y="25699292"/>
          <a:ext cx="2081212" cy="68495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rPr>
            <a:t>未作成分</a:t>
          </a:r>
          <a:r>
            <a:rPr kumimoji="1" lang="ja-JP" altLang="en-US" sz="1100"/>
            <a:t>だけ</a:t>
          </a:r>
          <a:endParaRPr kumimoji="1" lang="en-US" altLang="ja-JP" sz="1100"/>
        </a:p>
        <a:p>
          <a:pPr algn="ctr"/>
          <a:r>
            <a:rPr kumimoji="1" lang="ja-JP" altLang="en-US" sz="1100"/>
            <a:t>概算情報作成</a:t>
          </a:r>
        </a:p>
      </xdr:txBody>
    </xdr:sp>
    <xdr:clientData/>
  </xdr:twoCellAnchor>
  <xdr:twoCellAnchor>
    <xdr:from>
      <xdr:col>9</xdr:col>
      <xdr:colOff>212913</xdr:colOff>
      <xdr:row>109</xdr:row>
      <xdr:rowOff>164587</xdr:rowOff>
    </xdr:from>
    <xdr:to>
      <xdr:col>11</xdr:col>
      <xdr:colOff>39921</xdr:colOff>
      <xdr:row>117</xdr:row>
      <xdr:rowOff>0</xdr:rowOff>
    </xdr:to>
    <xdr:cxnSp macro="">
      <xdr:nvCxnSpPr>
        <xdr:cNvPr id="70" name="コネクタ: カギ線 69">
          <a:extLst>
            <a:ext uri="{FF2B5EF4-FFF2-40B4-BE49-F238E27FC236}">
              <a16:creationId xmlns:a16="http://schemas.microsoft.com/office/drawing/2014/main" id="{6E783E0C-933C-4278-B510-48133AB3BE4E}"/>
            </a:ext>
          </a:extLst>
        </xdr:cNvPr>
        <xdr:cNvCxnSpPr>
          <a:stCxn id="158" idx="3"/>
          <a:endCxn id="159" idx="0"/>
        </xdr:cNvCxnSpPr>
      </xdr:nvCxnSpPr>
      <xdr:spPr>
        <a:xfrm flipH="1">
          <a:off x="2270313" y="25167712"/>
          <a:ext cx="341358" cy="1740413"/>
        </a:xfrm>
        <a:prstGeom prst="bentConnector4">
          <a:avLst>
            <a:gd name="adj1" fmla="val -413580"/>
            <a:gd name="adj2" fmla="val 83816"/>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203105</xdr:colOff>
      <xdr:row>126</xdr:row>
      <xdr:rowOff>7005</xdr:rowOff>
    </xdr:from>
    <xdr:to>
      <xdr:col>13</xdr:col>
      <xdr:colOff>226917</xdr:colOff>
      <xdr:row>128</xdr:row>
      <xdr:rowOff>201706</xdr:rowOff>
    </xdr:to>
    <xdr:sp macro="" textlink="">
      <xdr:nvSpPr>
        <xdr:cNvPr id="71" name="テキスト ボックス 70">
          <a:extLst>
            <a:ext uri="{FF2B5EF4-FFF2-40B4-BE49-F238E27FC236}">
              <a16:creationId xmlns:a16="http://schemas.microsoft.com/office/drawing/2014/main" id="{BEDA5664-3CB1-4F91-B40F-713E307B48DC}"/>
            </a:ext>
          </a:extLst>
        </xdr:cNvPr>
        <xdr:cNvSpPr txBox="1"/>
      </xdr:nvSpPr>
      <xdr:spPr>
        <a:xfrm>
          <a:off x="1231805" y="29058255"/>
          <a:ext cx="2081212" cy="67095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ja-JP" sz="1100">
              <a:solidFill>
                <a:srgbClr val="FF0000"/>
              </a:solidFill>
              <a:effectLst/>
              <a:latin typeface="+mn-lt"/>
              <a:ea typeface="+mn-ea"/>
              <a:cs typeface="+mn-cs"/>
            </a:rPr>
            <a:t>未作成分</a:t>
          </a:r>
          <a:r>
            <a:rPr kumimoji="1" lang="ja-JP" altLang="en-US" sz="1100"/>
            <a:t>だけ</a:t>
          </a:r>
          <a:endParaRPr kumimoji="1" lang="en-US" altLang="ja-JP" sz="1100"/>
        </a:p>
        <a:p>
          <a:pPr algn="ctr"/>
          <a:r>
            <a:rPr kumimoji="1" lang="ja-JP" altLang="en-US" sz="1100"/>
            <a:t>精積算情報作成</a:t>
          </a:r>
        </a:p>
      </xdr:txBody>
    </xdr:sp>
    <xdr:clientData/>
  </xdr:twoCellAnchor>
  <xdr:twoCellAnchor>
    <xdr:from>
      <xdr:col>9</xdr:col>
      <xdr:colOff>210461</xdr:colOff>
      <xdr:row>110</xdr:row>
      <xdr:rowOff>105057</xdr:rowOff>
    </xdr:from>
    <xdr:to>
      <xdr:col>9</xdr:col>
      <xdr:colOff>215010</xdr:colOff>
      <xdr:row>111</xdr:row>
      <xdr:rowOff>219917</xdr:rowOff>
    </xdr:to>
    <xdr:cxnSp macro="">
      <xdr:nvCxnSpPr>
        <xdr:cNvPr id="72" name="直線矢印コネクタ 71">
          <a:extLst>
            <a:ext uri="{FF2B5EF4-FFF2-40B4-BE49-F238E27FC236}">
              <a16:creationId xmlns:a16="http://schemas.microsoft.com/office/drawing/2014/main" id="{4F42168A-51DD-4830-A45F-C9CAA00A5A9A}"/>
            </a:ext>
          </a:extLst>
        </xdr:cNvPr>
        <xdr:cNvCxnSpPr>
          <a:stCxn id="158" idx="2"/>
          <a:endCxn id="69" idx="0"/>
        </xdr:cNvCxnSpPr>
      </xdr:nvCxnSpPr>
      <xdr:spPr>
        <a:xfrm>
          <a:off x="2267861" y="25346307"/>
          <a:ext cx="4549" cy="352985"/>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33618</xdr:colOff>
      <xdr:row>130</xdr:row>
      <xdr:rowOff>219918</xdr:rowOff>
    </xdr:from>
    <xdr:to>
      <xdr:col>15</xdr:col>
      <xdr:colOff>145677</xdr:colOff>
      <xdr:row>132</xdr:row>
      <xdr:rowOff>224119</xdr:rowOff>
    </xdr:to>
    <xdr:sp macro="" textlink="">
      <xdr:nvSpPr>
        <xdr:cNvPr id="73" name="テキスト ボックス 72">
          <a:extLst>
            <a:ext uri="{FF2B5EF4-FFF2-40B4-BE49-F238E27FC236}">
              <a16:creationId xmlns:a16="http://schemas.microsoft.com/office/drawing/2014/main" id="{67B82616-EF1D-47B3-8A1C-6B9F6B1C780B}"/>
            </a:ext>
          </a:extLst>
        </xdr:cNvPr>
        <xdr:cNvSpPr txBox="1"/>
      </xdr:nvSpPr>
      <xdr:spPr>
        <a:xfrm>
          <a:off x="805143" y="30223668"/>
          <a:ext cx="2940984" cy="48045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パラメータ</a:t>
          </a:r>
          <a:r>
            <a:rPr kumimoji="1" lang="en-US" altLang="ja-JP" sz="1100"/>
            <a:t>.</a:t>
          </a:r>
          <a:r>
            <a:rPr kumimoji="1" lang="ja-JP" altLang="en-US" sz="1100"/>
            <a:t>受注状態コード</a:t>
          </a:r>
          <a:r>
            <a:rPr kumimoji="1" lang="en-US" altLang="ja-JP" sz="1100"/>
            <a:t>=”2”</a:t>
          </a:r>
          <a:r>
            <a:rPr kumimoji="1" lang="ja-JP" altLang="en-US" sz="1100"/>
            <a:t>（成約）</a:t>
          </a:r>
          <a:r>
            <a:rPr kumimoji="1" lang="en-US" altLang="ja-JP" sz="1100"/>
            <a:t>?</a:t>
          </a:r>
          <a:endParaRPr kumimoji="1" lang="ja-JP" altLang="en-US" sz="1100"/>
        </a:p>
      </xdr:txBody>
    </xdr:sp>
    <xdr:clientData/>
  </xdr:twoCellAnchor>
  <xdr:twoCellAnchor>
    <xdr:from>
      <xdr:col>9</xdr:col>
      <xdr:colOff>210461</xdr:colOff>
      <xdr:row>120</xdr:row>
      <xdr:rowOff>205908</xdr:rowOff>
    </xdr:from>
    <xdr:to>
      <xdr:col>9</xdr:col>
      <xdr:colOff>212913</xdr:colOff>
      <xdr:row>122</xdr:row>
      <xdr:rowOff>100853</xdr:rowOff>
    </xdr:to>
    <xdr:cxnSp macro="">
      <xdr:nvCxnSpPr>
        <xdr:cNvPr id="74" name="直線矢印コネクタ 73">
          <a:extLst>
            <a:ext uri="{FF2B5EF4-FFF2-40B4-BE49-F238E27FC236}">
              <a16:creationId xmlns:a16="http://schemas.microsoft.com/office/drawing/2014/main" id="{F87ADDFA-AE95-487F-89C6-6E3D1DF23334}"/>
            </a:ext>
          </a:extLst>
        </xdr:cNvPr>
        <xdr:cNvCxnSpPr>
          <a:cxnSpLocks/>
          <a:stCxn id="159" idx="2"/>
          <a:endCxn id="161" idx="0"/>
        </xdr:cNvCxnSpPr>
      </xdr:nvCxnSpPr>
      <xdr:spPr>
        <a:xfrm flipH="1">
          <a:off x="2267861" y="27828408"/>
          <a:ext cx="2452" cy="371195"/>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218516</xdr:colOff>
      <xdr:row>123</xdr:row>
      <xdr:rowOff>41322</xdr:rowOff>
    </xdr:from>
    <xdr:to>
      <xdr:col>11</xdr:col>
      <xdr:colOff>39921</xdr:colOff>
      <xdr:row>130</xdr:row>
      <xdr:rowOff>219918</xdr:rowOff>
    </xdr:to>
    <xdr:cxnSp macro="">
      <xdr:nvCxnSpPr>
        <xdr:cNvPr id="75" name="コネクタ: カギ線 74">
          <a:extLst>
            <a:ext uri="{FF2B5EF4-FFF2-40B4-BE49-F238E27FC236}">
              <a16:creationId xmlns:a16="http://schemas.microsoft.com/office/drawing/2014/main" id="{3B2782D3-2065-49BB-AE60-01062C5FC0E6}"/>
            </a:ext>
          </a:extLst>
        </xdr:cNvPr>
        <xdr:cNvCxnSpPr>
          <a:stCxn id="161" idx="3"/>
          <a:endCxn id="73" idx="0"/>
        </xdr:cNvCxnSpPr>
      </xdr:nvCxnSpPr>
      <xdr:spPr>
        <a:xfrm flipH="1">
          <a:off x="2275916" y="28378197"/>
          <a:ext cx="335755" cy="1845471"/>
        </a:xfrm>
        <a:prstGeom prst="bentConnector4">
          <a:avLst>
            <a:gd name="adj1" fmla="val -423785"/>
            <a:gd name="adj2" fmla="val 8550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134470</xdr:colOff>
      <xdr:row>134</xdr:row>
      <xdr:rowOff>133068</xdr:rowOff>
    </xdr:from>
    <xdr:to>
      <xdr:col>11</xdr:col>
      <xdr:colOff>51126</xdr:colOff>
      <xdr:row>136</xdr:row>
      <xdr:rowOff>14006</xdr:rowOff>
    </xdr:to>
    <xdr:sp macro="" textlink="">
      <xdr:nvSpPr>
        <xdr:cNvPr id="76" name="フローチャート: 判断 75">
          <a:extLst>
            <a:ext uri="{FF2B5EF4-FFF2-40B4-BE49-F238E27FC236}">
              <a16:creationId xmlns:a16="http://schemas.microsoft.com/office/drawing/2014/main" id="{B1639C2B-CB84-4A8E-A8BA-5AABB512BE87}"/>
            </a:ext>
          </a:extLst>
        </xdr:cNvPr>
        <xdr:cNvSpPr/>
      </xdr:nvSpPr>
      <xdr:spPr>
        <a:xfrm>
          <a:off x="1934695" y="31089318"/>
          <a:ext cx="688181" cy="357188"/>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27316</xdr:colOff>
      <xdr:row>136</xdr:row>
      <xdr:rowOff>11205</xdr:rowOff>
    </xdr:from>
    <xdr:to>
      <xdr:col>7</xdr:col>
      <xdr:colOff>249330</xdr:colOff>
      <xdr:row>137</xdr:row>
      <xdr:rowOff>70736</xdr:rowOff>
    </xdr:to>
    <xdr:sp macro="" textlink="">
      <xdr:nvSpPr>
        <xdr:cNvPr id="77" name="テキスト ボックス 76">
          <a:extLst>
            <a:ext uri="{FF2B5EF4-FFF2-40B4-BE49-F238E27FC236}">
              <a16:creationId xmlns:a16="http://schemas.microsoft.com/office/drawing/2014/main" id="{45D11CC5-AC8E-419C-A437-40C0F7CBF369}"/>
            </a:ext>
          </a:extLst>
        </xdr:cNvPr>
        <xdr:cNvSpPr txBox="1"/>
      </xdr:nvSpPr>
      <xdr:spPr>
        <a:xfrm>
          <a:off x="1313191" y="31443705"/>
          <a:ext cx="479189"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clientData/>
  </xdr:twoCellAnchor>
  <xdr:twoCellAnchor>
    <xdr:from>
      <xdr:col>11</xdr:col>
      <xdr:colOff>172992</xdr:colOff>
      <xdr:row>135</xdr:row>
      <xdr:rowOff>190501</xdr:rowOff>
    </xdr:from>
    <xdr:to>
      <xdr:col>13</xdr:col>
      <xdr:colOff>137271</xdr:colOff>
      <xdr:row>137</xdr:row>
      <xdr:rowOff>14709</xdr:rowOff>
    </xdr:to>
    <xdr:sp macro="" textlink="">
      <xdr:nvSpPr>
        <xdr:cNvPr id="78" name="テキスト ボックス 77">
          <a:extLst>
            <a:ext uri="{FF2B5EF4-FFF2-40B4-BE49-F238E27FC236}">
              <a16:creationId xmlns:a16="http://schemas.microsoft.com/office/drawing/2014/main" id="{1BDE0985-FBD4-433B-9809-72BE708A4DE5}"/>
            </a:ext>
          </a:extLst>
        </xdr:cNvPr>
        <xdr:cNvSpPr txBox="1"/>
      </xdr:nvSpPr>
      <xdr:spPr>
        <a:xfrm>
          <a:off x="2744742" y="31384876"/>
          <a:ext cx="478629" cy="3004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clientData/>
  </xdr:twoCellAnchor>
  <xdr:twoCellAnchor>
    <xdr:from>
      <xdr:col>9</xdr:col>
      <xdr:colOff>218516</xdr:colOff>
      <xdr:row>132</xdr:row>
      <xdr:rowOff>224119</xdr:rowOff>
    </xdr:from>
    <xdr:to>
      <xdr:col>9</xdr:col>
      <xdr:colOff>221666</xdr:colOff>
      <xdr:row>134</xdr:row>
      <xdr:rowOff>133068</xdr:rowOff>
    </xdr:to>
    <xdr:cxnSp macro="">
      <xdr:nvCxnSpPr>
        <xdr:cNvPr id="79" name="直線矢印コネクタ 78">
          <a:extLst>
            <a:ext uri="{FF2B5EF4-FFF2-40B4-BE49-F238E27FC236}">
              <a16:creationId xmlns:a16="http://schemas.microsoft.com/office/drawing/2014/main" id="{72CA916B-9F46-4420-9459-B6864829BC57}"/>
            </a:ext>
          </a:extLst>
        </xdr:cNvPr>
        <xdr:cNvCxnSpPr>
          <a:stCxn id="73" idx="2"/>
          <a:endCxn id="76" idx="0"/>
        </xdr:cNvCxnSpPr>
      </xdr:nvCxnSpPr>
      <xdr:spPr>
        <a:xfrm>
          <a:off x="2275916" y="30704119"/>
          <a:ext cx="3150" cy="385199"/>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67235</xdr:colOff>
      <xdr:row>138</xdr:row>
      <xdr:rowOff>7006</xdr:rowOff>
    </xdr:from>
    <xdr:to>
      <xdr:col>19</xdr:col>
      <xdr:colOff>89647</xdr:colOff>
      <xdr:row>140</xdr:row>
      <xdr:rowOff>11207</xdr:rowOff>
    </xdr:to>
    <xdr:sp macro="" textlink="">
      <xdr:nvSpPr>
        <xdr:cNvPr id="80" name="テキスト ボックス 79">
          <a:extLst>
            <a:ext uri="{FF2B5EF4-FFF2-40B4-BE49-F238E27FC236}">
              <a16:creationId xmlns:a16="http://schemas.microsoft.com/office/drawing/2014/main" id="{80133521-4053-4E10-89E1-50B5F233D5C4}"/>
            </a:ext>
          </a:extLst>
        </xdr:cNvPr>
        <xdr:cNvSpPr txBox="1"/>
      </xdr:nvSpPr>
      <xdr:spPr>
        <a:xfrm>
          <a:off x="2381810" y="31915756"/>
          <a:ext cx="2336987" cy="48045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パラメータ．物件コードが空白</a:t>
          </a:r>
          <a:r>
            <a:rPr kumimoji="1" lang="en-US" altLang="ja-JP" sz="1100"/>
            <a:t>?</a:t>
          </a:r>
          <a:endParaRPr kumimoji="1" lang="ja-JP" altLang="en-US" sz="1100"/>
        </a:p>
      </xdr:txBody>
    </xdr:sp>
    <xdr:clientData/>
  </xdr:twoCellAnchor>
  <xdr:twoCellAnchor>
    <xdr:from>
      <xdr:col>13</xdr:col>
      <xdr:colOff>123265</xdr:colOff>
      <xdr:row>141</xdr:row>
      <xdr:rowOff>211509</xdr:rowOff>
    </xdr:from>
    <xdr:to>
      <xdr:col>16</xdr:col>
      <xdr:colOff>39922</xdr:colOff>
      <xdr:row>143</xdr:row>
      <xdr:rowOff>92447</xdr:rowOff>
    </xdr:to>
    <xdr:sp macro="" textlink="">
      <xdr:nvSpPr>
        <xdr:cNvPr id="81" name="フローチャート: 判断 80">
          <a:extLst>
            <a:ext uri="{FF2B5EF4-FFF2-40B4-BE49-F238E27FC236}">
              <a16:creationId xmlns:a16="http://schemas.microsoft.com/office/drawing/2014/main" id="{A8B5FA75-83C5-40A6-80CE-3E6BCE97B266}"/>
            </a:ext>
          </a:extLst>
        </xdr:cNvPr>
        <xdr:cNvSpPr/>
      </xdr:nvSpPr>
      <xdr:spPr>
        <a:xfrm>
          <a:off x="3209365" y="32834634"/>
          <a:ext cx="688182" cy="357188"/>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51126</xdr:colOff>
      <xdr:row>135</xdr:row>
      <xdr:rowOff>73537</xdr:rowOff>
    </xdr:from>
    <xdr:to>
      <xdr:col>14</xdr:col>
      <xdr:colOff>207309</xdr:colOff>
      <xdr:row>138</xdr:row>
      <xdr:rowOff>7006</xdr:rowOff>
    </xdr:to>
    <xdr:cxnSp macro="">
      <xdr:nvCxnSpPr>
        <xdr:cNvPr id="82" name="コネクタ: カギ線 81">
          <a:extLst>
            <a:ext uri="{FF2B5EF4-FFF2-40B4-BE49-F238E27FC236}">
              <a16:creationId xmlns:a16="http://schemas.microsoft.com/office/drawing/2014/main" id="{03EF85D8-71BA-479E-AC97-C4E48D170F15}"/>
            </a:ext>
          </a:extLst>
        </xdr:cNvPr>
        <xdr:cNvCxnSpPr>
          <a:stCxn id="76" idx="3"/>
          <a:endCxn id="80" idx="0"/>
        </xdr:cNvCxnSpPr>
      </xdr:nvCxnSpPr>
      <xdr:spPr>
        <a:xfrm>
          <a:off x="2622876" y="31267912"/>
          <a:ext cx="927708" cy="647844"/>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252132</xdr:colOff>
      <xdr:row>140</xdr:row>
      <xdr:rowOff>22413</xdr:rowOff>
    </xdr:from>
    <xdr:to>
      <xdr:col>14</xdr:col>
      <xdr:colOff>255284</xdr:colOff>
      <xdr:row>141</xdr:row>
      <xdr:rowOff>222715</xdr:rowOff>
    </xdr:to>
    <xdr:cxnSp macro="">
      <xdr:nvCxnSpPr>
        <xdr:cNvPr id="83" name="直線矢印コネクタ 82">
          <a:extLst>
            <a:ext uri="{FF2B5EF4-FFF2-40B4-BE49-F238E27FC236}">
              <a16:creationId xmlns:a16="http://schemas.microsoft.com/office/drawing/2014/main" id="{552B22F8-1E77-45A3-970F-D2B510005153}"/>
            </a:ext>
          </a:extLst>
        </xdr:cNvPr>
        <xdr:cNvCxnSpPr/>
      </xdr:nvCxnSpPr>
      <xdr:spPr>
        <a:xfrm>
          <a:off x="3595407" y="32407413"/>
          <a:ext cx="3152" cy="438427"/>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135868</xdr:colOff>
      <xdr:row>145</xdr:row>
      <xdr:rowOff>40622</xdr:rowOff>
    </xdr:from>
    <xdr:to>
      <xdr:col>24</xdr:col>
      <xdr:colOff>44823</xdr:colOff>
      <xdr:row>148</xdr:row>
      <xdr:rowOff>56029</xdr:rowOff>
    </xdr:to>
    <xdr:sp macro="" textlink="">
      <xdr:nvSpPr>
        <xdr:cNvPr id="84" name="テキスト ボックス 83">
          <a:extLst>
            <a:ext uri="{FF2B5EF4-FFF2-40B4-BE49-F238E27FC236}">
              <a16:creationId xmlns:a16="http://schemas.microsoft.com/office/drawing/2014/main" id="{47572DB0-3921-4864-B2E8-1DDFEAA552E6}"/>
            </a:ext>
          </a:extLst>
        </xdr:cNvPr>
        <xdr:cNvSpPr txBox="1"/>
      </xdr:nvSpPr>
      <xdr:spPr>
        <a:xfrm>
          <a:off x="3736318" y="33616247"/>
          <a:ext cx="2223530" cy="72978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９</a:t>
          </a:r>
          <a:r>
            <a:rPr kumimoji="1" lang="en-US" altLang="ja-JP" sz="1100"/>
            <a:t>-</a:t>
          </a:r>
          <a:r>
            <a:rPr kumimoji="1" lang="ja-JP" altLang="en-US" sz="1100"/>
            <a:t>２．物件情報にデータを作成</a:t>
          </a:r>
          <a:endParaRPr kumimoji="1" lang="en-US" altLang="ja-JP" sz="1100"/>
        </a:p>
        <a:p>
          <a:pPr algn="ctr"/>
          <a:r>
            <a:rPr kumimoji="1" lang="ja-JP" altLang="en-US" sz="1100"/>
            <a:t>登録した物件</a:t>
          </a:r>
          <a:r>
            <a:rPr kumimoji="1" lang="en-US" altLang="ja-JP" sz="1100"/>
            <a:t>ID</a:t>
          </a:r>
          <a:r>
            <a:rPr kumimoji="1" lang="ja-JP" altLang="en-US" sz="1100"/>
            <a:t>を保持</a:t>
          </a:r>
        </a:p>
      </xdr:txBody>
    </xdr:sp>
    <xdr:clientData/>
  </xdr:twoCellAnchor>
  <xdr:twoCellAnchor>
    <xdr:from>
      <xdr:col>16</xdr:col>
      <xdr:colOff>39922</xdr:colOff>
      <xdr:row>142</xdr:row>
      <xdr:rowOff>151979</xdr:rowOff>
    </xdr:from>
    <xdr:to>
      <xdr:col>19</xdr:col>
      <xdr:colOff>219214</xdr:colOff>
      <xdr:row>145</xdr:row>
      <xdr:rowOff>40622</xdr:rowOff>
    </xdr:to>
    <xdr:cxnSp macro="">
      <xdr:nvCxnSpPr>
        <xdr:cNvPr id="85" name="コネクタ: カギ線 84">
          <a:extLst>
            <a:ext uri="{FF2B5EF4-FFF2-40B4-BE49-F238E27FC236}">
              <a16:creationId xmlns:a16="http://schemas.microsoft.com/office/drawing/2014/main" id="{8D21B1FE-7A9A-4AF4-B98B-BF63737B3662}"/>
            </a:ext>
          </a:extLst>
        </xdr:cNvPr>
        <xdr:cNvCxnSpPr>
          <a:stCxn id="81" idx="3"/>
          <a:endCxn id="84" idx="0"/>
        </xdr:cNvCxnSpPr>
      </xdr:nvCxnSpPr>
      <xdr:spPr>
        <a:xfrm>
          <a:off x="3897547" y="33013229"/>
          <a:ext cx="950817" cy="603018"/>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150580</xdr:colOff>
      <xdr:row>143</xdr:row>
      <xdr:rowOff>11207</xdr:rowOff>
    </xdr:from>
    <xdr:to>
      <xdr:col>18</xdr:col>
      <xdr:colOff>114859</xdr:colOff>
      <xdr:row>144</xdr:row>
      <xdr:rowOff>70739</xdr:rowOff>
    </xdr:to>
    <xdr:sp macro="" textlink="">
      <xdr:nvSpPr>
        <xdr:cNvPr id="86" name="テキスト ボックス 85">
          <a:extLst>
            <a:ext uri="{FF2B5EF4-FFF2-40B4-BE49-F238E27FC236}">
              <a16:creationId xmlns:a16="http://schemas.microsoft.com/office/drawing/2014/main" id="{D581C423-4108-4316-BA2B-F8625711C05D}"/>
            </a:ext>
          </a:extLst>
        </xdr:cNvPr>
        <xdr:cNvSpPr txBox="1"/>
      </xdr:nvSpPr>
      <xdr:spPr>
        <a:xfrm>
          <a:off x="4008205" y="33110582"/>
          <a:ext cx="478629" cy="2976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clientData/>
  </xdr:twoCellAnchor>
  <xdr:twoCellAnchor>
    <xdr:from>
      <xdr:col>21</xdr:col>
      <xdr:colOff>179296</xdr:colOff>
      <xdr:row>141</xdr:row>
      <xdr:rowOff>190500</xdr:rowOff>
    </xdr:from>
    <xdr:to>
      <xdr:col>30</xdr:col>
      <xdr:colOff>89648</xdr:colOff>
      <xdr:row>144</xdr:row>
      <xdr:rowOff>145677</xdr:rowOff>
    </xdr:to>
    <xdr:sp macro="" textlink="">
      <xdr:nvSpPr>
        <xdr:cNvPr id="87" name="吹き出し: 角を丸めた四角形 86">
          <a:extLst>
            <a:ext uri="{FF2B5EF4-FFF2-40B4-BE49-F238E27FC236}">
              <a16:creationId xmlns:a16="http://schemas.microsoft.com/office/drawing/2014/main" id="{ED72C61B-B3CF-4761-B2D2-7654FE554EAF}"/>
            </a:ext>
          </a:extLst>
        </xdr:cNvPr>
        <xdr:cNvSpPr/>
      </xdr:nvSpPr>
      <xdr:spPr>
        <a:xfrm>
          <a:off x="5322796" y="32813625"/>
          <a:ext cx="2224927" cy="669552"/>
        </a:xfrm>
        <a:prstGeom prst="wedgeRoundRectCallout">
          <a:avLst>
            <a:gd name="adj1" fmla="val -33567"/>
            <a:gd name="adj2" fmla="val 63735"/>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初めて成約になったタイミングなら空白になっている</a:t>
          </a:r>
        </a:p>
      </xdr:txBody>
    </xdr:sp>
    <xdr:clientData/>
  </xdr:twoCellAnchor>
  <xdr:twoCellAnchor>
    <xdr:from>
      <xdr:col>5</xdr:col>
      <xdr:colOff>145677</xdr:colOff>
      <xdr:row>145</xdr:row>
      <xdr:rowOff>63033</xdr:rowOff>
    </xdr:from>
    <xdr:to>
      <xdr:col>13</xdr:col>
      <xdr:colOff>235323</xdr:colOff>
      <xdr:row>148</xdr:row>
      <xdr:rowOff>22411</xdr:rowOff>
    </xdr:to>
    <xdr:sp macro="" textlink="">
      <xdr:nvSpPr>
        <xdr:cNvPr id="88" name="テキスト ボックス 87">
          <a:extLst>
            <a:ext uri="{FF2B5EF4-FFF2-40B4-BE49-F238E27FC236}">
              <a16:creationId xmlns:a16="http://schemas.microsoft.com/office/drawing/2014/main" id="{00B46C97-051A-4AA8-84D7-50923294502F}"/>
            </a:ext>
          </a:extLst>
        </xdr:cNvPr>
        <xdr:cNvSpPr txBox="1"/>
      </xdr:nvSpPr>
      <xdr:spPr>
        <a:xfrm>
          <a:off x="1174377" y="33638658"/>
          <a:ext cx="2147046" cy="67375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１０．</a:t>
          </a:r>
          <a:r>
            <a:rPr kumimoji="1" lang="ja-JP" altLang="ja-JP" sz="1100">
              <a:solidFill>
                <a:schemeClr val="dk1"/>
              </a:solidFill>
              <a:effectLst/>
              <a:latin typeface="+mn-lt"/>
              <a:ea typeface="+mn-ea"/>
              <a:cs typeface="+mn-cs"/>
            </a:rPr>
            <a:t>パラメータ</a:t>
          </a:r>
          <a:r>
            <a:rPr kumimoji="1" lang="en-US" altLang="ja-JP" sz="1100">
              <a:solidFill>
                <a:schemeClr val="dk1"/>
              </a:solidFill>
              <a:effectLst/>
              <a:latin typeface="+mn-lt"/>
              <a:ea typeface="+mn-ea"/>
              <a:cs typeface="+mn-cs"/>
            </a:rPr>
            <a:t>.</a:t>
          </a:r>
          <a:r>
            <a:rPr kumimoji="1" lang="ja-JP" altLang="en-US" sz="1100"/>
            <a:t>物件コードから物件</a:t>
          </a:r>
          <a:r>
            <a:rPr kumimoji="1" lang="en-US" altLang="ja-JP" sz="1100"/>
            <a:t>ID</a:t>
          </a:r>
          <a:r>
            <a:rPr kumimoji="1" lang="ja-JP" altLang="en-US" sz="1100"/>
            <a:t>を取得</a:t>
          </a:r>
        </a:p>
      </xdr:txBody>
    </xdr:sp>
    <xdr:clientData/>
  </xdr:twoCellAnchor>
  <xdr:twoCellAnchor>
    <xdr:from>
      <xdr:col>9</xdr:col>
      <xdr:colOff>190501</xdr:colOff>
      <xdr:row>142</xdr:row>
      <xdr:rowOff>151978</xdr:rowOff>
    </xdr:from>
    <xdr:to>
      <xdr:col>13</xdr:col>
      <xdr:colOff>123265</xdr:colOff>
      <xdr:row>145</xdr:row>
      <xdr:rowOff>63032</xdr:rowOff>
    </xdr:to>
    <xdr:cxnSp macro="">
      <xdr:nvCxnSpPr>
        <xdr:cNvPr id="89" name="コネクタ: カギ線 88">
          <a:extLst>
            <a:ext uri="{FF2B5EF4-FFF2-40B4-BE49-F238E27FC236}">
              <a16:creationId xmlns:a16="http://schemas.microsoft.com/office/drawing/2014/main" id="{EF54237E-979D-4DB9-B130-C3FE522F418B}"/>
            </a:ext>
          </a:extLst>
        </xdr:cNvPr>
        <xdr:cNvCxnSpPr>
          <a:stCxn id="81" idx="1"/>
          <a:endCxn id="88" idx="0"/>
        </xdr:cNvCxnSpPr>
      </xdr:nvCxnSpPr>
      <xdr:spPr>
        <a:xfrm rot="10800000" flipV="1">
          <a:off x="2247901" y="33013228"/>
          <a:ext cx="961464" cy="625429"/>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172992</xdr:colOff>
      <xdr:row>142</xdr:row>
      <xdr:rowOff>224117</xdr:rowOff>
    </xdr:from>
    <xdr:to>
      <xdr:col>12</xdr:col>
      <xdr:colOff>137272</xdr:colOff>
      <xdr:row>144</xdr:row>
      <xdr:rowOff>48325</xdr:rowOff>
    </xdr:to>
    <xdr:sp macro="" textlink="">
      <xdr:nvSpPr>
        <xdr:cNvPr id="90" name="テキスト ボックス 89">
          <a:extLst>
            <a:ext uri="{FF2B5EF4-FFF2-40B4-BE49-F238E27FC236}">
              <a16:creationId xmlns:a16="http://schemas.microsoft.com/office/drawing/2014/main" id="{0E5229DD-3315-4713-95AC-40D0CFE57266}"/>
            </a:ext>
          </a:extLst>
        </xdr:cNvPr>
        <xdr:cNvSpPr txBox="1"/>
      </xdr:nvSpPr>
      <xdr:spPr>
        <a:xfrm>
          <a:off x="2487567" y="33085367"/>
          <a:ext cx="478630" cy="3004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clientData/>
  </xdr:twoCellAnchor>
  <xdr:twoCellAnchor>
    <xdr:from>
      <xdr:col>2</xdr:col>
      <xdr:colOff>134472</xdr:colOff>
      <xdr:row>138</xdr:row>
      <xdr:rowOff>67235</xdr:rowOff>
    </xdr:from>
    <xdr:to>
      <xdr:col>9</xdr:col>
      <xdr:colOff>44825</xdr:colOff>
      <xdr:row>141</xdr:row>
      <xdr:rowOff>102954</xdr:rowOff>
    </xdr:to>
    <xdr:sp macro="" textlink="">
      <xdr:nvSpPr>
        <xdr:cNvPr id="91" name="テキスト ボックス 90">
          <a:extLst>
            <a:ext uri="{FF2B5EF4-FFF2-40B4-BE49-F238E27FC236}">
              <a16:creationId xmlns:a16="http://schemas.microsoft.com/office/drawing/2014/main" id="{6CEFD41D-138E-4A93-ABB5-AB1D0C74F931}"/>
            </a:ext>
          </a:extLst>
        </xdr:cNvPr>
        <xdr:cNvSpPr txBox="1"/>
      </xdr:nvSpPr>
      <xdr:spPr>
        <a:xfrm>
          <a:off x="391647" y="31975985"/>
          <a:ext cx="1710578" cy="75009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ステータス＝</a:t>
          </a:r>
          <a:r>
            <a:rPr kumimoji="1" lang="en-US" altLang="ja-JP" sz="1100"/>
            <a:t>200</a:t>
          </a:r>
        </a:p>
        <a:p>
          <a:pPr algn="ctr"/>
          <a:r>
            <a:rPr kumimoji="1" lang="ja-JP" altLang="en-US" sz="1100"/>
            <a:t>メッセージ</a:t>
          </a:r>
          <a:r>
            <a:rPr kumimoji="1" lang="en-US" altLang="ja-JP" sz="1100"/>
            <a:t>ID=I00001</a:t>
          </a:r>
          <a:endParaRPr kumimoji="1" lang="ja-JP" altLang="en-US" sz="1100"/>
        </a:p>
      </xdr:txBody>
    </xdr:sp>
    <xdr:clientData/>
  </xdr:twoCellAnchor>
  <xdr:twoCellAnchor>
    <xdr:from>
      <xdr:col>5</xdr:col>
      <xdr:colOff>86011</xdr:colOff>
      <xdr:row>142</xdr:row>
      <xdr:rowOff>138672</xdr:rowOff>
    </xdr:from>
    <xdr:to>
      <xdr:col>6</xdr:col>
      <xdr:colOff>100854</xdr:colOff>
      <xdr:row>143</xdr:row>
      <xdr:rowOff>156882</xdr:rowOff>
    </xdr:to>
    <xdr:grpSp>
      <xdr:nvGrpSpPr>
        <xdr:cNvPr id="92" name="グループ化 91">
          <a:extLst>
            <a:ext uri="{FF2B5EF4-FFF2-40B4-BE49-F238E27FC236}">
              <a16:creationId xmlns:a16="http://schemas.microsoft.com/office/drawing/2014/main" id="{212595EE-21CE-4766-84CF-F902DAC6E9A2}"/>
            </a:ext>
          </a:extLst>
        </xdr:cNvPr>
        <xdr:cNvGrpSpPr/>
      </xdr:nvGrpSpPr>
      <xdr:grpSpPr>
        <a:xfrm>
          <a:off x="1374687" y="33554613"/>
          <a:ext cx="272579" cy="253534"/>
          <a:chOff x="4909342" y="11870530"/>
          <a:chExt cx="230188" cy="226219"/>
        </a:xfrm>
      </xdr:grpSpPr>
      <xdr:sp macro="" textlink="">
        <xdr:nvSpPr>
          <xdr:cNvPr id="93" name="フローチャート: 結合子 92">
            <a:extLst>
              <a:ext uri="{FF2B5EF4-FFF2-40B4-BE49-F238E27FC236}">
                <a16:creationId xmlns:a16="http://schemas.microsoft.com/office/drawing/2014/main" id="{0C7489ED-1262-E23A-F5EC-79B44E5FF401}"/>
              </a:ext>
            </a:extLst>
          </xdr:cNvPr>
          <xdr:cNvSpPr/>
        </xdr:nvSpPr>
        <xdr:spPr>
          <a:xfrm>
            <a:off x="4909342" y="11870530"/>
            <a:ext cx="230188" cy="226219"/>
          </a:xfrm>
          <a:prstGeom prst="flowChartConnector">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フローチャート: 結合子 93">
            <a:extLst>
              <a:ext uri="{FF2B5EF4-FFF2-40B4-BE49-F238E27FC236}">
                <a16:creationId xmlns:a16="http://schemas.microsoft.com/office/drawing/2014/main" id="{ADA1E4A7-2451-18EB-8CF2-4389FFE23337}"/>
              </a:ext>
            </a:extLst>
          </xdr:cNvPr>
          <xdr:cNvSpPr/>
        </xdr:nvSpPr>
        <xdr:spPr>
          <a:xfrm>
            <a:off x="4968875" y="11922125"/>
            <a:ext cx="111125" cy="115093"/>
          </a:xfrm>
          <a:prstGeom prst="flowChartConnector">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218516</xdr:colOff>
      <xdr:row>135</xdr:row>
      <xdr:rowOff>73537</xdr:rowOff>
    </xdr:from>
    <xdr:to>
      <xdr:col>8</xdr:col>
      <xdr:colOff>134470</xdr:colOff>
      <xdr:row>138</xdr:row>
      <xdr:rowOff>67235</xdr:rowOff>
    </xdr:to>
    <xdr:cxnSp macro="">
      <xdr:nvCxnSpPr>
        <xdr:cNvPr id="95" name="コネクタ: カギ線 94">
          <a:extLst>
            <a:ext uri="{FF2B5EF4-FFF2-40B4-BE49-F238E27FC236}">
              <a16:creationId xmlns:a16="http://schemas.microsoft.com/office/drawing/2014/main" id="{CB4251B0-AE76-49C0-B15F-A767874C4FDD}"/>
            </a:ext>
          </a:extLst>
        </xdr:cNvPr>
        <xdr:cNvCxnSpPr>
          <a:stCxn id="76" idx="1"/>
          <a:endCxn id="91" idx="0"/>
        </xdr:cNvCxnSpPr>
      </xdr:nvCxnSpPr>
      <xdr:spPr>
        <a:xfrm rot="10800000" flipV="1">
          <a:off x="1247216" y="31267912"/>
          <a:ext cx="687479" cy="708073"/>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218516</xdr:colOff>
      <xdr:row>141</xdr:row>
      <xdr:rowOff>102954</xdr:rowOff>
    </xdr:from>
    <xdr:to>
      <xdr:col>5</xdr:col>
      <xdr:colOff>222300</xdr:colOff>
      <xdr:row>142</xdr:row>
      <xdr:rowOff>138672</xdr:rowOff>
    </xdr:to>
    <xdr:cxnSp macro="">
      <xdr:nvCxnSpPr>
        <xdr:cNvPr id="96" name="直線矢印コネクタ 95">
          <a:extLst>
            <a:ext uri="{FF2B5EF4-FFF2-40B4-BE49-F238E27FC236}">
              <a16:creationId xmlns:a16="http://schemas.microsoft.com/office/drawing/2014/main" id="{F3A1B267-E0FA-4AC4-BEB8-7D8DAC468FEC}"/>
            </a:ext>
          </a:extLst>
        </xdr:cNvPr>
        <xdr:cNvCxnSpPr>
          <a:stCxn id="91" idx="2"/>
          <a:endCxn id="93" idx="0"/>
        </xdr:cNvCxnSpPr>
      </xdr:nvCxnSpPr>
      <xdr:spPr>
        <a:xfrm>
          <a:off x="1247216" y="32726079"/>
          <a:ext cx="3784" cy="273843"/>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100853</xdr:colOff>
      <xdr:row>149</xdr:row>
      <xdr:rowOff>88244</xdr:rowOff>
    </xdr:from>
    <xdr:to>
      <xdr:col>11</xdr:col>
      <xdr:colOff>17509</xdr:colOff>
      <xdr:row>150</xdr:row>
      <xdr:rowOff>204505</xdr:rowOff>
    </xdr:to>
    <xdr:sp macro="" textlink="">
      <xdr:nvSpPr>
        <xdr:cNvPr id="97" name="フローチャート: 判断 96">
          <a:extLst>
            <a:ext uri="{FF2B5EF4-FFF2-40B4-BE49-F238E27FC236}">
              <a16:creationId xmlns:a16="http://schemas.microsoft.com/office/drawing/2014/main" id="{CBFD4748-B2D8-497C-AFE2-B820EBC4CE37}"/>
            </a:ext>
          </a:extLst>
        </xdr:cNvPr>
        <xdr:cNvSpPr/>
      </xdr:nvSpPr>
      <xdr:spPr>
        <a:xfrm>
          <a:off x="1901078" y="34616369"/>
          <a:ext cx="688181" cy="354386"/>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188049</xdr:colOff>
      <xdr:row>148</xdr:row>
      <xdr:rowOff>22411</xdr:rowOff>
    </xdr:from>
    <xdr:to>
      <xdr:col>9</xdr:col>
      <xdr:colOff>190501</xdr:colOff>
      <xdr:row>149</xdr:row>
      <xdr:rowOff>88244</xdr:rowOff>
    </xdr:to>
    <xdr:cxnSp macro="">
      <xdr:nvCxnSpPr>
        <xdr:cNvPr id="98" name="直線矢印コネクタ 97">
          <a:extLst>
            <a:ext uri="{FF2B5EF4-FFF2-40B4-BE49-F238E27FC236}">
              <a16:creationId xmlns:a16="http://schemas.microsoft.com/office/drawing/2014/main" id="{2242220E-340A-458B-AA68-BF41A1BD9705}"/>
            </a:ext>
          </a:extLst>
        </xdr:cNvPr>
        <xdr:cNvCxnSpPr>
          <a:stCxn id="88" idx="2"/>
          <a:endCxn id="97" idx="0"/>
        </xdr:cNvCxnSpPr>
      </xdr:nvCxnSpPr>
      <xdr:spPr>
        <a:xfrm flipH="1">
          <a:off x="2245449" y="34312411"/>
          <a:ext cx="2452" cy="303958"/>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105758</xdr:colOff>
      <xdr:row>150</xdr:row>
      <xdr:rowOff>100852</xdr:rowOff>
    </xdr:from>
    <xdr:to>
      <xdr:col>14</xdr:col>
      <xdr:colOff>70037</xdr:colOff>
      <xdr:row>151</xdr:row>
      <xdr:rowOff>160384</xdr:rowOff>
    </xdr:to>
    <xdr:sp macro="" textlink="">
      <xdr:nvSpPr>
        <xdr:cNvPr id="99" name="テキスト ボックス 98">
          <a:extLst>
            <a:ext uri="{FF2B5EF4-FFF2-40B4-BE49-F238E27FC236}">
              <a16:creationId xmlns:a16="http://schemas.microsoft.com/office/drawing/2014/main" id="{62C39C69-1A8C-477B-A20D-F8A367CB3685}"/>
            </a:ext>
          </a:extLst>
        </xdr:cNvPr>
        <xdr:cNvSpPr txBox="1"/>
      </xdr:nvSpPr>
      <xdr:spPr>
        <a:xfrm>
          <a:off x="2934683" y="34867102"/>
          <a:ext cx="478629" cy="2976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a:t>
          </a:r>
          <a:r>
            <a:rPr kumimoji="1" lang="ja-JP" altLang="en-US" sz="1100"/>
            <a:t>件</a:t>
          </a:r>
        </a:p>
      </xdr:txBody>
    </xdr:sp>
    <xdr:clientData/>
  </xdr:twoCellAnchor>
  <xdr:twoCellAnchor>
    <xdr:from>
      <xdr:col>6</xdr:col>
      <xdr:colOff>16110</xdr:colOff>
      <xdr:row>150</xdr:row>
      <xdr:rowOff>156881</xdr:rowOff>
    </xdr:from>
    <xdr:to>
      <xdr:col>7</xdr:col>
      <xdr:colOff>238124</xdr:colOff>
      <xdr:row>151</xdr:row>
      <xdr:rowOff>216413</xdr:rowOff>
    </xdr:to>
    <xdr:sp macro="" textlink="">
      <xdr:nvSpPr>
        <xdr:cNvPr id="100" name="テキスト ボックス 99">
          <a:extLst>
            <a:ext uri="{FF2B5EF4-FFF2-40B4-BE49-F238E27FC236}">
              <a16:creationId xmlns:a16="http://schemas.microsoft.com/office/drawing/2014/main" id="{8DFCA4FF-972D-4C3D-BF0A-1CE046009D95}"/>
            </a:ext>
          </a:extLst>
        </xdr:cNvPr>
        <xdr:cNvSpPr txBox="1"/>
      </xdr:nvSpPr>
      <xdr:spPr>
        <a:xfrm>
          <a:off x="1301985" y="34923131"/>
          <a:ext cx="479189" cy="2976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0</a:t>
          </a:r>
          <a:r>
            <a:rPr kumimoji="1" lang="ja-JP" altLang="en-US" sz="1100"/>
            <a:t>件</a:t>
          </a:r>
        </a:p>
      </xdr:txBody>
    </xdr:sp>
    <xdr:clientData/>
  </xdr:twoCellAnchor>
  <xdr:twoCellAnchor>
    <xdr:from>
      <xdr:col>9</xdr:col>
      <xdr:colOff>229024</xdr:colOff>
      <xdr:row>151</xdr:row>
      <xdr:rowOff>156881</xdr:rowOff>
    </xdr:from>
    <xdr:to>
      <xdr:col>11</xdr:col>
      <xdr:colOff>193303</xdr:colOff>
      <xdr:row>152</xdr:row>
      <xdr:rowOff>216412</xdr:rowOff>
    </xdr:to>
    <xdr:sp macro="" textlink="">
      <xdr:nvSpPr>
        <xdr:cNvPr id="101" name="テキスト ボックス 100">
          <a:extLst>
            <a:ext uri="{FF2B5EF4-FFF2-40B4-BE49-F238E27FC236}">
              <a16:creationId xmlns:a16="http://schemas.microsoft.com/office/drawing/2014/main" id="{3A6A323B-C0D2-4342-A80B-E5ECDC040FF0}"/>
            </a:ext>
          </a:extLst>
        </xdr:cNvPr>
        <xdr:cNvSpPr txBox="1"/>
      </xdr:nvSpPr>
      <xdr:spPr>
        <a:xfrm>
          <a:off x="2286424" y="35161256"/>
          <a:ext cx="478629"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&gt;1</a:t>
          </a:r>
          <a:r>
            <a:rPr kumimoji="1" lang="ja-JP" altLang="en-US" sz="1100"/>
            <a:t>件</a:t>
          </a:r>
        </a:p>
      </xdr:txBody>
    </xdr:sp>
    <xdr:clientData/>
  </xdr:twoCellAnchor>
  <xdr:twoCellAnchor>
    <xdr:from>
      <xdr:col>0</xdr:col>
      <xdr:colOff>89647</xdr:colOff>
      <xdr:row>152</xdr:row>
      <xdr:rowOff>156883</xdr:rowOff>
    </xdr:from>
    <xdr:to>
      <xdr:col>9</xdr:col>
      <xdr:colOff>22411</xdr:colOff>
      <xdr:row>158</xdr:row>
      <xdr:rowOff>89647</xdr:rowOff>
    </xdr:to>
    <xdr:sp macro="" textlink="">
      <xdr:nvSpPr>
        <xdr:cNvPr id="102" name="テキスト ボックス 101">
          <a:extLst>
            <a:ext uri="{FF2B5EF4-FFF2-40B4-BE49-F238E27FC236}">
              <a16:creationId xmlns:a16="http://schemas.microsoft.com/office/drawing/2014/main" id="{5DA2A737-6BF6-48DD-99AE-2A2D8114124E}"/>
            </a:ext>
          </a:extLst>
        </xdr:cNvPr>
        <xdr:cNvSpPr txBox="1"/>
      </xdr:nvSpPr>
      <xdr:spPr>
        <a:xfrm>
          <a:off x="89647" y="34984765"/>
          <a:ext cx="2252382" cy="134470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ステータス＝</a:t>
          </a:r>
          <a:r>
            <a:rPr kumimoji="1" lang="en-US" altLang="ja-JP" sz="1100"/>
            <a:t>201</a:t>
          </a:r>
        </a:p>
        <a:p>
          <a:pPr algn="ctr"/>
          <a:r>
            <a:rPr kumimoji="1" lang="ja-JP" altLang="en-US" sz="1100"/>
            <a:t>メッセージ</a:t>
          </a:r>
          <a:r>
            <a:rPr kumimoji="1" lang="en-US" altLang="ja-JP" sz="1100"/>
            <a:t>ID=</a:t>
          </a:r>
          <a:r>
            <a:rPr kumimoji="1" lang="en-US" altLang="ja-JP" sz="1100">
              <a:solidFill>
                <a:srgbClr val="FF0000"/>
              </a:solidFill>
            </a:rPr>
            <a:t>E00027</a:t>
          </a:r>
        </a:p>
        <a:p>
          <a:pPr algn="ctr"/>
          <a:r>
            <a:rPr kumimoji="1" lang="en-US" altLang="ja-JP" sz="1100">
              <a:solidFill>
                <a:sysClr val="windowText" lastClr="000000"/>
              </a:solidFill>
            </a:rPr>
            <a:t>{0}</a:t>
          </a:r>
          <a:r>
            <a:rPr kumimoji="1" lang="ja-JP" altLang="en-US" sz="1100">
              <a:solidFill>
                <a:sysClr val="windowText" lastClr="000000"/>
              </a:solidFill>
            </a:rPr>
            <a:t>：物件情報</a:t>
          </a:r>
          <a:endParaRPr kumimoji="1" lang="en-US" altLang="ja-JP" sz="1100">
            <a:solidFill>
              <a:sysClr val="windowText" lastClr="000000"/>
            </a:solidFill>
          </a:endParaRPr>
        </a:p>
        <a:p>
          <a:pPr algn="ctr"/>
          <a:r>
            <a:rPr kumimoji="1" lang="en-US" altLang="ja-JP" sz="1100">
              <a:solidFill>
                <a:sysClr val="windowText" lastClr="000000"/>
              </a:solidFill>
            </a:rPr>
            <a:t>{1}</a:t>
          </a:r>
          <a:r>
            <a:rPr kumimoji="1" lang="ja-JP" altLang="en-US" sz="1100">
              <a:solidFill>
                <a:sysClr val="windowText" lastClr="000000"/>
              </a:solidFill>
            </a:rPr>
            <a:t>：物件コード＝</a:t>
          </a:r>
          <a:r>
            <a:rPr kumimoji="1" lang="en-US" altLang="ja-JP" sz="1100">
              <a:solidFill>
                <a:sysClr val="windowText" lastClr="000000"/>
              </a:solidFill>
            </a:rPr>
            <a:t>[</a:t>
          </a:r>
          <a:r>
            <a:rPr kumimoji="1" lang="ja-JP" altLang="en-US" sz="1100">
              <a:solidFill>
                <a:sysClr val="windowText" lastClr="000000"/>
              </a:solidFill>
            </a:rPr>
            <a:t>パラメータ</a:t>
          </a:r>
          <a:r>
            <a:rPr kumimoji="1" lang="en-US" altLang="ja-JP" sz="1100">
              <a:solidFill>
                <a:sysClr val="windowText" lastClr="000000"/>
              </a:solidFill>
            </a:rPr>
            <a:t>.</a:t>
          </a:r>
        </a:p>
        <a:p>
          <a:pPr algn="ctr"/>
          <a:r>
            <a:rPr kumimoji="1" lang="ja-JP" altLang="en-US" sz="1100">
              <a:solidFill>
                <a:sysClr val="windowText" lastClr="000000"/>
              </a:solidFill>
            </a:rPr>
            <a:t>物件コード</a:t>
          </a: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xdr:from>
      <xdr:col>4</xdr:col>
      <xdr:colOff>184898</xdr:colOff>
      <xdr:row>150</xdr:row>
      <xdr:rowOff>28712</xdr:rowOff>
    </xdr:from>
    <xdr:to>
      <xdr:col>8</xdr:col>
      <xdr:colOff>100854</xdr:colOff>
      <xdr:row>152</xdr:row>
      <xdr:rowOff>156882</xdr:rowOff>
    </xdr:to>
    <xdr:cxnSp macro="">
      <xdr:nvCxnSpPr>
        <xdr:cNvPr id="103" name="コネクタ: カギ線 102">
          <a:extLst>
            <a:ext uri="{FF2B5EF4-FFF2-40B4-BE49-F238E27FC236}">
              <a16:creationId xmlns:a16="http://schemas.microsoft.com/office/drawing/2014/main" id="{28D11A88-BF14-4347-8166-162DD9C20C43}"/>
            </a:ext>
          </a:extLst>
        </xdr:cNvPr>
        <xdr:cNvCxnSpPr>
          <a:stCxn id="97" idx="1"/>
          <a:endCxn id="102" idx="0"/>
        </xdr:cNvCxnSpPr>
      </xdr:nvCxnSpPr>
      <xdr:spPr>
        <a:xfrm rot="10800000" flipV="1">
          <a:off x="1215839" y="34385947"/>
          <a:ext cx="946897" cy="598817"/>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112060</xdr:colOff>
      <xdr:row>159</xdr:row>
      <xdr:rowOff>67235</xdr:rowOff>
    </xdr:from>
    <xdr:to>
      <xdr:col>13</xdr:col>
      <xdr:colOff>22412</xdr:colOff>
      <xdr:row>165</xdr:row>
      <xdr:rowOff>190500</xdr:rowOff>
    </xdr:to>
    <xdr:sp macro="" textlink="">
      <xdr:nvSpPr>
        <xdr:cNvPr id="104" name="テキスト ボックス 103">
          <a:extLst>
            <a:ext uri="{FF2B5EF4-FFF2-40B4-BE49-F238E27FC236}">
              <a16:creationId xmlns:a16="http://schemas.microsoft.com/office/drawing/2014/main" id="{B2ACD5CD-71FD-43DC-8B0C-3477F9D906E3}"/>
            </a:ext>
          </a:extLst>
        </xdr:cNvPr>
        <xdr:cNvSpPr txBox="1"/>
      </xdr:nvSpPr>
      <xdr:spPr>
        <a:xfrm>
          <a:off x="1658472" y="36542382"/>
          <a:ext cx="1714499" cy="153520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ステータス＝</a:t>
          </a:r>
          <a:r>
            <a:rPr kumimoji="1" lang="en-US" altLang="ja-JP" sz="1100"/>
            <a:t>201</a:t>
          </a:r>
        </a:p>
        <a:p>
          <a:pPr algn="ctr"/>
          <a:r>
            <a:rPr kumimoji="1" lang="ja-JP" altLang="en-US" sz="1100"/>
            <a:t>メッセージ</a:t>
          </a:r>
          <a:r>
            <a:rPr kumimoji="1" lang="en-US" altLang="ja-JP" sz="1100"/>
            <a:t>ID=</a:t>
          </a:r>
          <a:r>
            <a:rPr kumimoji="1" lang="en-US" altLang="ja-JP" sz="1100">
              <a:solidFill>
                <a:srgbClr val="FF0000"/>
              </a:solidFill>
            </a:rPr>
            <a:t>E00090</a:t>
          </a:r>
        </a:p>
        <a:p>
          <a:pPr algn="ctr"/>
          <a:r>
            <a:rPr kumimoji="1" lang="en-US" altLang="ja-JP" sz="1100">
              <a:solidFill>
                <a:sysClr val="windowText" lastClr="000000"/>
              </a:solidFill>
            </a:rPr>
            <a:t>{0}</a:t>
          </a:r>
          <a:r>
            <a:rPr kumimoji="1" lang="ja-JP" altLang="en-US" sz="1100">
              <a:solidFill>
                <a:sysClr val="windowText" lastClr="000000"/>
              </a:solidFill>
            </a:rPr>
            <a:t>：物件情報</a:t>
          </a:r>
          <a:endParaRPr kumimoji="1" lang="en-US" altLang="ja-JP" sz="1100">
            <a:solidFill>
              <a:sysClr val="windowText" lastClr="000000"/>
            </a:solidFill>
          </a:endParaRPr>
        </a:p>
        <a:p>
          <a:pPr algn="ctr"/>
          <a:r>
            <a:rPr kumimoji="1" lang="en-US" altLang="ja-JP" sz="1100">
              <a:solidFill>
                <a:sysClr val="windowText" lastClr="000000"/>
              </a:solidFill>
            </a:rPr>
            <a:t>{1}</a:t>
          </a:r>
          <a:r>
            <a:rPr kumimoji="1" lang="ja-JP" altLang="en-US" sz="1100">
              <a:solidFill>
                <a:sysClr val="windowText" lastClr="000000"/>
              </a:solidFill>
            </a:rPr>
            <a:t>：物件コード＝物件コードの値</a:t>
          </a:r>
        </a:p>
      </xdr:txBody>
    </xdr:sp>
    <xdr:clientData/>
  </xdr:twoCellAnchor>
  <xdr:twoCellAnchor>
    <xdr:from>
      <xdr:col>9</xdr:col>
      <xdr:colOff>188048</xdr:colOff>
      <xdr:row>150</xdr:row>
      <xdr:rowOff>204505</xdr:rowOff>
    </xdr:from>
    <xdr:to>
      <xdr:col>9</xdr:col>
      <xdr:colOff>196104</xdr:colOff>
      <xdr:row>159</xdr:row>
      <xdr:rowOff>67235</xdr:rowOff>
    </xdr:to>
    <xdr:cxnSp macro="">
      <xdr:nvCxnSpPr>
        <xdr:cNvPr id="105" name="直線矢印コネクタ 104">
          <a:extLst>
            <a:ext uri="{FF2B5EF4-FFF2-40B4-BE49-F238E27FC236}">
              <a16:creationId xmlns:a16="http://schemas.microsoft.com/office/drawing/2014/main" id="{8EE81EBD-CB54-4D88-8E6E-2817E23751C7}"/>
            </a:ext>
          </a:extLst>
        </xdr:cNvPr>
        <xdr:cNvCxnSpPr>
          <a:stCxn id="97" idx="2"/>
          <a:endCxn id="104" idx="0"/>
        </xdr:cNvCxnSpPr>
      </xdr:nvCxnSpPr>
      <xdr:spPr>
        <a:xfrm>
          <a:off x="2507666" y="34561740"/>
          <a:ext cx="8056" cy="1980642"/>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23809</xdr:colOff>
      <xdr:row>160</xdr:row>
      <xdr:rowOff>197504</xdr:rowOff>
    </xdr:from>
    <xdr:to>
      <xdr:col>27</xdr:col>
      <xdr:colOff>190499</xdr:colOff>
      <xdr:row>163</xdr:row>
      <xdr:rowOff>212912</xdr:rowOff>
    </xdr:to>
    <xdr:sp macro="" textlink="">
      <xdr:nvSpPr>
        <xdr:cNvPr id="106" name="テキスト ボックス 105">
          <a:extLst>
            <a:ext uri="{FF2B5EF4-FFF2-40B4-BE49-F238E27FC236}">
              <a16:creationId xmlns:a16="http://schemas.microsoft.com/office/drawing/2014/main" id="{DC8F2E0D-CC23-4BEE-9B1A-5C205038EAA1}"/>
            </a:ext>
          </a:extLst>
        </xdr:cNvPr>
        <xdr:cNvSpPr txBox="1"/>
      </xdr:nvSpPr>
      <xdr:spPr>
        <a:xfrm>
          <a:off x="4652959" y="37345004"/>
          <a:ext cx="2224090" cy="72978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rPr>
            <a:t>未作成分</a:t>
          </a:r>
          <a:r>
            <a:rPr kumimoji="1" lang="ja-JP" altLang="en-US" sz="1100"/>
            <a:t>だけ</a:t>
          </a:r>
          <a:endParaRPr kumimoji="1" lang="en-US" altLang="ja-JP" sz="1100"/>
        </a:p>
        <a:p>
          <a:pPr algn="ctr"/>
          <a:r>
            <a:rPr kumimoji="1" lang="ja-JP" altLang="en-US" sz="1100"/>
            <a:t>現場情報作成</a:t>
          </a:r>
        </a:p>
      </xdr:txBody>
    </xdr:sp>
    <xdr:clientData/>
  </xdr:twoCellAnchor>
  <xdr:twoCellAnchor>
    <xdr:from>
      <xdr:col>11</xdr:col>
      <xdr:colOff>17509</xdr:colOff>
      <xdr:row>150</xdr:row>
      <xdr:rowOff>28713</xdr:rowOff>
    </xdr:from>
    <xdr:to>
      <xdr:col>19</xdr:col>
      <xdr:colOff>212912</xdr:colOff>
      <xdr:row>152</xdr:row>
      <xdr:rowOff>123265</xdr:rowOff>
    </xdr:to>
    <xdr:cxnSp macro="">
      <xdr:nvCxnSpPr>
        <xdr:cNvPr id="107" name="コネクタ: カギ線 106">
          <a:extLst>
            <a:ext uri="{FF2B5EF4-FFF2-40B4-BE49-F238E27FC236}">
              <a16:creationId xmlns:a16="http://schemas.microsoft.com/office/drawing/2014/main" id="{9E04D9EA-9467-4A2F-A7FB-4C59DA132FBC}"/>
            </a:ext>
          </a:extLst>
        </xdr:cNvPr>
        <xdr:cNvCxnSpPr>
          <a:stCxn id="97" idx="3"/>
          <a:endCxn id="108" idx="0"/>
        </xdr:cNvCxnSpPr>
      </xdr:nvCxnSpPr>
      <xdr:spPr>
        <a:xfrm>
          <a:off x="2589259" y="34794963"/>
          <a:ext cx="2252803" cy="570802"/>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134470</xdr:colOff>
      <xdr:row>152</xdr:row>
      <xdr:rowOff>123265</xdr:rowOff>
    </xdr:from>
    <xdr:to>
      <xdr:col>25</xdr:col>
      <xdr:colOff>33618</xdr:colOff>
      <xdr:row>156</xdr:row>
      <xdr:rowOff>26613</xdr:rowOff>
    </xdr:to>
    <xdr:sp macro="" textlink="">
      <xdr:nvSpPr>
        <xdr:cNvPr id="108" name="テキスト ボックス 107">
          <a:extLst>
            <a:ext uri="{FF2B5EF4-FFF2-40B4-BE49-F238E27FC236}">
              <a16:creationId xmlns:a16="http://schemas.microsoft.com/office/drawing/2014/main" id="{8726C7D0-8624-4F6F-BAE5-CDD7797F5B59}"/>
            </a:ext>
          </a:extLst>
        </xdr:cNvPr>
        <xdr:cNvSpPr txBox="1"/>
      </xdr:nvSpPr>
      <xdr:spPr>
        <a:xfrm>
          <a:off x="3477745" y="35365765"/>
          <a:ext cx="2728073" cy="85584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１１．現場棟明細リスト</a:t>
          </a:r>
          <a:r>
            <a:rPr kumimoji="1" lang="en-US" altLang="ja-JP" sz="1100">
              <a:solidFill>
                <a:srgbClr val="FF0000"/>
              </a:solidFill>
              <a:effectLst/>
              <a:latin typeface="+mn-lt"/>
              <a:ea typeface="+mn-ea"/>
              <a:cs typeface="+mn-cs"/>
            </a:rPr>
            <a:t>(</a:t>
          </a:r>
          <a:r>
            <a:rPr kumimoji="1" lang="ja-JP" altLang="ja-JP" sz="1100">
              <a:solidFill>
                <a:srgbClr val="FF0000"/>
              </a:solidFill>
              <a:effectLst/>
              <a:latin typeface="+mn-lt"/>
              <a:ea typeface="+mn-ea"/>
              <a:cs typeface="+mn-cs"/>
            </a:rPr>
            <a:t>追加分含む</a:t>
          </a:r>
          <a:r>
            <a:rPr kumimoji="1" lang="en-US" altLang="ja-JP" sz="1100">
              <a:solidFill>
                <a:srgbClr val="FF0000"/>
              </a:solidFill>
              <a:effectLst/>
              <a:latin typeface="+mn-lt"/>
              <a:ea typeface="+mn-ea"/>
              <a:cs typeface="+mn-cs"/>
            </a:rPr>
            <a:t>)</a:t>
          </a:r>
          <a:r>
            <a:rPr kumimoji="1" lang="ja-JP" altLang="en-US" sz="1100"/>
            <a:t>の棟コードに紐づく現場情報未作成有無</a:t>
          </a:r>
          <a:r>
            <a:rPr kumimoji="1" lang="en-US" altLang="ja-JP" sz="1100"/>
            <a:t>?</a:t>
          </a:r>
          <a:endParaRPr kumimoji="1" lang="ja-JP" altLang="en-US" sz="1100"/>
        </a:p>
      </xdr:txBody>
    </xdr:sp>
    <xdr:clientData/>
  </xdr:twoCellAnchor>
  <xdr:twoCellAnchor>
    <xdr:from>
      <xdr:col>18</xdr:col>
      <xdr:colOff>123264</xdr:colOff>
      <xdr:row>157</xdr:row>
      <xdr:rowOff>133069</xdr:rowOff>
    </xdr:from>
    <xdr:to>
      <xdr:col>21</xdr:col>
      <xdr:colOff>39920</xdr:colOff>
      <xdr:row>159</xdr:row>
      <xdr:rowOff>14007</xdr:rowOff>
    </xdr:to>
    <xdr:sp macro="" textlink="">
      <xdr:nvSpPr>
        <xdr:cNvPr id="109" name="フローチャート: 判断 108">
          <a:extLst>
            <a:ext uri="{FF2B5EF4-FFF2-40B4-BE49-F238E27FC236}">
              <a16:creationId xmlns:a16="http://schemas.microsoft.com/office/drawing/2014/main" id="{D02504EC-3CB1-4C68-B0B4-7E2C9717260D}"/>
            </a:ext>
          </a:extLst>
        </xdr:cNvPr>
        <xdr:cNvSpPr/>
      </xdr:nvSpPr>
      <xdr:spPr>
        <a:xfrm>
          <a:off x="4495239" y="36566194"/>
          <a:ext cx="688181" cy="357188"/>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210460</xdr:colOff>
      <xdr:row>156</xdr:row>
      <xdr:rowOff>26613</xdr:rowOff>
    </xdr:from>
    <xdr:to>
      <xdr:col>19</xdr:col>
      <xdr:colOff>212912</xdr:colOff>
      <xdr:row>157</xdr:row>
      <xdr:rowOff>133069</xdr:rowOff>
    </xdr:to>
    <xdr:cxnSp macro="">
      <xdr:nvCxnSpPr>
        <xdr:cNvPr id="110" name="直線矢印コネクタ 109">
          <a:extLst>
            <a:ext uri="{FF2B5EF4-FFF2-40B4-BE49-F238E27FC236}">
              <a16:creationId xmlns:a16="http://schemas.microsoft.com/office/drawing/2014/main" id="{3DF8A61E-74D0-4630-AF4F-CA10B85556FD}"/>
            </a:ext>
          </a:extLst>
        </xdr:cNvPr>
        <xdr:cNvCxnSpPr>
          <a:stCxn id="108" idx="2"/>
          <a:endCxn id="109" idx="0"/>
        </xdr:cNvCxnSpPr>
      </xdr:nvCxnSpPr>
      <xdr:spPr>
        <a:xfrm flipH="1">
          <a:off x="4839610" y="36221613"/>
          <a:ext cx="2452" cy="344581"/>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4904</xdr:colOff>
      <xdr:row>158</xdr:row>
      <xdr:rowOff>190499</xdr:rowOff>
    </xdr:from>
    <xdr:to>
      <xdr:col>22</xdr:col>
      <xdr:colOff>226919</xdr:colOff>
      <xdr:row>160</xdr:row>
      <xdr:rowOff>14707</xdr:rowOff>
    </xdr:to>
    <xdr:sp macro="" textlink="">
      <xdr:nvSpPr>
        <xdr:cNvPr id="111" name="テキスト ボックス 110">
          <a:extLst>
            <a:ext uri="{FF2B5EF4-FFF2-40B4-BE49-F238E27FC236}">
              <a16:creationId xmlns:a16="http://schemas.microsoft.com/office/drawing/2014/main" id="{4050DC83-BE7D-40C4-B0B2-CCE102622401}"/>
            </a:ext>
          </a:extLst>
        </xdr:cNvPr>
        <xdr:cNvSpPr txBox="1"/>
      </xdr:nvSpPr>
      <xdr:spPr>
        <a:xfrm>
          <a:off x="5148404" y="36861749"/>
          <a:ext cx="479190" cy="3004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21</xdr:col>
      <xdr:colOff>39920</xdr:colOff>
      <xdr:row>158</xdr:row>
      <xdr:rowOff>73538</xdr:rowOff>
    </xdr:from>
    <xdr:to>
      <xdr:col>23</xdr:col>
      <xdr:colOff>107155</xdr:colOff>
      <xdr:row>160</xdr:row>
      <xdr:rowOff>197504</xdr:rowOff>
    </xdr:to>
    <xdr:cxnSp macro="">
      <xdr:nvCxnSpPr>
        <xdr:cNvPr id="112" name="コネクタ: カギ線 111">
          <a:extLst>
            <a:ext uri="{FF2B5EF4-FFF2-40B4-BE49-F238E27FC236}">
              <a16:creationId xmlns:a16="http://schemas.microsoft.com/office/drawing/2014/main" id="{33800A4C-581C-4E97-8480-00F2A831314B}"/>
            </a:ext>
          </a:extLst>
        </xdr:cNvPr>
        <xdr:cNvCxnSpPr>
          <a:stCxn id="109" idx="3"/>
          <a:endCxn id="106" idx="0"/>
        </xdr:cNvCxnSpPr>
      </xdr:nvCxnSpPr>
      <xdr:spPr>
        <a:xfrm>
          <a:off x="5183420" y="36744788"/>
          <a:ext cx="581585" cy="600216"/>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4903</xdr:colOff>
      <xdr:row>159</xdr:row>
      <xdr:rowOff>11207</xdr:rowOff>
    </xdr:from>
    <xdr:to>
      <xdr:col>18</xdr:col>
      <xdr:colOff>226918</xdr:colOff>
      <xdr:row>160</xdr:row>
      <xdr:rowOff>70738</xdr:rowOff>
    </xdr:to>
    <xdr:sp macro="" textlink="">
      <xdr:nvSpPr>
        <xdr:cNvPr id="113" name="テキスト ボックス 112">
          <a:extLst>
            <a:ext uri="{FF2B5EF4-FFF2-40B4-BE49-F238E27FC236}">
              <a16:creationId xmlns:a16="http://schemas.microsoft.com/office/drawing/2014/main" id="{C5D5E2AD-28EC-402C-95FC-30DE8742042E}"/>
            </a:ext>
          </a:extLst>
        </xdr:cNvPr>
        <xdr:cNvSpPr txBox="1"/>
      </xdr:nvSpPr>
      <xdr:spPr>
        <a:xfrm>
          <a:off x="4119703" y="36920582"/>
          <a:ext cx="479190"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12</xdr:col>
      <xdr:colOff>11207</xdr:colOff>
      <xdr:row>167</xdr:row>
      <xdr:rowOff>51829</xdr:rowOff>
    </xdr:from>
    <xdr:to>
      <xdr:col>21</xdr:col>
      <xdr:colOff>0</xdr:colOff>
      <xdr:row>170</xdr:row>
      <xdr:rowOff>67236</xdr:rowOff>
    </xdr:to>
    <xdr:sp macro="" textlink="">
      <xdr:nvSpPr>
        <xdr:cNvPr id="114" name="テキスト ボックス 113">
          <a:extLst>
            <a:ext uri="{FF2B5EF4-FFF2-40B4-BE49-F238E27FC236}">
              <a16:creationId xmlns:a16="http://schemas.microsoft.com/office/drawing/2014/main" id="{8110ED41-F6A9-41DA-9CFD-6E6C10218D83}"/>
            </a:ext>
          </a:extLst>
        </xdr:cNvPr>
        <xdr:cNvSpPr txBox="1"/>
      </xdr:nvSpPr>
      <xdr:spPr>
        <a:xfrm>
          <a:off x="2840132" y="38866204"/>
          <a:ext cx="2303368" cy="72978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１２．実行予算ヘッダの保存値となる精積算情報を取得</a:t>
          </a:r>
        </a:p>
      </xdr:txBody>
    </xdr:sp>
    <xdr:clientData/>
  </xdr:twoCellAnchor>
  <xdr:twoCellAnchor>
    <xdr:from>
      <xdr:col>16</xdr:col>
      <xdr:colOff>134473</xdr:colOff>
      <xdr:row>158</xdr:row>
      <xdr:rowOff>73537</xdr:rowOff>
    </xdr:from>
    <xdr:to>
      <xdr:col>18</xdr:col>
      <xdr:colOff>123265</xdr:colOff>
      <xdr:row>167</xdr:row>
      <xdr:rowOff>51828</xdr:rowOff>
    </xdr:to>
    <xdr:cxnSp macro="">
      <xdr:nvCxnSpPr>
        <xdr:cNvPr id="115" name="コネクタ: カギ線 114">
          <a:extLst>
            <a:ext uri="{FF2B5EF4-FFF2-40B4-BE49-F238E27FC236}">
              <a16:creationId xmlns:a16="http://schemas.microsoft.com/office/drawing/2014/main" id="{A1F7B12D-ED81-41F5-B9D6-3E9068B31D2B}"/>
            </a:ext>
          </a:extLst>
        </xdr:cNvPr>
        <xdr:cNvCxnSpPr>
          <a:stCxn id="109" idx="1"/>
          <a:endCxn id="114" idx="0"/>
        </xdr:cNvCxnSpPr>
      </xdr:nvCxnSpPr>
      <xdr:spPr>
        <a:xfrm rot="10800000" flipV="1">
          <a:off x="3992098" y="36744787"/>
          <a:ext cx="503142" cy="2121416"/>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134473</xdr:colOff>
      <xdr:row>163</xdr:row>
      <xdr:rowOff>212911</xdr:rowOff>
    </xdr:from>
    <xdr:to>
      <xdr:col>23</xdr:col>
      <xdr:colOff>107156</xdr:colOff>
      <xdr:row>167</xdr:row>
      <xdr:rowOff>51828</xdr:rowOff>
    </xdr:to>
    <xdr:cxnSp macro="">
      <xdr:nvCxnSpPr>
        <xdr:cNvPr id="116" name="コネクタ: カギ線 115">
          <a:extLst>
            <a:ext uri="{FF2B5EF4-FFF2-40B4-BE49-F238E27FC236}">
              <a16:creationId xmlns:a16="http://schemas.microsoft.com/office/drawing/2014/main" id="{B6A8E7AA-949C-4C76-961A-D3C5C38FBA08}"/>
            </a:ext>
          </a:extLst>
        </xdr:cNvPr>
        <xdr:cNvCxnSpPr>
          <a:cxnSpLocks/>
          <a:stCxn id="106" idx="2"/>
          <a:endCxn id="114" idx="0"/>
        </xdr:cNvCxnSpPr>
      </xdr:nvCxnSpPr>
      <xdr:spPr>
        <a:xfrm rot="5400000">
          <a:off x="4482843" y="37584041"/>
          <a:ext cx="791417" cy="1772908"/>
        </a:xfrm>
        <a:prstGeom prst="bentConnector3">
          <a:avLst>
            <a:gd name="adj1" fmla="val 50000"/>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219213</xdr:colOff>
      <xdr:row>172</xdr:row>
      <xdr:rowOff>95950</xdr:rowOff>
    </xdr:from>
    <xdr:to>
      <xdr:col>23</xdr:col>
      <xdr:colOff>240927</xdr:colOff>
      <xdr:row>174</xdr:row>
      <xdr:rowOff>145676</xdr:rowOff>
    </xdr:to>
    <xdr:cxnSp macro="">
      <xdr:nvCxnSpPr>
        <xdr:cNvPr id="117" name="コネクタ: カギ線 116">
          <a:extLst>
            <a:ext uri="{FF2B5EF4-FFF2-40B4-BE49-F238E27FC236}">
              <a16:creationId xmlns:a16="http://schemas.microsoft.com/office/drawing/2014/main" id="{279E4E98-F622-4448-A399-1AF804C3ED83}"/>
            </a:ext>
          </a:extLst>
        </xdr:cNvPr>
        <xdr:cNvCxnSpPr>
          <a:stCxn id="118" idx="3"/>
          <a:endCxn id="166" idx="0"/>
        </xdr:cNvCxnSpPr>
      </xdr:nvCxnSpPr>
      <xdr:spPr>
        <a:xfrm>
          <a:off x="4334013" y="40100950"/>
          <a:ext cx="1564764" cy="525976"/>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44822</xdr:colOff>
      <xdr:row>171</xdr:row>
      <xdr:rowOff>155481</xdr:rowOff>
    </xdr:from>
    <xdr:to>
      <xdr:col>17</xdr:col>
      <xdr:colOff>219213</xdr:colOff>
      <xdr:row>173</xdr:row>
      <xdr:rowOff>36419</xdr:rowOff>
    </xdr:to>
    <xdr:sp macro="" textlink="">
      <xdr:nvSpPr>
        <xdr:cNvPr id="118" name="フローチャート: 判断 117">
          <a:extLst>
            <a:ext uri="{FF2B5EF4-FFF2-40B4-BE49-F238E27FC236}">
              <a16:creationId xmlns:a16="http://schemas.microsoft.com/office/drawing/2014/main" id="{F7ED89E2-C769-4551-B7EB-E88ED0A0D4B6}"/>
            </a:ext>
          </a:extLst>
        </xdr:cNvPr>
        <xdr:cNvSpPr/>
      </xdr:nvSpPr>
      <xdr:spPr>
        <a:xfrm>
          <a:off x="3645272" y="39922356"/>
          <a:ext cx="688741" cy="357188"/>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132018</xdr:colOff>
      <xdr:row>170</xdr:row>
      <xdr:rowOff>67236</xdr:rowOff>
    </xdr:from>
    <xdr:to>
      <xdr:col>16</xdr:col>
      <xdr:colOff>134472</xdr:colOff>
      <xdr:row>171</xdr:row>
      <xdr:rowOff>155481</xdr:rowOff>
    </xdr:to>
    <xdr:cxnSp macro="">
      <xdr:nvCxnSpPr>
        <xdr:cNvPr id="119" name="直線矢印コネクタ 118">
          <a:extLst>
            <a:ext uri="{FF2B5EF4-FFF2-40B4-BE49-F238E27FC236}">
              <a16:creationId xmlns:a16="http://schemas.microsoft.com/office/drawing/2014/main" id="{57DCB17A-B90C-4E4B-8DD5-714E68192AD1}"/>
            </a:ext>
          </a:extLst>
        </xdr:cNvPr>
        <xdr:cNvCxnSpPr>
          <a:stCxn id="114" idx="2"/>
          <a:endCxn id="118" idx="0"/>
        </xdr:cNvCxnSpPr>
      </xdr:nvCxnSpPr>
      <xdr:spPr>
        <a:xfrm flipH="1">
          <a:off x="3989643" y="39595986"/>
          <a:ext cx="2454" cy="32637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27318</xdr:colOff>
      <xdr:row>172</xdr:row>
      <xdr:rowOff>179292</xdr:rowOff>
    </xdr:from>
    <xdr:to>
      <xdr:col>19</xdr:col>
      <xdr:colOff>249333</xdr:colOff>
      <xdr:row>174</xdr:row>
      <xdr:rowOff>3500</xdr:rowOff>
    </xdr:to>
    <xdr:sp macro="" textlink="">
      <xdr:nvSpPr>
        <xdr:cNvPr id="120" name="テキスト ボックス 119">
          <a:extLst>
            <a:ext uri="{FF2B5EF4-FFF2-40B4-BE49-F238E27FC236}">
              <a16:creationId xmlns:a16="http://schemas.microsoft.com/office/drawing/2014/main" id="{323DDC96-DDD7-4D78-AC20-A87EAB3F74A5}"/>
            </a:ext>
          </a:extLst>
        </xdr:cNvPr>
        <xdr:cNvSpPr txBox="1"/>
      </xdr:nvSpPr>
      <xdr:spPr>
        <a:xfrm>
          <a:off x="4399293" y="40184292"/>
          <a:ext cx="479190" cy="3004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&gt;1</a:t>
          </a:r>
          <a:r>
            <a:rPr kumimoji="1" lang="ja-JP" altLang="en-US" sz="1100"/>
            <a:t>件</a:t>
          </a:r>
        </a:p>
      </xdr:txBody>
    </xdr:sp>
    <xdr:clientData/>
  </xdr:twoCellAnchor>
  <xdr:twoCellAnchor>
    <xdr:from>
      <xdr:col>13</xdr:col>
      <xdr:colOff>49729</xdr:colOff>
      <xdr:row>172</xdr:row>
      <xdr:rowOff>190498</xdr:rowOff>
    </xdr:from>
    <xdr:to>
      <xdr:col>15</xdr:col>
      <xdr:colOff>14009</xdr:colOff>
      <xdr:row>174</xdr:row>
      <xdr:rowOff>14706</xdr:rowOff>
    </xdr:to>
    <xdr:sp macro="" textlink="">
      <xdr:nvSpPr>
        <xdr:cNvPr id="121" name="テキスト ボックス 120">
          <a:extLst>
            <a:ext uri="{FF2B5EF4-FFF2-40B4-BE49-F238E27FC236}">
              <a16:creationId xmlns:a16="http://schemas.microsoft.com/office/drawing/2014/main" id="{0A04A2B6-F59E-4EFB-ABCB-A81A816E711D}"/>
            </a:ext>
          </a:extLst>
        </xdr:cNvPr>
        <xdr:cNvSpPr txBox="1"/>
      </xdr:nvSpPr>
      <xdr:spPr>
        <a:xfrm>
          <a:off x="3135829" y="40195498"/>
          <a:ext cx="478630" cy="3004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0</a:t>
          </a:r>
          <a:r>
            <a:rPr kumimoji="1" lang="ja-JP" altLang="en-US" sz="1100"/>
            <a:t>件</a:t>
          </a:r>
        </a:p>
      </xdr:txBody>
    </xdr:sp>
    <xdr:clientData/>
  </xdr:twoCellAnchor>
  <xdr:twoCellAnchor>
    <xdr:from>
      <xdr:col>14</xdr:col>
      <xdr:colOff>123265</xdr:colOff>
      <xdr:row>182</xdr:row>
      <xdr:rowOff>219917</xdr:rowOff>
    </xdr:from>
    <xdr:to>
      <xdr:col>23</xdr:col>
      <xdr:colOff>112059</xdr:colOff>
      <xdr:row>186</xdr:row>
      <xdr:rowOff>1</xdr:rowOff>
    </xdr:to>
    <xdr:sp macro="" textlink="">
      <xdr:nvSpPr>
        <xdr:cNvPr id="122" name="テキスト ボックス 121">
          <a:extLst>
            <a:ext uri="{FF2B5EF4-FFF2-40B4-BE49-F238E27FC236}">
              <a16:creationId xmlns:a16="http://schemas.microsoft.com/office/drawing/2014/main" id="{7327802A-4E46-4E61-9703-F55170DCEC23}"/>
            </a:ext>
          </a:extLst>
        </xdr:cNvPr>
        <xdr:cNvSpPr txBox="1"/>
      </xdr:nvSpPr>
      <xdr:spPr>
        <a:xfrm>
          <a:off x="3466540" y="42606167"/>
          <a:ext cx="2303369" cy="73258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１３</a:t>
          </a:r>
          <a:r>
            <a:rPr kumimoji="1" lang="en-US" altLang="ja-JP" sz="1100"/>
            <a:t>-1</a:t>
          </a:r>
          <a:r>
            <a:rPr kumimoji="1" lang="ja-JP" altLang="en-US" sz="1100"/>
            <a:t>．</a:t>
          </a:r>
          <a:r>
            <a:rPr kumimoji="1" lang="ja-JP" altLang="en-US" sz="1100">
              <a:solidFill>
                <a:srgbClr val="FF0000"/>
              </a:solidFill>
            </a:rPr>
            <a:t>未作成分</a:t>
          </a:r>
          <a:r>
            <a:rPr kumimoji="1" lang="ja-JP" altLang="en-US" sz="1100"/>
            <a:t>の実行予算ヘッダを作成</a:t>
          </a:r>
        </a:p>
      </xdr:txBody>
    </xdr:sp>
    <xdr:clientData/>
  </xdr:twoCellAnchor>
  <xdr:twoCellAnchor>
    <xdr:from>
      <xdr:col>7</xdr:col>
      <xdr:colOff>156882</xdr:colOff>
      <xdr:row>174</xdr:row>
      <xdr:rowOff>112057</xdr:rowOff>
    </xdr:from>
    <xdr:to>
      <xdr:col>14</xdr:col>
      <xdr:colOff>67235</xdr:colOff>
      <xdr:row>180</xdr:row>
      <xdr:rowOff>33617</xdr:rowOff>
    </xdr:to>
    <xdr:sp macro="" textlink="">
      <xdr:nvSpPr>
        <xdr:cNvPr id="123" name="テキスト ボックス 122">
          <a:extLst>
            <a:ext uri="{FF2B5EF4-FFF2-40B4-BE49-F238E27FC236}">
              <a16:creationId xmlns:a16="http://schemas.microsoft.com/office/drawing/2014/main" id="{397923B2-1E7C-465D-960C-F872DE3E39F1}"/>
            </a:ext>
          </a:extLst>
        </xdr:cNvPr>
        <xdr:cNvSpPr txBox="1"/>
      </xdr:nvSpPr>
      <xdr:spPr>
        <a:xfrm>
          <a:off x="1961029" y="40117057"/>
          <a:ext cx="1714500" cy="133350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ステータス＝</a:t>
          </a:r>
          <a:r>
            <a:rPr kumimoji="1" lang="en-US" altLang="ja-JP" sz="1100"/>
            <a:t>201</a:t>
          </a:r>
        </a:p>
        <a:p>
          <a:pPr algn="ctr"/>
          <a:r>
            <a:rPr kumimoji="1" lang="ja-JP" altLang="en-US" sz="1100"/>
            <a:t>メッセージ</a:t>
          </a:r>
          <a:r>
            <a:rPr kumimoji="1" lang="en-US" altLang="ja-JP" sz="1100"/>
            <a:t>ID=</a:t>
          </a:r>
          <a:r>
            <a:rPr kumimoji="1" lang="en-US" altLang="ja-JP" sz="1100">
              <a:solidFill>
                <a:srgbClr val="FF0000"/>
              </a:solidFill>
            </a:rPr>
            <a:t>E00026</a:t>
          </a:r>
        </a:p>
        <a:p>
          <a:pPr algn="ctr"/>
          <a:r>
            <a:rPr kumimoji="1" lang="en-US" altLang="ja-JP" sz="1100">
              <a:solidFill>
                <a:sysClr val="windowText" lastClr="000000"/>
              </a:solidFill>
            </a:rPr>
            <a:t>{0}</a:t>
          </a:r>
          <a:r>
            <a:rPr kumimoji="1" lang="ja-JP" altLang="en-US" sz="1100">
              <a:solidFill>
                <a:sysClr val="windowText" lastClr="000000"/>
              </a:solidFill>
            </a:rPr>
            <a:t>：</a:t>
          </a:r>
          <a:r>
            <a:rPr kumimoji="1" lang="ja-JP" altLang="ja-JP" sz="1100">
              <a:solidFill>
                <a:sysClr val="windowText" lastClr="000000"/>
              </a:solidFill>
              <a:effectLst/>
              <a:latin typeface="+mn-lt"/>
              <a:ea typeface="+mn-ea"/>
              <a:cs typeface="+mn-cs"/>
            </a:rPr>
            <a:t>精積算情報</a:t>
          </a:r>
          <a:endParaRPr kumimoji="1" lang="ja-JP" altLang="en-US" sz="1100">
            <a:solidFill>
              <a:sysClr val="windowText" lastClr="000000"/>
            </a:solidFill>
          </a:endParaRPr>
        </a:p>
      </xdr:txBody>
    </xdr:sp>
    <xdr:clientData/>
  </xdr:twoCellAnchor>
  <xdr:twoCellAnchor>
    <xdr:from>
      <xdr:col>10</xdr:col>
      <xdr:colOff>240926</xdr:colOff>
      <xdr:row>172</xdr:row>
      <xdr:rowOff>95950</xdr:rowOff>
    </xdr:from>
    <xdr:to>
      <xdr:col>15</xdr:col>
      <xdr:colOff>44822</xdr:colOff>
      <xdr:row>174</xdr:row>
      <xdr:rowOff>112057</xdr:rowOff>
    </xdr:to>
    <xdr:cxnSp macro="">
      <xdr:nvCxnSpPr>
        <xdr:cNvPr id="124" name="コネクタ: カギ線 123">
          <a:extLst>
            <a:ext uri="{FF2B5EF4-FFF2-40B4-BE49-F238E27FC236}">
              <a16:creationId xmlns:a16="http://schemas.microsoft.com/office/drawing/2014/main" id="{CEB3587F-5270-47D2-AEFC-79C4D7E5622F}"/>
            </a:ext>
          </a:extLst>
        </xdr:cNvPr>
        <xdr:cNvCxnSpPr>
          <a:stCxn id="118" idx="1"/>
          <a:endCxn id="123" idx="0"/>
        </xdr:cNvCxnSpPr>
      </xdr:nvCxnSpPr>
      <xdr:spPr>
        <a:xfrm rot="10800000" flipV="1">
          <a:off x="2818279" y="39630303"/>
          <a:ext cx="1092572" cy="486754"/>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123265</xdr:colOff>
      <xdr:row>196</xdr:row>
      <xdr:rowOff>107858</xdr:rowOff>
    </xdr:from>
    <xdr:to>
      <xdr:col>23</xdr:col>
      <xdr:colOff>112059</xdr:colOff>
      <xdr:row>199</xdr:row>
      <xdr:rowOff>123266</xdr:rowOff>
    </xdr:to>
    <xdr:sp macro="" textlink="">
      <xdr:nvSpPr>
        <xdr:cNvPr id="125" name="テキスト ボックス 124">
          <a:extLst>
            <a:ext uri="{FF2B5EF4-FFF2-40B4-BE49-F238E27FC236}">
              <a16:creationId xmlns:a16="http://schemas.microsoft.com/office/drawing/2014/main" id="{26456B43-E67F-46B0-B6DD-ED9C1D59FEAF}"/>
            </a:ext>
          </a:extLst>
        </xdr:cNvPr>
        <xdr:cNvSpPr txBox="1"/>
      </xdr:nvSpPr>
      <xdr:spPr>
        <a:xfrm>
          <a:off x="3466540" y="45827858"/>
          <a:ext cx="2303369" cy="72978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１４．</a:t>
          </a:r>
          <a:r>
            <a:rPr kumimoji="1" lang="ja-JP" altLang="en-US" sz="1100">
              <a:solidFill>
                <a:srgbClr val="FF0000"/>
              </a:solidFill>
            </a:rPr>
            <a:t>未作成分の</a:t>
          </a:r>
          <a:r>
            <a:rPr kumimoji="1" lang="ja-JP" altLang="en-US" sz="1100"/>
            <a:t>出来高シミュレーションを作成</a:t>
          </a:r>
        </a:p>
      </xdr:txBody>
    </xdr:sp>
    <xdr:clientData/>
  </xdr:twoCellAnchor>
  <xdr:twoCellAnchor>
    <xdr:from>
      <xdr:col>18</xdr:col>
      <xdr:colOff>246530</xdr:colOff>
      <xdr:row>186</xdr:row>
      <xdr:rowOff>1</xdr:rowOff>
    </xdr:from>
    <xdr:to>
      <xdr:col>19</xdr:col>
      <xdr:colOff>0</xdr:colOff>
      <xdr:row>188</xdr:row>
      <xdr:rowOff>44824</xdr:rowOff>
    </xdr:to>
    <xdr:cxnSp macro="">
      <xdr:nvCxnSpPr>
        <xdr:cNvPr id="126" name="直線矢印コネクタ 125">
          <a:extLst>
            <a:ext uri="{FF2B5EF4-FFF2-40B4-BE49-F238E27FC236}">
              <a16:creationId xmlns:a16="http://schemas.microsoft.com/office/drawing/2014/main" id="{BA5A3482-A14C-47C7-B2B5-477D055BA4D5}"/>
            </a:ext>
          </a:extLst>
        </xdr:cNvPr>
        <xdr:cNvCxnSpPr>
          <a:stCxn id="122" idx="2"/>
          <a:endCxn id="173" idx="0"/>
        </xdr:cNvCxnSpPr>
      </xdr:nvCxnSpPr>
      <xdr:spPr>
        <a:xfrm>
          <a:off x="4618505" y="43338751"/>
          <a:ext cx="10645" cy="521073"/>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56029</xdr:colOff>
      <xdr:row>159</xdr:row>
      <xdr:rowOff>78443</xdr:rowOff>
    </xdr:from>
    <xdr:to>
      <xdr:col>5</xdr:col>
      <xdr:colOff>70872</xdr:colOff>
      <xdr:row>160</xdr:row>
      <xdr:rowOff>96653</xdr:rowOff>
    </xdr:to>
    <xdr:grpSp>
      <xdr:nvGrpSpPr>
        <xdr:cNvPr id="127" name="グループ化 126">
          <a:extLst>
            <a:ext uri="{FF2B5EF4-FFF2-40B4-BE49-F238E27FC236}">
              <a16:creationId xmlns:a16="http://schemas.microsoft.com/office/drawing/2014/main" id="{9D0815A1-EE0D-4EEC-8C00-7CF841F5DB01}"/>
            </a:ext>
          </a:extLst>
        </xdr:cNvPr>
        <xdr:cNvGrpSpPr/>
      </xdr:nvGrpSpPr>
      <xdr:grpSpPr>
        <a:xfrm>
          <a:off x="1086970" y="37494884"/>
          <a:ext cx="272578" cy="253534"/>
          <a:chOff x="4909342" y="11870530"/>
          <a:chExt cx="230188" cy="226219"/>
        </a:xfrm>
      </xdr:grpSpPr>
      <xdr:sp macro="" textlink="">
        <xdr:nvSpPr>
          <xdr:cNvPr id="128" name="フローチャート: 結合子 127">
            <a:extLst>
              <a:ext uri="{FF2B5EF4-FFF2-40B4-BE49-F238E27FC236}">
                <a16:creationId xmlns:a16="http://schemas.microsoft.com/office/drawing/2014/main" id="{F5F8C6C5-868C-63B2-A457-EEF13FF664DA}"/>
              </a:ext>
            </a:extLst>
          </xdr:cNvPr>
          <xdr:cNvSpPr/>
        </xdr:nvSpPr>
        <xdr:spPr>
          <a:xfrm>
            <a:off x="4909342" y="11870530"/>
            <a:ext cx="230188" cy="226219"/>
          </a:xfrm>
          <a:prstGeom prst="flowChartConnector">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9" name="フローチャート: 結合子 128">
            <a:extLst>
              <a:ext uri="{FF2B5EF4-FFF2-40B4-BE49-F238E27FC236}">
                <a16:creationId xmlns:a16="http://schemas.microsoft.com/office/drawing/2014/main" id="{A194DD14-99ED-9E40-F6C9-E7F8957B860C}"/>
              </a:ext>
            </a:extLst>
          </xdr:cNvPr>
          <xdr:cNvSpPr/>
        </xdr:nvSpPr>
        <xdr:spPr>
          <a:xfrm>
            <a:off x="4968875" y="11922125"/>
            <a:ext cx="111125" cy="115093"/>
          </a:xfrm>
          <a:prstGeom prst="flowChartConnector">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9</xdr:col>
      <xdr:colOff>67238</xdr:colOff>
      <xdr:row>167</xdr:row>
      <xdr:rowOff>22414</xdr:rowOff>
    </xdr:from>
    <xdr:to>
      <xdr:col>10</xdr:col>
      <xdr:colOff>82080</xdr:colOff>
      <xdr:row>168</xdr:row>
      <xdr:rowOff>40623</xdr:rowOff>
    </xdr:to>
    <xdr:grpSp>
      <xdr:nvGrpSpPr>
        <xdr:cNvPr id="130" name="グループ化 129">
          <a:extLst>
            <a:ext uri="{FF2B5EF4-FFF2-40B4-BE49-F238E27FC236}">
              <a16:creationId xmlns:a16="http://schemas.microsoft.com/office/drawing/2014/main" id="{7E9EE2F2-3D58-4C83-8D6C-6D50BE40331D}"/>
            </a:ext>
          </a:extLst>
        </xdr:cNvPr>
        <xdr:cNvGrpSpPr/>
      </xdr:nvGrpSpPr>
      <xdr:grpSpPr>
        <a:xfrm>
          <a:off x="2386856" y="39321443"/>
          <a:ext cx="272577" cy="253533"/>
          <a:chOff x="4909342" y="11870530"/>
          <a:chExt cx="230188" cy="226219"/>
        </a:xfrm>
      </xdr:grpSpPr>
      <xdr:sp macro="" textlink="">
        <xdr:nvSpPr>
          <xdr:cNvPr id="131" name="フローチャート: 結合子 130">
            <a:extLst>
              <a:ext uri="{FF2B5EF4-FFF2-40B4-BE49-F238E27FC236}">
                <a16:creationId xmlns:a16="http://schemas.microsoft.com/office/drawing/2014/main" id="{2811B571-F0B5-E9D8-B34A-069550E9EE8B}"/>
              </a:ext>
            </a:extLst>
          </xdr:cNvPr>
          <xdr:cNvSpPr/>
        </xdr:nvSpPr>
        <xdr:spPr>
          <a:xfrm>
            <a:off x="4909342" y="11870530"/>
            <a:ext cx="230188" cy="226219"/>
          </a:xfrm>
          <a:prstGeom prst="flowChartConnector">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2" name="フローチャート: 結合子 131">
            <a:extLst>
              <a:ext uri="{FF2B5EF4-FFF2-40B4-BE49-F238E27FC236}">
                <a16:creationId xmlns:a16="http://schemas.microsoft.com/office/drawing/2014/main" id="{11BBFD6C-01D9-5C74-A758-20A47641096E}"/>
              </a:ext>
            </a:extLst>
          </xdr:cNvPr>
          <xdr:cNvSpPr/>
        </xdr:nvSpPr>
        <xdr:spPr>
          <a:xfrm>
            <a:off x="4968875" y="11922125"/>
            <a:ext cx="111125" cy="115093"/>
          </a:xfrm>
          <a:prstGeom prst="flowChartConnector">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9</xdr:col>
      <xdr:colOff>196104</xdr:colOff>
      <xdr:row>165</xdr:row>
      <xdr:rowOff>190500</xdr:rowOff>
    </xdr:from>
    <xdr:to>
      <xdr:col>9</xdr:col>
      <xdr:colOff>203529</xdr:colOff>
      <xdr:row>167</xdr:row>
      <xdr:rowOff>80239</xdr:rowOff>
    </xdr:to>
    <xdr:cxnSp macro="">
      <xdr:nvCxnSpPr>
        <xdr:cNvPr id="133" name="直線矢印コネクタ 132">
          <a:extLst>
            <a:ext uri="{FF2B5EF4-FFF2-40B4-BE49-F238E27FC236}">
              <a16:creationId xmlns:a16="http://schemas.microsoft.com/office/drawing/2014/main" id="{B1EBB7E9-D4A2-4D2E-A5BF-DC3B6E30A56E}"/>
            </a:ext>
          </a:extLst>
        </xdr:cNvPr>
        <xdr:cNvCxnSpPr>
          <a:stCxn id="104" idx="2"/>
          <a:endCxn id="132" idx="0"/>
        </xdr:cNvCxnSpPr>
      </xdr:nvCxnSpPr>
      <xdr:spPr>
        <a:xfrm>
          <a:off x="2515722" y="38077588"/>
          <a:ext cx="7425" cy="360386"/>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184897</xdr:colOff>
      <xdr:row>158</xdr:row>
      <xdr:rowOff>89647</xdr:rowOff>
    </xdr:from>
    <xdr:to>
      <xdr:col>4</xdr:col>
      <xdr:colOff>192318</xdr:colOff>
      <xdr:row>159</xdr:row>
      <xdr:rowOff>78443</xdr:rowOff>
    </xdr:to>
    <xdr:cxnSp macro="">
      <xdr:nvCxnSpPr>
        <xdr:cNvPr id="134" name="直線矢印コネクタ 133">
          <a:extLst>
            <a:ext uri="{FF2B5EF4-FFF2-40B4-BE49-F238E27FC236}">
              <a16:creationId xmlns:a16="http://schemas.microsoft.com/office/drawing/2014/main" id="{40A49D5E-4D4F-411D-BCA6-BBFBF5BE856C}"/>
            </a:ext>
          </a:extLst>
        </xdr:cNvPr>
        <xdr:cNvCxnSpPr>
          <a:stCxn id="102" idx="2"/>
          <a:endCxn id="128" idx="0"/>
        </xdr:cNvCxnSpPr>
      </xdr:nvCxnSpPr>
      <xdr:spPr>
        <a:xfrm>
          <a:off x="1215838" y="36329471"/>
          <a:ext cx="7421" cy="224119"/>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168088</xdr:colOff>
      <xdr:row>202</xdr:row>
      <xdr:rowOff>33617</xdr:rowOff>
    </xdr:from>
    <xdr:to>
      <xdr:col>22</xdr:col>
      <xdr:colOff>78441</xdr:colOff>
      <xdr:row>205</xdr:row>
      <xdr:rowOff>69337</xdr:rowOff>
    </xdr:to>
    <xdr:sp macro="" textlink="">
      <xdr:nvSpPr>
        <xdr:cNvPr id="135" name="テキスト ボックス 134">
          <a:extLst>
            <a:ext uri="{FF2B5EF4-FFF2-40B4-BE49-F238E27FC236}">
              <a16:creationId xmlns:a16="http://schemas.microsoft.com/office/drawing/2014/main" id="{BB5BD6C8-67E8-461F-A0E7-85AC40FD02C8}"/>
            </a:ext>
          </a:extLst>
        </xdr:cNvPr>
        <xdr:cNvSpPr txBox="1"/>
      </xdr:nvSpPr>
      <xdr:spPr>
        <a:xfrm>
          <a:off x="3768538" y="47182367"/>
          <a:ext cx="1710578" cy="75009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ステータス＝</a:t>
          </a:r>
          <a:r>
            <a:rPr kumimoji="1" lang="en-US" altLang="ja-JP" sz="1100"/>
            <a:t>200</a:t>
          </a:r>
        </a:p>
        <a:p>
          <a:pPr algn="ctr"/>
          <a:r>
            <a:rPr kumimoji="1" lang="ja-JP" altLang="en-US" sz="1100"/>
            <a:t>メッセージ</a:t>
          </a:r>
          <a:r>
            <a:rPr kumimoji="1" lang="en-US" altLang="ja-JP" sz="1100"/>
            <a:t>ID=I00001</a:t>
          </a:r>
          <a:endParaRPr kumimoji="1" lang="ja-JP" altLang="en-US" sz="1100"/>
        </a:p>
      </xdr:txBody>
    </xdr:sp>
    <xdr:clientData/>
  </xdr:twoCellAnchor>
  <xdr:twoCellAnchor>
    <xdr:from>
      <xdr:col>18</xdr:col>
      <xdr:colOff>119627</xdr:colOff>
      <xdr:row>206</xdr:row>
      <xdr:rowOff>172291</xdr:rowOff>
    </xdr:from>
    <xdr:to>
      <xdr:col>19</xdr:col>
      <xdr:colOff>134470</xdr:colOff>
      <xdr:row>207</xdr:row>
      <xdr:rowOff>190501</xdr:rowOff>
    </xdr:to>
    <xdr:grpSp>
      <xdr:nvGrpSpPr>
        <xdr:cNvPr id="136" name="グループ化 135">
          <a:extLst>
            <a:ext uri="{FF2B5EF4-FFF2-40B4-BE49-F238E27FC236}">
              <a16:creationId xmlns:a16="http://schemas.microsoft.com/office/drawing/2014/main" id="{C7DD4E73-9854-4138-B9FF-7EA174AF2575}"/>
            </a:ext>
          </a:extLst>
        </xdr:cNvPr>
        <xdr:cNvGrpSpPr/>
      </xdr:nvGrpSpPr>
      <xdr:grpSpPr>
        <a:xfrm>
          <a:off x="4758862" y="48648938"/>
          <a:ext cx="272579" cy="253534"/>
          <a:chOff x="4909342" y="11870530"/>
          <a:chExt cx="230188" cy="226219"/>
        </a:xfrm>
      </xdr:grpSpPr>
      <xdr:sp macro="" textlink="">
        <xdr:nvSpPr>
          <xdr:cNvPr id="137" name="フローチャート: 結合子 136">
            <a:extLst>
              <a:ext uri="{FF2B5EF4-FFF2-40B4-BE49-F238E27FC236}">
                <a16:creationId xmlns:a16="http://schemas.microsoft.com/office/drawing/2014/main" id="{865B1D37-3175-0C9C-9615-56C5FAF99EDB}"/>
              </a:ext>
            </a:extLst>
          </xdr:cNvPr>
          <xdr:cNvSpPr/>
        </xdr:nvSpPr>
        <xdr:spPr>
          <a:xfrm>
            <a:off x="4909342" y="11870530"/>
            <a:ext cx="230188" cy="226219"/>
          </a:xfrm>
          <a:prstGeom prst="flowChartConnector">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8" name="フローチャート: 結合子 137">
            <a:extLst>
              <a:ext uri="{FF2B5EF4-FFF2-40B4-BE49-F238E27FC236}">
                <a16:creationId xmlns:a16="http://schemas.microsoft.com/office/drawing/2014/main" id="{B3303798-35AE-8CB9-9943-B1933CD5D1F0}"/>
              </a:ext>
            </a:extLst>
          </xdr:cNvPr>
          <xdr:cNvSpPr/>
        </xdr:nvSpPr>
        <xdr:spPr>
          <a:xfrm>
            <a:off x="4968875" y="11922125"/>
            <a:ext cx="111125" cy="115093"/>
          </a:xfrm>
          <a:prstGeom prst="flowChartConnector">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18</xdr:col>
      <xdr:colOff>252132</xdr:colOff>
      <xdr:row>205</xdr:row>
      <xdr:rowOff>69337</xdr:rowOff>
    </xdr:from>
    <xdr:to>
      <xdr:col>18</xdr:col>
      <xdr:colOff>255916</xdr:colOff>
      <xdr:row>206</xdr:row>
      <xdr:rowOff>172291</xdr:rowOff>
    </xdr:to>
    <xdr:cxnSp macro="">
      <xdr:nvCxnSpPr>
        <xdr:cNvPr id="139" name="直線矢印コネクタ 138">
          <a:extLst>
            <a:ext uri="{FF2B5EF4-FFF2-40B4-BE49-F238E27FC236}">
              <a16:creationId xmlns:a16="http://schemas.microsoft.com/office/drawing/2014/main" id="{A45E0F84-C5FA-47A2-BD31-2DDC8DE065A3}"/>
            </a:ext>
          </a:extLst>
        </xdr:cNvPr>
        <xdr:cNvCxnSpPr>
          <a:stCxn id="135" idx="2"/>
          <a:endCxn id="137" idx="0"/>
        </xdr:cNvCxnSpPr>
      </xdr:nvCxnSpPr>
      <xdr:spPr>
        <a:xfrm>
          <a:off x="4624107" y="47932462"/>
          <a:ext cx="3784" cy="341079"/>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246530</xdr:colOff>
      <xdr:row>199</xdr:row>
      <xdr:rowOff>123266</xdr:rowOff>
    </xdr:from>
    <xdr:to>
      <xdr:col>18</xdr:col>
      <xdr:colOff>252132</xdr:colOff>
      <xdr:row>202</xdr:row>
      <xdr:rowOff>33617</xdr:rowOff>
    </xdr:to>
    <xdr:cxnSp macro="">
      <xdr:nvCxnSpPr>
        <xdr:cNvPr id="140" name="直線矢印コネクタ 139">
          <a:extLst>
            <a:ext uri="{FF2B5EF4-FFF2-40B4-BE49-F238E27FC236}">
              <a16:creationId xmlns:a16="http://schemas.microsoft.com/office/drawing/2014/main" id="{10B76FB9-94EA-443E-B608-6076E7A582BD}"/>
            </a:ext>
          </a:extLst>
        </xdr:cNvPr>
        <xdr:cNvCxnSpPr>
          <a:stCxn id="125" idx="2"/>
          <a:endCxn id="135" idx="0"/>
        </xdr:cNvCxnSpPr>
      </xdr:nvCxnSpPr>
      <xdr:spPr>
        <a:xfrm>
          <a:off x="4618505" y="46557641"/>
          <a:ext cx="5602" cy="624726"/>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212912</xdr:colOff>
      <xdr:row>148</xdr:row>
      <xdr:rowOff>56029</xdr:rowOff>
    </xdr:from>
    <xdr:to>
      <xdr:col>19</xdr:col>
      <xdr:colOff>219214</xdr:colOff>
      <xdr:row>152</xdr:row>
      <xdr:rowOff>123265</xdr:rowOff>
    </xdr:to>
    <xdr:cxnSp macro="">
      <xdr:nvCxnSpPr>
        <xdr:cNvPr id="141" name="直線矢印コネクタ 140">
          <a:extLst>
            <a:ext uri="{FF2B5EF4-FFF2-40B4-BE49-F238E27FC236}">
              <a16:creationId xmlns:a16="http://schemas.microsoft.com/office/drawing/2014/main" id="{A67C66B4-A4DA-447D-AD32-C9EA57910283}"/>
            </a:ext>
          </a:extLst>
        </xdr:cNvPr>
        <xdr:cNvCxnSpPr>
          <a:stCxn id="84" idx="2"/>
          <a:endCxn id="108" idx="0"/>
        </xdr:cNvCxnSpPr>
      </xdr:nvCxnSpPr>
      <xdr:spPr>
        <a:xfrm flipH="1">
          <a:off x="4842062" y="34346029"/>
          <a:ext cx="6302" cy="1019736"/>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11906</xdr:colOff>
      <xdr:row>1</xdr:row>
      <xdr:rowOff>136571</xdr:rowOff>
    </xdr:from>
    <xdr:to>
      <xdr:col>18</xdr:col>
      <xdr:colOff>11206</xdr:colOff>
      <xdr:row>3</xdr:row>
      <xdr:rowOff>145676</xdr:rowOff>
    </xdr:to>
    <xdr:sp macro="" textlink="">
      <xdr:nvSpPr>
        <xdr:cNvPr id="142" name="テキスト ボックス 141">
          <a:extLst>
            <a:ext uri="{FF2B5EF4-FFF2-40B4-BE49-F238E27FC236}">
              <a16:creationId xmlns:a16="http://schemas.microsoft.com/office/drawing/2014/main" id="{5179E8B9-F8D6-4433-A293-16CBB9ED1F14}"/>
            </a:ext>
          </a:extLst>
        </xdr:cNvPr>
        <xdr:cNvSpPr txBox="1"/>
      </xdr:nvSpPr>
      <xdr:spPr>
        <a:xfrm>
          <a:off x="783431" y="374696"/>
          <a:ext cx="3599750" cy="48535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パラメータ．受注状態コード </a:t>
          </a:r>
          <a:r>
            <a:rPr kumimoji="1" lang="en-US" altLang="ja-JP" sz="1100"/>
            <a:t>=</a:t>
          </a:r>
          <a:r>
            <a:rPr kumimoji="1" lang="ja-JP" altLang="en-US" sz="1100" baseline="0"/>
            <a:t> </a:t>
          </a:r>
          <a:r>
            <a:rPr kumimoji="1" lang="ja-JP" altLang="en-US" sz="1100"/>
            <a:t>”</a:t>
          </a:r>
          <a:r>
            <a:rPr kumimoji="1" lang="en-US" altLang="ja-JP" sz="1100"/>
            <a:t>3”</a:t>
          </a:r>
          <a:r>
            <a:rPr kumimoji="1" lang="ja-JP" altLang="en-US" sz="1100"/>
            <a:t>（途中解約）</a:t>
          </a:r>
          <a:r>
            <a:rPr kumimoji="1" lang="en-US" altLang="ja-JP" sz="1100"/>
            <a:t>?</a:t>
          </a:r>
          <a:endParaRPr kumimoji="1" lang="ja-JP" altLang="en-US" sz="1100"/>
        </a:p>
      </xdr:txBody>
    </xdr:sp>
    <xdr:clientData/>
  </xdr:twoCellAnchor>
  <xdr:twoCellAnchor>
    <xdr:from>
      <xdr:col>9</xdr:col>
      <xdr:colOff>168088</xdr:colOff>
      <xdr:row>5</xdr:row>
      <xdr:rowOff>79839</xdr:rowOff>
    </xdr:from>
    <xdr:to>
      <xdr:col>12</xdr:col>
      <xdr:colOff>84744</xdr:colOff>
      <xdr:row>6</xdr:row>
      <xdr:rowOff>196100</xdr:rowOff>
    </xdr:to>
    <xdr:sp macro="" textlink="">
      <xdr:nvSpPr>
        <xdr:cNvPr id="143" name="フローチャート: 判断 142">
          <a:extLst>
            <a:ext uri="{FF2B5EF4-FFF2-40B4-BE49-F238E27FC236}">
              <a16:creationId xmlns:a16="http://schemas.microsoft.com/office/drawing/2014/main" id="{7D8DDAC9-FD9B-4DC2-8B8C-0DE4347C3515}"/>
            </a:ext>
          </a:extLst>
        </xdr:cNvPr>
        <xdr:cNvSpPr/>
      </xdr:nvSpPr>
      <xdr:spPr>
        <a:xfrm>
          <a:off x="2225488" y="1270464"/>
          <a:ext cx="688181" cy="354386"/>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255283</xdr:colOff>
      <xdr:row>3</xdr:row>
      <xdr:rowOff>145676</xdr:rowOff>
    </xdr:from>
    <xdr:to>
      <xdr:col>11</xdr:col>
      <xdr:colOff>11556</xdr:colOff>
      <xdr:row>5</xdr:row>
      <xdr:rowOff>79839</xdr:rowOff>
    </xdr:to>
    <xdr:cxnSp macro="">
      <xdr:nvCxnSpPr>
        <xdr:cNvPr id="144" name="直線矢印コネクタ 143">
          <a:extLst>
            <a:ext uri="{FF2B5EF4-FFF2-40B4-BE49-F238E27FC236}">
              <a16:creationId xmlns:a16="http://schemas.microsoft.com/office/drawing/2014/main" id="{B893642A-5E87-4DB2-A1AC-21777A6CC7B7}"/>
            </a:ext>
          </a:extLst>
        </xdr:cNvPr>
        <xdr:cNvCxnSpPr>
          <a:stCxn id="142" idx="2"/>
          <a:endCxn id="143" idx="0"/>
        </xdr:cNvCxnSpPr>
      </xdr:nvCxnSpPr>
      <xdr:spPr>
        <a:xfrm flipH="1">
          <a:off x="2569858" y="860051"/>
          <a:ext cx="13448" cy="410413"/>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84744</xdr:colOff>
      <xdr:row>6</xdr:row>
      <xdr:rowOff>20308</xdr:rowOff>
    </xdr:from>
    <xdr:to>
      <xdr:col>17</xdr:col>
      <xdr:colOff>11906</xdr:colOff>
      <xdr:row>10</xdr:row>
      <xdr:rowOff>226219</xdr:rowOff>
    </xdr:to>
    <xdr:cxnSp macro="">
      <xdr:nvCxnSpPr>
        <xdr:cNvPr id="145" name="コネクタ: カギ線 144">
          <a:extLst>
            <a:ext uri="{FF2B5EF4-FFF2-40B4-BE49-F238E27FC236}">
              <a16:creationId xmlns:a16="http://schemas.microsoft.com/office/drawing/2014/main" id="{F23694AA-2C89-48AE-971F-96E67B22D8E1}"/>
            </a:ext>
          </a:extLst>
        </xdr:cNvPr>
        <xdr:cNvCxnSpPr>
          <a:stCxn id="143" idx="3"/>
          <a:endCxn id="2" idx="0"/>
        </xdr:cNvCxnSpPr>
      </xdr:nvCxnSpPr>
      <xdr:spPr>
        <a:xfrm>
          <a:off x="2913669" y="1449058"/>
          <a:ext cx="1213037" cy="1158411"/>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168087</xdr:colOff>
      <xdr:row>6</xdr:row>
      <xdr:rowOff>20308</xdr:rowOff>
    </xdr:from>
    <xdr:to>
      <xdr:col>12</xdr:col>
      <xdr:colOff>253884</xdr:colOff>
      <xdr:row>56</xdr:row>
      <xdr:rowOff>202407</xdr:rowOff>
    </xdr:to>
    <xdr:cxnSp macro="">
      <xdr:nvCxnSpPr>
        <xdr:cNvPr id="146" name="コネクタ: カギ線 145">
          <a:extLst>
            <a:ext uri="{FF2B5EF4-FFF2-40B4-BE49-F238E27FC236}">
              <a16:creationId xmlns:a16="http://schemas.microsoft.com/office/drawing/2014/main" id="{5543F705-6AE0-4716-BD87-38F61A42B7C7}"/>
            </a:ext>
          </a:extLst>
        </xdr:cNvPr>
        <xdr:cNvCxnSpPr>
          <a:stCxn id="143" idx="1"/>
          <a:endCxn id="36" idx="0"/>
        </xdr:cNvCxnSpPr>
      </xdr:nvCxnSpPr>
      <xdr:spPr>
        <a:xfrm rot="10800000" flipH="1" flipV="1">
          <a:off x="2225487" y="1449058"/>
          <a:ext cx="857322" cy="12088349"/>
        </a:xfrm>
        <a:prstGeom prst="bentConnector4">
          <a:avLst>
            <a:gd name="adj1" fmla="val -26612"/>
            <a:gd name="adj2" fmla="val 9444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78442</xdr:colOff>
      <xdr:row>6</xdr:row>
      <xdr:rowOff>89647</xdr:rowOff>
    </xdr:from>
    <xdr:to>
      <xdr:col>14</xdr:col>
      <xdr:colOff>42722</xdr:colOff>
      <xdr:row>7</xdr:row>
      <xdr:rowOff>149178</xdr:rowOff>
    </xdr:to>
    <xdr:sp macro="" textlink="">
      <xdr:nvSpPr>
        <xdr:cNvPr id="147" name="テキスト ボックス 146">
          <a:extLst>
            <a:ext uri="{FF2B5EF4-FFF2-40B4-BE49-F238E27FC236}">
              <a16:creationId xmlns:a16="http://schemas.microsoft.com/office/drawing/2014/main" id="{0F3DB838-5FBB-4646-AC3B-D46AE29E9EAC}"/>
            </a:ext>
          </a:extLst>
        </xdr:cNvPr>
        <xdr:cNvSpPr txBox="1"/>
      </xdr:nvSpPr>
      <xdr:spPr>
        <a:xfrm>
          <a:off x="2907367" y="1518397"/>
          <a:ext cx="478630"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clientData/>
  </xdr:twoCellAnchor>
  <xdr:twoCellAnchor>
    <xdr:from>
      <xdr:col>5</xdr:col>
      <xdr:colOff>212912</xdr:colOff>
      <xdr:row>6</xdr:row>
      <xdr:rowOff>11206</xdr:rowOff>
    </xdr:from>
    <xdr:to>
      <xdr:col>7</xdr:col>
      <xdr:colOff>177192</xdr:colOff>
      <xdr:row>7</xdr:row>
      <xdr:rowOff>70737</xdr:rowOff>
    </xdr:to>
    <xdr:sp macro="" textlink="">
      <xdr:nvSpPr>
        <xdr:cNvPr id="148" name="テキスト ボックス 147">
          <a:extLst>
            <a:ext uri="{FF2B5EF4-FFF2-40B4-BE49-F238E27FC236}">
              <a16:creationId xmlns:a16="http://schemas.microsoft.com/office/drawing/2014/main" id="{3376AE83-47FB-4C0A-A725-472D284E927E}"/>
            </a:ext>
          </a:extLst>
        </xdr:cNvPr>
        <xdr:cNvSpPr txBox="1"/>
      </xdr:nvSpPr>
      <xdr:spPr>
        <a:xfrm>
          <a:off x="1243853" y="1423147"/>
          <a:ext cx="479751" cy="294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clientData/>
  </xdr:twoCellAnchor>
  <xdr:twoCellAnchor>
    <xdr:from>
      <xdr:col>9</xdr:col>
      <xdr:colOff>211159</xdr:colOff>
      <xdr:row>69</xdr:row>
      <xdr:rowOff>148477</xdr:rowOff>
    </xdr:from>
    <xdr:to>
      <xdr:col>9</xdr:col>
      <xdr:colOff>216764</xdr:colOff>
      <xdr:row>72</xdr:row>
      <xdr:rowOff>90346</xdr:rowOff>
    </xdr:to>
    <xdr:cxnSp macro="">
      <xdr:nvCxnSpPr>
        <xdr:cNvPr id="149" name="直線矢印コネクタ 148">
          <a:extLst>
            <a:ext uri="{FF2B5EF4-FFF2-40B4-BE49-F238E27FC236}">
              <a16:creationId xmlns:a16="http://schemas.microsoft.com/office/drawing/2014/main" id="{9BD0AF2B-40A6-4DB9-8161-F2C43E393C65}"/>
            </a:ext>
          </a:extLst>
        </xdr:cNvPr>
        <xdr:cNvCxnSpPr>
          <a:stCxn id="50" idx="2"/>
          <a:endCxn id="46" idx="0"/>
        </xdr:cNvCxnSpPr>
      </xdr:nvCxnSpPr>
      <xdr:spPr>
        <a:xfrm>
          <a:off x="2268559" y="16579102"/>
          <a:ext cx="5605" cy="656244"/>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33618</xdr:colOff>
      <xdr:row>70</xdr:row>
      <xdr:rowOff>99451</xdr:rowOff>
    </xdr:from>
    <xdr:to>
      <xdr:col>26</xdr:col>
      <xdr:colOff>0</xdr:colOff>
      <xdr:row>73</xdr:row>
      <xdr:rowOff>135169</xdr:rowOff>
    </xdr:to>
    <xdr:sp macro="" textlink="">
      <xdr:nvSpPr>
        <xdr:cNvPr id="150" name="テキスト ボックス 149">
          <a:extLst>
            <a:ext uri="{FF2B5EF4-FFF2-40B4-BE49-F238E27FC236}">
              <a16:creationId xmlns:a16="http://schemas.microsoft.com/office/drawing/2014/main" id="{AE3539A3-C0D9-43CE-B9AE-F4D964C99B10}"/>
            </a:ext>
          </a:extLst>
        </xdr:cNvPr>
        <xdr:cNvSpPr txBox="1"/>
      </xdr:nvSpPr>
      <xdr:spPr>
        <a:xfrm>
          <a:off x="4662768" y="16768201"/>
          <a:ext cx="1766607" cy="75009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ステータス＝</a:t>
          </a:r>
          <a:r>
            <a:rPr kumimoji="1" lang="en-US" altLang="ja-JP" sz="1100"/>
            <a:t>201</a:t>
          </a:r>
        </a:p>
        <a:p>
          <a:pPr algn="ctr"/>
          <a:r>
            <a:rPr kumimoji="1" lang="ja-JP" altLang="en-US" sz="1100"/>
            <a:t>メッセージ</a:t>
          </a:r>
          <a:r>
            <a:rPr kumimoji="1" lang="en-US" altLang="ja-JP" sz="1100"/>
            <a:t>ID=E00001</a:t>
          </a:r>
          <a:endParaRPr kumimoji="1" lang="ja-JP" altLang="en-US" sz="1100"/>
        </a:p>
      </xdr:txBody>
    </xdr:sp>
    <xdr:clientData/>
  </xdr:twoCellAnchor>
  <xdr:twoCellAnchor>
    <xdr:from>
      <xdr:col>22</xdr:col>
      <xdr:colOff>36652</xdr:colOff>
      <xdr:row>74</xdr:row>
      <xdr:rowOff>182094</xdr:rowOff>
    </xdr:from>
    <xdr:to>
      <xdr:col>23</xdr:col>
      <xdr:colOff>12839</xdr:colOff>
      <xdr:row>75</xdr:row>
      <xdr:rowOff>170187</xdr:rowOff>
    </xdr:to>
    <xdr:grpSp>
      <xdr:nvGrpSpPr>
        <xdr:cNvPr id="151" name="グループ化 150">
          <a:extLst>
            <a:ext uri="{FF2B5EF4-FFF2-40B4-BE49-F238E27FC236}">
              <a16:creationId xmlns:a16="http://schemas.microsoft.com/office/drawing/2014/main" id="{7FD6B72E-FB3B-46EC-9A2B-BDADB215596C}"/>
            </a:ext>
          </a:extLst>
        </xdr:cNvPr>
        <xdr:cNvGrpSpPr/>
      </xdr:nvGrpSpPr>
      <xdr:grpSpPr>
        <a:xfrm>
          <a:off x="5706828" y="17596035"/>
          <a:ext cx="233923" cy="223417"/>
          <a:chOff x="4909342" y="11870530"/>
          <a:chExt cx="230188" cy="226219"/>
        </a:xfrm>
      </xdr:grpSpPr>
      <xdr:sp macro="" textlink="">
        <xdr:nvSpPr>
          <xdr:cNvPr id="152" name="フローチャート: 結合子 151">
            <a:extLst>
              <a:ext uri="{FF2B5EF4-FFF2-40B4-BE49-F238E27FC236}">
                <a16:creationId xmlns:a16="http://schemas.microsoft.com/office/drawing/2014/main" id="{6AB7CC6B-9E26-6F25-4F1B-AEFD6E445447}"/>
              </a:ext>
            </a:extLst>
          </xdr:cNvPr>
          <xdr:cNvSpPr/>
        </xdr:nvSpPr>
        <xdr:spPr>
          <a:xfrm>
            <a:off x="4909342" y="11870530"/>
            <a:ext cx="230188" cy="226219"/>
          </a:xfrm>
          <a:prstGeom prst="flowChartConnector">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3" name="フローチャート: 結合子 152">
            <a:extLst>
              <a:ext uri="{FF2B5EF4-FFF2-40B4-BE49-F238E27FC236}">
                <a16:creationId xmlns:a16="http://schemas.microsoft.com/office/drawing/2014/main" id="{61F1AF2D-81BF-736A-93AC-E05BADEF526F}"/>
              </a:ext>
            </a:extLst>
          </xdr:cNvPr>
          <xdr:cNvSpPr/>
        </xdr:nvSpPr>
        <xdr:spPr>
          <a:xfrm>
            <a:off x="4968875" y="11922125"/>
            <a:ext cx="111125" cy="115093"/>
          </a:xfrm>
          <a:prstGeom prst="flowChartConnector">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22</xdr:col>
      <xdr:colOff>145677</xdr:colOff>
      <xdr:row>73</xdr:row>
      <xdr:rowOff>135169</xdr:rowOff>
    </xdr:from>
    <xdr:to>
      <xdr:col>22</xdr:col>
      <xdr:colOff>153613</xdr:colOff>
      <xdr:row>74</xdr:row>
      <xdr:rowOff>182094</xdr:rowOff>
    </xdr:to>
    <xdr:cxnSp macro="">
      <xdr:nvCxnSpPr>
        <xdr:cNvPr id="154" name="直線矢印コネクタ 153">
          <a:extLst>
            <a:ext uri="{FF2B5EF4-FFF2-40B4-BE49-F238E27FC236}">
              <a16:creationId xmlns:a16="http://schemas.microsoft.com/office/drawing/2014/main" id="{14BDA357-57AF-4C62-9378-106A104B65F6}"/>
            </a:ext>
          </a:extLst>
        </xdr:cNvPr>
        <xdr:cNvCxnSpPr>
          <a:stCxn id="150" idx="2"/>
          <a:endCxn id="152" idx="0"/>
        </xdr:cNvCxnSpPr>
      </xdr:nvCxnSpPr>
      <xdr:spPr>
        <a:xfrm>
          <a:off x="5546352" y="17518294"/>
          <a:ext cx="7936" cy="28505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56029</xdr:colOff>
      <xdr:row>70</xdr:row>
      <xdr:rowOff>179294</xdr:rowOff>
    </xdr:from>
    <xdr:to>
      <xdr:col>33</xdr:col>
      <xdr:colOff>123265</xdr:colOff>
      <xdr:row>73</xdr:row>
      <xdr:rowOff>67235</xdr:rowOff>
    </xdr:to>
    <xdr:sp macro="" textlink="">
      <xdr:nvSpPr>
        <xdr:cNvPr id="155" name="吹き出し: 角を丸めた四角形 154">
          <a:extLst>
            <a:ext uri="{FF2B5EF4-FFF2-40B4-BE49-F238E27FC236}">
              <a16:creationId xmlns:a16="http://schemas.microsoft.com/office/drawing/2014/main" id="{1FF84C3F-03F1-4D23-A3E7-EE5CB957E28A}"/>
            </a:ext>
          </a:extLst>
        </xdr:cNvPr>
        <xdr:cNvSpPr/>
      </xdr:nvSpPr>
      <xdr:spPr>
        <a:xfrm>
          <a:off x="6742579" y="16848044"/>
          <a:ext cx="1610286" cy="602316"/>
        </a:xfrm>
        <a:prstGeom prst="wedgeRoundRectCallout">
          <a:avLst>
            <a:gd name="adj1" fmla="val -65387"/>
            <a:gd name="adj2" fmla="val 589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保存対象排他エラー</a:t>
          </a:r>
        </a:p>
      </xdr:txBody>
    </xdr:sp>
    <xdr:clientData/>
  </xdr:twoCellAnchor>
  <xdr:twoCellAnchor>
    <xdr:from>
      <xdr:col>9</xdr:col>
      <xdr:colOff>216764</xdr:colOff>
      <xdr:row>75</xdr:row>
      <xdr:rowOff>69334</xdr:rowOff>
    </xdr:from>
    <xdr:to>
      <xdr:col>9</xdr:col>
      <xdr:colOff>218165</xdr:colOff>
      <xdr:row>78</xdr:row>
      <xdr:rowOff>107157</xdr:rowOff>
    </xdr:to>
    <xdr:cxnSp macro="">
      <xdr:nvCxnSpPr>
        <xdr:cNvPr id="156" name="直線矢印コネクタ 155">
          <a:extLst>
            <a:ext uri="{FF2B5EF4-FFF2-40B4-BE49-F238E27FC236}">
              <a16:creationId xmlns:a16="http://schemas.microsoft.com/office/drawing/2014/main" id="{810DDBFD-0031-4C8E-98B1-4D38D29AF7C9}"/>
            </a:ext>
          </a:extLst>
        </xdr:cNvPr>
        <xdr:cNvCxnSpPr>
          <a:stCxn id="46" idx="2"/>
          <a:endCxn id="53" idx="0"/>
        </xdr:cNvCxnSpPr>
      </xdr:nvCxnSpPr>
      <xdr:spPr>
        <a:xfrm>
          <a:off x="2274164" y="17928709"/>
          <a:ext cx="1401" cy="752198"/>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246530</xdr:colOff>
      <xdr:row>103</xdr:row>
      <xdr:rowOff>145677</xdr:rowOff>
    </xdr:from>
    <xdr:to>
      <xdr:col>14</xdr:col>
      <xdr:colOff>179295</xdr:colOff>
      <xdr:row>107</xdr:row>
      <xdr:rowOff>116260</xdr:rowOff>
    </xdr:to>
    <xdr:sp macro="" textlink="">
      <xdr:nvSpPr>
        <xdr:cNvPr id="157" name="テキスト ボックス 156">
          <a:extLst>
            <a:ext uri="{FF2B5EF4-FFF2-40B4-BE49-F238E27FC236}">
              <a16:creationId xmlns:a16="http://schemas.microsoft.com/office/drawing/2014/main" id="{44DB2DE5-F048-4B15-A1E2-263A1B22E5EB}"/>
            </a:ext>
          </a:extLst>
        </xdr:cNvPr>
        <xdr:cNvSpPr txBox="1"/>
      </xdr:nvSpPr>
      <xdr:spPr>
        <a:xfrm>
          <a:off x="1018055" y="23720052"/>
          <a:ext cx="2504515" cy="92308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７</a:t>
          </a:r>
          <a:r>
            <a:rPr kumimoji="1" lang="en-US" altLang="ja-JP" sz="1100"/>
            <a:t>-1</a:t>
          </a:r>
          <a:r>
            <a:rPr kumimoji="1" lang="ja-JP" altLang="en-US" sz="1100"/>
            <a:t>．現場棟明細リストの棟コードに紐づく概算情報未作成分有無</a:t>
          </a:r>
          <a:r>
            <a:rPr kumimoji="1" lang="en-US" altLang="ja-JP" sz="1100"/>
            <a:t>?</a:t>
          </a:r>
          <a:endParaRPr kumimoji="1" lang="ja-JP" altLang="en-US" sz="1100"/>
        </a:p>
      </xdr:txBody>
    </xdr:sp>
    <xdr:clientData/>
  </xdr:twoCellAnchor>
  <xdr:twoCellAnchor>
    <xdr:from>
      <xdr:col>8</xdr:col>
      <xdr:colOff>123265</xdr:colOff>
      <xdr:row>108</xdr:row>
      <xdr:rowOff>224118</xdr:rowOff>
    </xdr:from>
    <xdr:to>
      <xdr:col>11</xdr:col>
      <xdr:colOff>39921</xdr:colOff>
      <xdr:row>110</xdr:row>
      <xdr:rowOff>105057</xdr:rowOff>
    </xdr:to>
    <xdr:sp macro="" textlink="">
      <xdr:nvSpPr>
        <xdr:cNvPr id="158" name="フローチャート: 判断 157">
          <a:extLst>
            <a:ext uri="{FF2B5EF4-FFF2-40B4-BE49-F238E27FC236}">
              <a16:creationId xmlns:a16="http://schemas.microsoft.com/office/drawing/2014/main" id="{2444D3CC-1336-4B57-A6E1-159C96F9534F}"/>
            </a:ext>
          </a:extLst>
        </xdr:cNvPr>
        <xdr:cNvSpPr/>
      </xdr:nvSpPr>
      <xdr:spPr>
        <a:xfrm>
          <a:off x="1923490" y="24989118"/>
          <a:ext cx="688181" cy="357189"/>
        </a:xfrm>
        <a:prstGeom prst="flowChartDecision">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201707</xdr:colOff>
      <xdr:row>117</xdr:row>
      <xdr:rowOff>0</xdr:rowOff>
    </xdr:from>
    <xdr:to>
      <xdr:col>14</xdr:col>
      <xdr:colOff>224118</xdr:colOff>
      <xdr:row>120</xdr:row>
      <xdr:rowOff>205908</xdr:rowOff>
    </xdr:to>
    <xdr:sp macro="" textlink="">
      <xdr:nvSpPr>
        <xdr:cNvPr id="159" name="テキスト ボックス 158">
          <a:extLst>
            <a:ext uri="{FF2B5EF4-FFF2-40B4-BE49-F238E27FC236}">
              <a16:creationId xmlns:a16="http://schemas.microsoft.com/office/drawing/2014/main" id="{04C9C2C9-0EA9-4E8C-9EA6-AF9EC67D3C11}"/>
            </a:ext>
          </a:extLst>
        </xdr:cNvPr>
        <xdr:cNvSpPr txBox="1"/>
      </xdr:nvSpPr>
      <xdr:spPr>
        <a:xfrm>
          <a:off x="973232" y="26908125"/>
          <a:ext cx="2594161" cy="92028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７</a:t>
          </a:r>
          <a:r>
            <a:rPr kumimoji="1" lang="en-US" altLang="ja-JP" sz="1100"/>
            <a:t>-2</a:t>
          </a:r>
          <a:r>
            <a:rPr kumimoji="1" lang="ja-JP" altLang="en-US" sz="1100"/>
            <a:t>．現場棟明細リストの棟コードに紐づく</a:t>
          </a:r>
          <a:r>
            <a:rPr kumimoji="1" lang="ja-JP" altLang="ja-JP" sz="1100">
              <a:solidFill>
                <a:schemeClr val="dk1"/>
              </a:solidFill>
              <a:effectLst/>
              <a:latin typeface="+mn-lt"/>
              <a:ea typeface="+mn-ea"/>
              <a:cs typeface="+mn-cs"/>
            </a:rPr>
            <a:t>精積算</a:t>
          </a:r>
          <a:r>
            <a:rPr kumimoji="1" lang="ja-JP" altLang="en-US" sz="1100"/>
            <a:t>情報未作成分有無</a:t>
          </a:r>
          <a:r>
            <a:rPr kumimoji="1" lang="en-US" altLang="ja-JP" sz="1100"/>
            <a:t>?</a:t>
          </a:r>
          <a:endParaRPr kumimoji="1" lang="ja-JP" altLang="en-US" sz="1100"/>
        </a:p>
      </xdr:txBody>
    </xdr:sp>
    <xdr:clientData/>
  </xdr:twoCellAnchor>
  <xdr:twoCellAnchor>
    <xdr:from>
      <xdr:col>9</xdr:col>
      <xdr:colOff>212913</xdr:colOff>
      <xdr:row>114</xdr:row>
      <xdr:rowOff>190500</xdr:rowOff>
    </xdr:from>
    <xdr:to>
      <xdr:col>9</xdr:col>
      <xdr:colOff>215010</xdr:colOff>
      <xdr:row>117</xdr:row>
      <xdr:rowOff>0</xdr:rowOff>
    </xdr:to>
    <xdr:cxnSp macro="">
      <xdr:nvCxnSpPr>
        <xdr:cNvPr id="160" name="直線矢印コネクタ 159">
          <a:extLst>
            <a:ext uri="{FF2B5EF4-FFF2-40B4-BE49-F238E27FC236}">
              <a16:creationId xmlns:a16="http://schemas.microsoft.com/office/drawing/2014/main" id="{4CD70DDD-202D-4340-99DA-7393700580BA}"/>
            </a:ext>
          </a:extLst>
        </xdr:cNvPr>
        <xdr:cNvCxnSpPr>
          <a:stCxn id="69" idx="2"/>
          <a:endCxn id="159" idx="0"/>
        </xdr:cNvCxnSpPr>
      </xdr:nvCxnSpPr>
      <xdr:spPr>
        <a:xfrm flipH="1">
          <a:off x="2270313" y="26384250"/>
          <a:ext cx="2097" cy="523875"/>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123265</xdr:colOff>
      <xdr:row>122</xdr:row>
      <xdr:rowOff>100853</xdr:rowOff>
    </xdr:from>
    <xdr:to>
      <xdr:col>11</xdr:col>
      <xdr:colOff>39921</xdr:colOff>
      <xdr:row>123</xdr:row>
      <xdr:rowOff>217115</xdr:rowOff>
    </xdr:to>
    <xdr:sp macro="" textlink="">
      <xdr:nvSpPr>
        <xdr:cNvPr id="161" name="フローチャート: 判断 160">
          <a:extLst>
            <a:ext uri="{FF2B5EF4-FFF2-40B4-BE49-F238E27FC236}">
              <a16:creationId xmlns:a16="http://schemas.microsoft.com/office/drawing/2014/main" id="{E90E45B5-47E3-418F-964E-79ABD54E4444}"/>
            </a:ext>
          </a:extLst>
        </xdr:cNvPr>
        <xdr:cNvSpPr/>
      </xdr:nvSpPr>
      <xdr:spPr>
        <a:xfrm>
          <a:off x="1923490" y="28199603"/>
          <a:ext cx="688181" cy="354387"/>
        </a:xfrm>
        <a:prstGeom prst="flowChartDecision">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150580</xdr:colOff>
      <xdr:row>124</xdr:row>
      <xdr:rowOff>11206</xdr:rowOff>
    </xdr:from>
    <xdr:to>
      <xdr:col>13</xdr:col>
      <xdr:colOff>114859</xdr:colOff>
      <xdr:row>125</xdr:row>
      <xdr:rowOff>70739</xdr:rowOff>
    </xdr:to>
    <xdr:sp macro="" textlink="">
      <xdr:nvSpPr>
        <xdr:cNvPr id="162" name="テキスト ボックス 161">
          <a:extLst>
            <a:ext uri="{FF2B5EF4-FFF2-40B4-BE49-F238E27FC236}">
              <a16:creationId xmlns:a16="http://schemas.microsoft.com/office/drawing/2014/main" id="{3FB1FCB5-02F1-4535-A6F9-E66633ED09AD}"/>
            </a:ext>
          </a:extLst>
        </xdr:cNvPr>
        <xdr:cNvSpPr txBox="1"/>
      </xdr:nvSpPr>
      <xdr:spPr>
        <a:xfrm>
          <a:off x="2722330" y="28586206"/>
          <a:ext cx="478629" cy="2976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7</xdr:col>
      <xdr:colOff>4905</xdr:colOff>
      <xdr:row>123</xdr:row>
      <xdr:rowOff>212912</xdr:rowOff>
    </xdr:from>
    <xdr:to>
      <xdr:col>8</xdr:col>
      <xdr:colOff>226920</xdr:colOff>
      <xdr:row>125</xdr:row>
      <xdr:rowOff>37119</xdr:rowOff>
    </xdr:to>
    <xdr:sp macro="" textlink="">
      <xdr:nvSpPr>
        <xdr:cNvPr id="163" name="テキスト ボックス 162">
          <a:extLst>
            <a:ext uri="{FF2B5EF4-FFF2-40B4-BE49-F238E27FC236}">
              <a16:creationId xmlns:a16="http://schemas.microsoft.com/office/drawing/2014/main" id="{1F57ADBB-46B4-4B67-BD0A-BE9F614E258A}"/>
            </a:ext>
          </a:extLst>
        </xdr:cNvPr>
        <xdr:cNvSpPr txBox="1"/>
      </xdr:nvSpPr>
      <xdr:spPr>
        <a:xfrm>
          <a:off x="1547955" y="28549787"/>
          <a:ext cx="479190" cy="300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9</xdr:col>
      <xdr:colOff>210461</xdr:colOff>
      <xdr:row>123</xdr:row>
      <xdr:rowOff>217115</xdr:rowOff>
    </xdr:from>
    <xdr:to>
      <xdr:col>9</xdr:col>
      <xdr:colOff>215012</xdr:colOff>
      <xdr:row>126</xdr:row>
      <xdr:rowOff>7005</xdr:rowOff>
    </xdr:to>
    <xdr:cxnSp macro="">
      <xdr:nvCxnSpPr>
        <xdr:cNvPr id="164" name="直線矢印コネクタ 163">
          <a:extLst>
            <a:ext uri="{FF2B5EF4-FFF2-40B4-BE49-F238E27FC236}">
              <a16:creationId xmlns:a16="http://schemas.microsoft.com/office/drawing/2014/main" id="{437FEF40-DEAB-4859-BD23-DF5ED0A5DC68}"/>
            </a:ext>
          </a:extLst>
        </xdr:cNvPr>
        <xdr:cNvCxnSpPr>
          <a:cxnSpLocks/>
          <a:stCxn id="161" idx="2"/>
          <a:endCxn id="71" idx="0"/>
        </xdr:cNvCxnSpPr>
      </xdr:nvCxnSpPr>
      <xdr:spPr>
        <a:xfrm>
          <a:off x="2267861" y="28553990"/>
          <a:ext cx="4551" cy="504265"/>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215012</xdr:colOff>
      <xdr:row>128</xdr:row>
      <xdr:rowOff>201706</xdr:rowOff>
    </xdr:from>
    <xdr:to>
      <xdr:col>9</xdr:col>
      <xdr:colOff>218516</xdr:colOff>
      <xdr:row>130</xdr:row>
      <xdr:rowOff>219918</xdr:rowOff>
    </xdr:to>
    <xdr:cxnSp macro="">
      <xdr:nvCxnSpPr>
        <xdr:cNvPr id="165" name="直線矢印コネクタ 164">
          <a:extLst>
            <a:ext uri="{FF2B5EF4-FFF2-40B4-BE49-F238E27FC236}">
              <a16:creationId xmlns:a16="http://schemas.microsoft.com/office/drawing/2014/main" id="{DE4B71A5-0D0A-47FD-A39F-97E0050CE283}"/>
            </a:ext>
          </a:extLst>
        </xdr:cNvPr>
        <xdr:cNvCxnSpPr>
          <a:cxnSpLocks/>
          <a:stCxn id="71" idx="2"/>
          <a:endCxn id="73" idx="0"/>
        </xdr:cNvCxnSpPr>
      </xdr:nvCxnSpPr>
      <xdr:spPr>
        <a:xfrm>
          <a:off x="2272412" y="29729206"/>
          <a:ext cx="3504" cy="494462"/>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190499</xdr:colOff>
      <xdr:row>174</xdr:row>
      <xdr:rowOff>145676</xdr:rowOff>
    </xdr:from>
    <xdr:to>
      <xdr:col>30</xdr:col>
      <xdr:colOff>33617</xdr:colOff>
      <xdr:row>177</xdr:row>
      <xdr:rowOff>201706</xdr:rowOff>
    </xdr:to>
    <xdr:sp macro="" textlink="">
      <xdr:nvSpPr>
        <xdr:cNvPr id="166" name="テキスト ボックス 165">
          <a:extLst>
            <a:ext uri="{FF2B5EF4-FFF2-40B4-BE49-F238E27FC236}">
              <a16:creationId xmlns:a16="http://schemas.microsoft.com/office/drawing/2014/main" id="{1EEEA7A0-F51E-4092-A62E-AE24131DBD51}"/>
            </a:ext>
          </a:extLst>
        </xdr:cNvPr>
        <xdr:cNvSpPr txBox="1"/>
      </xdr:nvSpPr>
      <xdr:spPr>
        <a:xfrm>
          <a:off x="4305299" y="40626926"/>
          <a:ext cx="3186393" cy="77040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１３．現場棟明細リスト</a:t>
          </a:r>
          <a:r>
            <a:rPr kumimoji="1" lang="en-US" altLang="ja-JP" sz="1100">
              <a:solidFill>
                <a:srgbClr val="FF0000"/>
              </a:solidFill>
            </a:rPr>
            <a:t>(</a:t>
          </a:r>
          <a:r>
            <a:rPr kumimoji="1" lang="ja-JP" altLang="en-US" sz="1100">
              <a:solidFill>
                <a:srgbClr val="FF0000"/>
              </a:solidFill>
            </a:rPr>
            <a:t>追加分含む</a:t>
          </a:r>
          <a:r>
            <a:rPr kumimoji="1" lang="en-US" altLang="ja-JP" sz="1100">
              <a:solidFill>
                <a:srgbClr val="FF0000"/>
              </a:solidFill>
            </a:rPr>
            <a:t>)</a:t>
          </a:r>
          <a:r>
            <a:rPr kumimoji="1" lang="ja-JP" altLang="en-US" sz="1100"/>
            <a:t>の棟コードに紐づく現場の実行予算ヘッダ未作成有無</a:t>
          </a:r>
          <a:r>
            <a:rPr kumimoji="1" lang="en-US" altLang="ja-JP" sz="1100"/>
            <a:t>?</a:t>
          </a:r>
          <a:endParaRPr kumimoji="1" lang="ja-JP" altLang="en-US" sz="1100"/>
        </a:p>
      </xdr:txBody>
    </xdr:sp>
    <xdr:clientData/>
  </xdr:twoCellAnchor>
  <xdr:twoCellAnchor>
    <xdr:from>
      <xdr:col>22</xdr:col>
      <xdr:colOff>156881</xdr:colOff>
      <xdr:row>178</xdr:row>
      <xdr:rowOff>233921</xdr:rowOff>
    </xdr:from>
    <xdr:to>
      <xdr:col>25</xdr:col>
      <xdr:colOff>73537</xdr:colOff>
      <xdr:row>180</xdr:row>
      <xdr:rowOff>114859</xdr:rowOff>
    </xdr:to>
    <xdr:sp macro="" textlink="">
      <xdr:nvSpPr>
        <xdr:cNvPr id="167" name="フローチャート: 判断 166">
          <a:extLst>
            <a:ext uri="{FF2B5EF4-FFF2-40B4-BE49-F238E27FC236}">
              <a16:creationId xmlns:a16="http://schemas.microsoft.com/office/drawing/2014/main" id="{8142D65E-704E-4502-98DA-4A7BCA414E5F}"/>
            </a:ext>
          </a:extLst>
        </xdr:cNvPr>
        <xdr:cNvSpPr/>
      </xdr:nvSpPr>
      <xdr:spPr>
        <a:xfrm>
          <a:off x="5557556" y="41667671"/>
          <a:ext cx="688181" cy="357188"/>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0</xdr:colOff>
      <xdr:row>179</xdr:row>
      <xdr:rowOff>174390</xdr:rowOff>
    </xdr:from>
    <xdr:to>
      <xdr:col>25</xdr:col>
      <xdr:colOff>73537</xdr:colOff>
      <xdr:row>188</xdr:row>
      <xdr:rowOff>44824</xdr:rowOff>
    </xdr:to>
    <xdr:cxnSp macro="">
      <xdr:nvCxnSpPr>
        <xdr:cNvPr id="168" name="コネクタ: カギ線 167">
          <a:extLst>
            <a:ext uri="{FF2B5EF4-FFF2-40B4-BE49-F238E27FC236}">
              <a16:creationId xmlns:a16="http://schemas.microsoft.com/office/drawing/2014/main" id="{01D23F92-878E-4B2D-98F3-59C5A144EC35}"/>
            </a:ext>
          </a:extLst>
        </xdr:cNvPr>
        <xdr:cNvCxnSpPr>
          <a:stCxn id="167" idx="3"/>
          <a:endCxn id="173" idx="0"/>
        </xdr:cNvCxnSpPr>
      </xdr:nvCxnSpPr>
      <xdr:spPr>
        <a:xfrm flipH="1">
          <a:off x="4629150" y="41846265"/>
          <a:ext cx="1616587" cy="2013559"/>
        </a:xfrm>
        <a:prstGeom prst="bentConnector4">
          <a:avLst>
            <a:gd name="adj1" fmla="val -51466"/>
            <a:gd name="adj2" fmla="val 85418"/>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240927</xdr:colOff>
      <xdr:row>177</xdr:row>
      <xdr:rowOff>201706</xdr:rowOff>
    </xdr:from>
    <xdr:to>
      <xdr:col>23</xdr:col>
      <xdr:colOff>244077</xdr:colOff>
      <xdr:row>178</xdr:row>
      <xdr:rowOff>233921</xdr:rowOff>
    </xdr:to>
    <xdr:cxnSp macro="">
      <xdr:nvCxnSpPr>
        <xdr:cNvPr id="169" name="直線矢印コネクタ 168">
          <a:extLst>
            <a:ext uri="{FF2B5EF4-FFF2-40B4-BE49-F238E27FC236}">
              <a16:creationId xmlns:a16="http://schemas.microsoft.com/office/drawing/2014/main" id="{4C386B01-478E-47B3-87F4-63586EE0310F}"/>
            </a:ext>
          </a:extLst>
        </xdr:cNvPr>
        <xdr:cNvCxnSpPr>
          <a:stCxn id="166" idx="2"/>
          <a:endCxn id="167" idx="0"/>
        </xdr:cNvCxnSpPr>
      </xdr:nvCxnSpPr>
      <xdr:spPr>
        <a:xfrm>
          <a:off x="5898777" y="41397331"/>
          <a:ext cx="3150" cy="27034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105757</xdr:colOff>
      <xdr:row>180</xdr:row>
      <xdr:rowOff>56030</xdr:rowOff>
    </xdr:from>
    <xdr:to>
      <xdr:col>27</xdr:col>
      <xdr:colOff>70036</xdr:colOff>
      <xdr:row>181</xdr:row>
      <xdr:rowOff>115562</xdr:rowOff>
    </xdr:to>
    <xdr:sp macro="" textlink="">
      <xdr:nvSpPr>
        <xdr:cNvPr id="170" name="テキスト ボックス 169">
          <a:extLst>
            <a:ext uri="{FF2B5EF4-FFF2-40B4-BE49-F238E27FC236}">
              <a16:creationId xmlns:a16="http://schemas.microsoft.com/office/drawing/2014/main" id="{9AACE38F-535E-4C9B-8E60-D1B885AD49F6}"/>
            </a:ext>
          </a:extLst>
        </xdr:cNvPr>
        <xdr:cNvSpPr txBox="1"/>
      </xdr:nvSpPr>
      <xdr:spPr>
        <a:xfrm>
          <a:off x="6277957" y="41966030"/>
          <a:ext cx="478629" cy="2976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20</xdr:col>
      <xdr:colOff>139375</xdr:colOff>
      <xdr:row>180</xdr:row>
      <xdr:rowOff>112059</xdr:rowOff>
    </xdr:from>
    <xdr:to>
      <xdr:col>22</xdr:col>
      <xdr:colOff>103655</xdr:colOff>
      <xdr:row>181</xdr:row>
      <xdr:rowOff>171591</xdr:rowOff>
    </xdr:to>
    <xdr:sp macro="" textlink="">
      <xdr:nvSpPr>
        <xdr:cNvPr id="171" name="テキスト ボックス 170">
          <a:extLst>
            <a:ext uri="{FF2B5EF4-FFF2-40B4-BE49-F238E27FC236}">
              <a16:creationId xmlns:a16="http://schemas.microsoft.com/office/drawing/2014/main" id="{C8B63977-F8E3-47BE-AB7A-8443E4559E64}"/>
            </a:ext>
          </a:extLst>
        </xdr:cNvPr>
        <xdr:cNvSpPr txBox="1"/>
      </xdr:nvSpPr>
      <xdr:spPr>
        <a:xfrm>
          <a:off x="5025700" y="42022059"/>
          <a:ext cx="478630" cy="2976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17</xdr:col>
      <xdr:colOff>168086</xdr:colOff>
      <xdr:row>192</xdr:row>
      <xdr:rowOff>189098</xdr:rowOff>
    </xdr:from>
    <xdr:to>
      <xdr:col>20</xdr:col>
      <xdr:colOff>84742</xdr:colOff>
      <xdr:row>194</xdr:row>
      <xdr:rowOff>70036</xdr:rowOff>
    </xdr:to>
    <xdr:sp macro="" textlink="">
      <xdr:nvSpPr>
        <xdr:cNvPr id="172" name="フローチャート: 判断 171">
          <a:extLst>
            <a:ext uri="{FF2B5EF4-FFF2-40B4-BE49-F238E27FC236}">
              <a16:creationId xmlns:a16="http://schemas.microsoft.com/office/drawing/2014/main" id="{EA2A93A5-0B6C-4C03-87D6-C78DAE2081D0}"/>
            </a:ext>
          </a:extLst>
        </xdr:cNvPr>
        <xdr:cNvSpPr/>
      </xdr:nvSpPr>
      <xdr:spPr>
        <a:xfrm>
          <a:off x="4282886" y="44956598"/>
          <a:ext cx="688181" cy="357188"/>
        </a:xfrm>
        <a:prstGeom prst="flowChartDecisi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112059</xdr:colOff>
      <xdr:row>188</xdr:row>
      <xdr:rowOff>44824</xdr:rowOff>
    </xdr:from>
    <xdr:to>
      <xdr:col>25</xdr:col>
      <xdr:colOff>145676</xdr:colOff>
      <xdr:row>191</xdr:row>
      <xdr:rowOff>100853</xdr:rowOff>
    </xdr:to>
    <xdr:sp macro="" textlink="">
      <xdr:nvSpPr>
        <xdr:cNvPr id="173" name="テキスト ボックス 172">
          <a:extLst>
            <a:ext uri="{FF2B5EF4-FFF2-40B4-BE49-F238E27FC236}">
              <a16:creationId xmlns:a16="http://schemas.microsoft.com/office/drawing/2014/main" id="{9C4AAD6A-A71A-4660-BF04-53F498AD13CB}"/>
            </a:ext>
          </a:extLst>
        </xdr:cNvPr>
        <xdr:cNvSpPr txBox="1"/>
      </xdr:nvSpPr>
      <xdr:spPr>
        <a:xfrm>
          <a:off x="2940984" y="43859824"/>
          <a:ext cx="3376892" cy="77040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１４．現場棟明細リスト</a:t>
          </a:r>
          <a:r>
            <a:rPr kumimoji="1" lang="en-US" altLang="ja-JP" sz="1100">
              <a:solidFill>
                <a:srgbClr val="FF0000"/>
              </a:solidFill>
              <a:effectLst/>
              <a:latin typeface="+mn-lt"/>
              <a:ea typeface="+mn-ea"/>
              <a:cs typeface="+mn-cs"/>
            </a:rPr>
            <a:t>(</a:t>
          </a:r>
          <a:r>
            <a:rPr kumimoji="1" lang="ja-JP" altLang="ja-JP" sz="1100">
              <a:solidFill>
                <a:srgbClr val="FF0000"/>
              </a:solidFill>
              <a:effectLst/>
              <a:latin typeface="+mn-lt"/>
              <a:ea typeface="+mn-ea"/>
              <a:cs typeface="+mn-cs"/>
            </a:rPr>
            <a:t>追加分含む</a:t>
          </a:r>
          <a:r>
            <a:rPr kumimoji="1" lang="en-US" altLang="ja-JP" sz="1100">
              <a:solidFill>
                <a:srgbClr val="FF0000"/>
              </a:solidFill>
              <a:effectLst/>
              <a:latin typeface="+mn-lt"/>
              <a:ea typeface="+mn-ea"/>
              <a:cs typeface="+mn-cs"/>
            </a:rPr>
            <a:t>)</a:t>
          </a:r>
          <a:r>
            <a:rPr kumimoji="1" lang="ja-JP" altLang="en-US" sz="1100"/>
            <a:t>の棟コードに紐づく現場の</a:t>
          </a:r>
          <a:r>
            <a:rPr kumimoji="1" lang="ja-JP" altLang="ja-JP" sz="1100">
              <a:solidFill>
                <a:schemeClr val="dk1"/>
              </a:solidFill>
              <a:effectLst/>
              <a:latin typeface="+mn-lt"/>
              <a:ea typeface="+mn-ea"/>
              <a:cs typeface="+mn-cs"/>
            </a:rPr>
            <a:t>出来高シミュレーション</a:t>
          </a:r>
          <a:r>
            <a:rPr kumimoji="1" lang="ja-JP" altLang="en-US" sz="1100"/>
            <a:t>未作成有無</a:t>
          </a:r>
          <a:r>
            <a:rPr kumimoji="1" lang="en-US" altLang="ja-JP" sz="1100"/>
            <a:t>?</a:t>
          </a:r>
          <a:endParaRPr kumimoji="1" lang="ja-JP" altLang="en-US" sz="1100"/>
        </a:p>
      </xdr:txBody>
    </xdr:sp>
    <xdr:clientData/>
  </xdr:twoCellAnchor>
  <xdr:twoCellAnchor>
    <xdr:from>
      <xdr:col>18</xdr:col>
      <xdr:colOff>255282</xdr:colOff>
      <xdr:row>191</xdr:row>
      <xdr:rowOff>100853</xdr:rowOff>
    </xdr:from>
    <xdr:to>
      <xdr:col>19</xdr:col>
      <xdr:colOff>0</xdr:colOff>
      <xdr:row>192</xdr:row>
      <xdr:rowOff>189098</xdr:rowOff>
    </xdr:to>
    <xdr:cxnSp macro="">
      <xdr:nvCxnSpPr>
        <xdr:cNvPr id="174" name="直線矢印コネクタ 173">
          <a:extLst>
            <a:ext uri="{FF2B5EF4-FFF2-40B4-BE49-F238E27FC236}">
              <a16:creationId xmlns:a16="http://schemas.microsoft.com/office/drawing/2014/main" id="{14EACDFB-5601-4FD0-9BD5-F21744EA20DE}"/>
            </a:ext>
          </a:extLst>
        </xdr:cNvPr>
        <xdr:cNvCxnSpPr>
          <a:stCxn id="173" idx="2"/>
          <a:endCxn id="172" idx="0"/>
        </xdr:cNvCxnSpPr>
      </xdr:nvCxnSpPr>
      <xdr:spPr>
        <a:xfrm flipH="1">
          <a:off x="4627257" y="44630228"/>
          <a:ext cx="1893" cy="32637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246530</xdr:colOff>
      <xdr:row>194</xdr:row>
      <xdr:rowOff>70036</xdr:rowOff>
    </xdr:from>
    <xdr:to>
      <xdr:col>18</xdr:col>
      <xdr:colOff>255282</xdr:colOff>
      <xdr:row>196</xdr:row>
      <xdr:rowOff>107858</xdr:rowOff>
    </xdr:to>
    <xdr:cxnSp macro="">
      <xdr:nvCxnSpPr>
        <xdr:cNvPr id="175" name="直線矢印コネクタ 174">
          <a:extLst>
            <a:ext uri="{FF2B5EF4-FFF2-40B4-BE49-F238E27FC236}">
              <a16:creationId xmlns:a16="http://schemas.microsoft.com/office/drawing/2014/main" id="{DF450AAD-D058-4CAA-A258-602A9664F7B2}"/>
            </a:ext>
          </a:extLst>
        </xdr:cNvPr>
        <xdr:cNvCxnSpPr>
          <a:stCxn id="172" idx="2"/>
          <a:endCxn id="125" idx="0"/>
        </xdr:cNvCxnSpPr>
      </xdr:nvCxnSpPr>
      <xdr:spPr>
        <a:xfrm flipH="1">
          <a:off x="4618505" y="45313786"/>
          <a:ext cx="8752" cy="514072"/>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217817</xdr:colOff>
      <xdr:row>194</xdr:row>
      <xdr:rowOff>89648</xdr:rowOff>
    </xdr:from>
    <xdr:to>
      <xdr:col>18</xdr:col>
      <xdr:colOff>182096</xdr:colOff>
      <xdr:row>195</xdr:row>
      <xdr:rowOff>149179</xdr:rowOff>
    </xdr:to>
    <xdr:sp macro="" textlink="">
      <xdr:nvSpPr>
        <xdr:cNvPr id="176" name="テキスト ボックス 175">
          <a:extLst>
            <a:ext uri="{FF2B5EF4-FFF2-40B4-BE49-F238E27FC236}">
              <a16:creationId xmlns:a16="http://schemas.microsoft.com/office/drawing/2014/main" id="{7E63CE02-E138-457A-9DEF-D4B633A00989}"/>
            </a:ext>
          </a:extLst>
        </xdr:cNvPr>
        <xdr:cNvSpPr txBox="1"/>
      </xdr:nvSpPr>
      <xdr:spPr>
        <a:xfrm>
          <a:off x="4075442" y="45333398"/>
          <a:ext cx="478629"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20</xdr:col>
      <xdr:colOff>251433</xdr:colOff>
      <xdr:row>194</xdr:row>
      <xdr:rowOff>1</xdr:rowOff>
    </xdr:from>
    <xdr:to>
      <xdr:col>22</xdr:col>
      <xdr:colOff>215713</xdr:colOff>
      <xdr:row>195</xdr:row>
      <xdr:rowOff>59533</xdr:rowOff>
    </xdr:to>
    <xdr:sp macro="" textlink="">
      <xdr:nvSpPr>
        <xdr:cNvPr id="177" name="テキスト ボックス 176">
          <a:extLst>
            <a:ext uri="{FF2B5EF4-FFF2-40B4-BE49-F238E27FC236}">
              <a16:creationId xmlns:a16="http://schemas.microsoft.com/office/drawing/2014/main" id="{BF6C7CFD-D711-4B16-9A43-D24F45AC57B2}"/>
            </a:ext>
          </a:extLst>
        </xdr:cNvPr>
        <xdr:cNvSpPr txBox="1"/>
      </xdr:nvSpPr>
      <xdr:spPr>
        <a:xfrm>
          <a:off x="5137758" y="45243751"/>
          <a:ext cx="478630" cy="2976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18</xdr:col>
      <xdr:colOff>252132</xdr:colOff>
      <xdr:row>193</xdr:row>
      <xdr:rowOff>129567</xdr:rowOff>
    </xdr:from>
    <xdr:to>
      <xdr:col>20</xdr:col>
      <xdr:colOff>84742</xdr:colOff>
      <xdr:row>202</xdr:row>
      <xdr:rowOff>33617</xdr:rowOff>
    </xdr:to>
    <xdr:cxnSp macro="">
      <xdr:nvCxnSpPr>
        <xdr:cNvPr id="178" name="コネクタ: カギ線 177">
          <a:extLst>
            <a:ext uri="{FF2B5EF4-FFF2-40B4-BE49-F238E27FC236}">
              <a16:creationId xmlns:a16="http://schemas.microsoft.com/office/drawing/2014/main" id="{199B3CCB-C9DF-4F6C-BE8C-003E99634311}"/>
            </a:ext>
          </a:extLst>
        </xdr:cNvPr>
        <xdr:cNvCxnSpPr>
          <a:stCxn id="172" idx="3"/>
          <a:endCxn id="135" idx="0"/>
        </xdr:cNvCxnSpPr>
      </xdr:nvCxnSpPr>
      <xdr:spPr>
        <a:xfrm flipH="1">
          <a:off x="4624107" y="45135192"/>
          <a:ext cx="346960" cy="2047175"/>
        </a:xfrm>
        <a:prstGeom prst="bentConnector4">
          <a:avLst>
            <a:gd name="adj1" fmla="val -342537"/>
            <a:gd name="adj2" fmla="val 85383"/>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212912</xdr:colOff>
      <xdr:row>104</xdr:row>
      <xdr:rowOff>33618</xdr:rowOff>
    </xdr:from>
    <xdr:to>
      <xdr:col>28</xdr:col>
      <xdr:colOff>123265</xdr:colOff>
      <xdr:row>106</xdr:row>
      <xdr:rowOff>224118</xdr:rowOff>
    </xdr:to>
    <xdr:sp macro="" textlink="">
      <xdr:nvSpPr>
        <xdr:cNvPr id="179" name="吹き出し: 角を丸めた四角形 178">
          <a:extLst>
            <a:ext uri="{FF2B5EF4-FFF2-40B4-BE49-F238E27FC236}">
              <a16:creationId xmlns:a16="http://schemas.microsoft.com/office/drawing/2014/main" id="{B940F1BA-8B6D-4241-96A2-E8E8C740759D}"/>
            </a:ext>
          </a:extLst>
        </xdr:cNvPr>
        <xdr:cNvSpPr/>
      </xdr:nvSpPr>
      <xdr:spPr>
        <a:xfrm>
          <a:off x="3813362" y="23846118"/>
          <a:ext cx="3253628" cy="666750"/>
        </a:xfrm>
        <a:prstGeom prst="wedgeRoundRectCallout">
          <a:avLst>
            <a:gd name="adj1" fmla="val -55678"/>
            <a:gd name="adj2" fmla="val 19667"/>
            <a:gd name="adj3" fmla="val 16667"/>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今回見直し箇所：</a:t>
          </a:r>
          <a:endParaRPr kumimoji="1" lang="en-US" altLang="ja-JP" sz="1100">
            <a:solidFill>
              <a:srgbClr val="FF0000"/>
            </a:solidFill>
          </a:endParaRPr>
        </a:p>
        <a:p>
          <a:pPr algn="l"/>
          <a:r>
            <a:rPr kumimoji="1" lang="ja-JP" altLang="en-US" sz="1100">
              <a:solidFill>
                <a:srgbClr val="FF0000"/>
              </a:solidFill>
            </a:rPr>
            <a:t>テーブルより検索し、未作成有無をチェック</a:t>
          </a:r>
        </a:p>
      </xdr:txBody>
    </xdr:sp>
    <xdr:clientData/>
  </xdr:twoCellAnchor>
  <xdr:twoCellAnchor>
    <xdr:from>
      <xdr:col>16</xdr:col>
      <xdr:colOff>190500</xdr:colOff>
      <xdr:row>118</xdr:row>
      <xdr:rowOff>0</xdr:rowOff>
    </xdr:from>
    <xdr:to>
      <xdr:col>28</xdr:col>
      <xdr:colOff>201706</xdr:colOff>
      <xdr:row>120</xdr:row>
      <xdr:rowOff>190500</xdr:rowOff>
    </xdr:to>
    <xdr:sp macro="" textlink="">
      <xdr:nvSpPr>
        <xdr:cNvPr id="180" name="吹き出し: 角を丸めた四角形 179">
          <a:extLst>
            <a:ext uri="{FF2B5EF4-FFF2-40B4-BE49-F238E27FC236}">
              <a16:creationId xmlns:a16="http://schemas.microsoft.com/office/drawing/2014/main" id="{073B9BEB-3F35-45E5-8142-F8666645DD1C}"/>
            </a:ext>
          </a:extLst>
        </xdr:cNvPr>
        <xdr:cNvSpPr/>
      </xdr:nvSpPr>
      <xdr:spPr>
        <a:xfrm>
          <a:off x="4048125" y="27146250"/>
          <a:ext cx="3097306" cy="666750"/>
        </a:xfrm>
        <a:prstGeom prst="wedgeRoundRectCallout">
          <a:avLst>
            <a:gd name="adj1" fmla="val -55678"/>
            <a:gd name="adj2" fmla="val 19667"/>
            <a:gd name="adj3" fmla="val 16667"/>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今回見直し箇所：</a:t>
          </a:r>
          <a:endParaRPr kumimoji="1" lang="en-US" altLang="ja-JP" sz="1100">
            <a:solidFill>
              <a:srgbClr val="FF0000"/>
            </a:solidFill>
          </a:endParaRPr>
        </a:p>
        <a:p>
          <a:pPr algn="l"/>
          <a:r>
            <a:rPr kumimoji="1" lang="ja-JP" altLang="en-US" sz="1100">
              <a:solidFill>
                <a:srgbClr val="FF0000"/>
              </a:solidFill>
            </a:rPr>
            <a:t>テーブルより検索し、未作成有無をチェック</a:t>
          </a:r>
        </a:p>
      </xdr:txBody>
    </xdr:sp>
    <xdr:clientData/>
  </xdr:twoCellAnchor>
  <xdr:twoCellAnchor>
    <xdr:from>
      <xdr:col>21</xdr:col>
      <xdr:colOff>156882</xdr:colOff>
      <xdr:row>149</xdr:row>
      <xdr:rowOff>33618</xdr:rowOff>
    </xdr:from>
    <xdr:to>
      <xdr:col>34</xdr:col>
      <xdr:colOff>100852</xdr:colOff>
      <xdr:row>151</xdr:row>
      <xdr:rowOff>224118</xdr:rowOff>
    </xdr:to>
    <xdr:sp macro="" textlink="">
      <xdr:nvSpPr>
        <xdr:cNvPr id="181" name="吹き出し: 角を丸めた四角形 180">
          <a:extLst>
            <a:ext uri="{FF2B5EF4-FFF2-40B4-BE49-F238E27FC236}">
              <a16:creationId xmlns:a16="http://schemas.microsoft.com/office/drawing/2014/main" id="{4C9BC7E2-2810-4536-8876-D0E37D11E944}"/>
            </a:ext>
          </a:extLst>
        </xdr:cNvPr>
        <xdr:cNvSpPr/>
      </xdr:nvSpPr>
      <xdr:spPr>
        <a:xfrm>
          <a:off x="5300382" y="34561743"/>
          <a:ext cx="3287245" cy="666750"/>
        </a:xfrm>
        <a:prstGeom prst="wedgeRoundRectCallout">
          <a:avLst>
            <a:gd name="adj1" fmla="val -33909"/>
            <a:gd name="adj2" fmla="val 62040"/>
            <a:gd name="adj3" fmla="val 16667"/>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今回見直し箇所：</a:t>
          </a:r>
          <a:endParaRPr kumimoji="1" lang="en-US" altLang="ja-JP" sz="1100">
            <a:solidFill>
              <a:srgbClr val="FF0000"/>
            </a:solidFill>
          </a:endParaRPr>
        </a:p>
        <a:p>
          <a:pPr algn="l"/>
          <a:r>
            <a:rPr kumimoji="1" lang="ja-JP" altLang="en-US" sz="1100">
              <a:solidFill>
                <a:srgbClr val="FF0000"/>
              </a:solidFill>
            </a:rPr>
            <a:t>テーブルより検索し、未作成有無をチェック</a:t>
          </a:r>
        </a:p>
      </xdr:txBody>
    </xdr:sp>
    <xdr:clientData/>
  </xdr:twoCellAnchor>
  <xdr:twoCellAnchor>
    <xdr:from>
      <xdr:col>25</xdr:col>
      <xdr:colOff>201706</xdr:colOff>
      <xdr:row>171</xdr:row>
      <xdr:rowOff>2</xdr:rowOff>
    </xdr:from>
    <xdr:to>
      <xdr:col>38</xdr:col>
      <xdr:colOff>123265</xdr:colOff>
      <xdr:row>173</xdr:row>
      <xdr:rowOff>190502</xdr:rowOff>
    </xdr:to>
    <xdr:sp macro="" textlink="">
      <xdr:nvSpPr>
        <xdr:cNvPr id="182" name="吹き出し: 角を丸めた四角形 181">
          <a:extLst>
            <a:ext uri="{FF2B5EF4-FFF2-40B4-BE49-F238E27FC236}">
              <a16:creationId xmlns:a16="http://schemas.microsoft.com/office/drawing/2014/main" id="{861E081D-E4B6-4891-9162-1F22321DFB2B}"/>
            </a:ext>
          </a:extLst>
        </xdr:cNvPr>
        <xdr:cNvSpPr/>
      </xdr:nvSpPr>
      <xdr:spPr>
        <a:xfrm>
          <a:off x="6373906" y="39766877"/>
          <a:ext cx="3264834" cy="666750"/>
        </a:xfrm>
        <a:prstGeom prst="wedgeRoundRectCallout">
          <a:avLst>
            <a:gd name="adj1" fmla="val -34445"/>
            <a:gd name="adj2" fmla="val 77294"/>
            <a:gd name="adj3" fmla="val 16667"/>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今回見直し箇所：</a:t>
          </a:r>
          <a:endParaRPr kumimoji="1" lang="en-US" altLang="ja-JP" sz="1100">
            <a:solidFill>
              <a:srgbClr val="FF0000"/>
            </a:solidFill>
          </a:endParaRPr>
        </a:p>
        <a:p>
          <a:pPr algn="l"/>
          <a:r>
            <a:rPr kumimoji="1" lang="ja-JP" altLang="en-US" sz="1100">
              <a:solidFill>
                <a:srgbClr val="FF0000"/>
              </a:solidFill>
            </a:rPr>
            <a:t>テーブルより検索し、未作成有無をチェック</a:t>
          </a:r>
        </a:p>
      </xdr:txBody>
    </xdr:sp>
    <xdr:clientData/>
  </xdr:twoCellAnchor>
  <xdr:twoCellAnchor>
    <xdr:from>
      <xdr:col>26</xdr:col>
      <xdr:colOff>78440</xdr:colOff>
      <xdr:row>188</xdr:row>
      <xdr:rowOff>78443</xdr:rowOff>
    </xdr:from>
    <xdr:to>
      <xdr:col>38</xdr:col>
      <xdr:colOff>112058</xdr:colOff>
      <xdr:row>191</xdr:row>
      <xdr:rowOff>33619</xdr:rowOff>
    </xdr:to>
    <xdr:sp macro="" textlink="">
      <xdr:nvSpPr>
        <xdr:cNvPr id="183" name="吹き出し: 角を丸めた四角形 182">
          <a:extLst>
            <a:ext uri="{FF2B5EF4-FFF2-40B4-BE49-F238E27FC236}">
              <a16:creationId xmlns:a16="http://schemas.microsoft.com/office/drawing/2014/main" id="{66AF234D-6617-45E9-A17B-8EF49CD0302A}"/>
            </a:ext>
          </a:extLst>
        </xdr:cNvPr>
        <xdr:cNvSpPr/>
      </xdr:nvSpPr>
      <xdr:spPr>
        <a:xfrm>
          <a:off x="6507815" y="43893443"/>
          <a:ext cx="3119718" cy="669551"/>
        </a:xfrm>
        <a:prstGeom prst="wedgeRoundRectCallout">
          <a:avLst>
            <a:gd name="adj1" fmla="val -55678"/>
            <a:gd name="adj2" fmla="val 19667"/>
            <a:gd name="adj3" fmla="val 16667"/>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今回見直し箇所：</a:t>
          </a:r>
          <a:endParaRPr kumimoji="1" lang="en-US" altLang="ja-JP" sz="1100">
            <a:solidFill>
              <a:srgbClr val="FF0000"/>
            </a:solidFill>
          </a:endParaRPr>
        </a:p>
        <a:p>
          <a:pPr algn="l"/>
          <a:r>
            <a:rPr kumimoji="1" lang="ja-JP" altLang="en-US" sz="1100">
              <a:solidFill>
                <a:srgbClr val="FF0000"/>
              </a:solidFill>
            </a:rPr>
            <a:t>テーブルより検索し、未作成有無をチェック</a:t>
          </a:r>
        </a:p>
      </xdr:txBody>
    </xdr:sp>
    <xdr:clientData/>
  </xdr:twoCellAnchor>
  <xdr:twoCellAnchor>
    <xdr:from>
      <xdr:col>18</xdr:col>
      <xdr:colOff>246530</xdr:colOff>
      <xdr:row>179</xdr:row>
      <xdr:rowOff>174389</xdr:rowOff>
    </xdr:from>
    <xdr:to>
      <xdr:col>22</xdr:col>
      <xdr:colOff>156881</xdr:colOff>
      <xdr:row>182</xdr:row>
      <xdr:rowOff>219916</xdr:rowOff>
    </xdr:to>
    <xdr:cxnSp macro="">
      <xdr:nvCxnSpPr>
        <xdr:cNvPr id="184" name="コネクタ: カギ線 183">
          <a:extLst>
            <a:ext uri="{FF2B5EF4-FFF2-40B4-BE49-F238E27FC236}">
              <a16:creationId xmlns:a16="http://schemas.microsoft.com/office/drawing/2014/main" id="{9D10131D-4DF8-46B1-BD7D-8F42648ED4AA}"/>
            </a:ext>
          </a:extLst>
        </xdr:cNvPr>
        <xdr:cNvCxnSpPr>
          <a:stCxn id="167" idx="1"/>
          <a:endCxn id="122" idx="0"/>
        </xdr:cNvCxnSpPr>
      </xdr:nvCxnSpPr>
      <xdr:spPr>
        <a:xfrm rot="10800000" flipV="1">
          <a:off x="4618505" y="41846264"/>
          <a:ext cx="939051" cy="759902"/>
        </a:xfrm>
        <a:prstGeom prst="bentConnector2">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100856</xdr:colOff>
      <xdr:row>181</xdr:row>
      <xdr:rowOff>134473</xdr:rowOff>
    </xdr:from>
    <xdr:to>
      <xdr:col>11</xdr:col>
      <xdr:colOff>115698</xdr:colOff>
      <xdr:row>182</xdr:row>
      <xdr:rowOff>152683</xdr:rowOff>
    </xdr:to>
    <xdr:grpSp>
      <xdr:nvGrpSpPr>
        <xdr:cNvPr id="204" name="グループ化 203">
          <a:extLst>
            <a:ext uri="{FF2B5EF4-FFF2-40B4-BE49-F238E27FC236}">
              <a16:creationId xmlns:a16="http://schemas.microsoft.com/office/drawing/2014/main" id="{74D98673-6F0C-4E02-37B5-D8EDBBDB9E66}"/>
            </a:ext>
          </a:extLst>
        </xdr:cNvPr>
        <xdr:cNvGrpSpPr/>
      </xdr:nvGrpSpPr>
      <xdr:grpSpPr>
        <a:xfrm>
          <a:off x="2678209" y="42728032"/>
          <a:ext cx="272577" cy="253533"/>
          <a:chOff x="4909342" y="11870530"/>
          <a:chExt cx="230188" cy="226219"/>
        </a:xfrm>
      </xdr:grpSpPr>
      <xdr:sp macro="" textlink="">
        <xdr:nvSpPr>
          <xdr:cNvPr id="205" name="フローチャート: 結合子 204">
            <a:extLst>
              <a:ext uri="{FF2B5EF4-FFF2-40B4-BE49-F238E27FC236}">
                <a16:creationId xmlns:a16="http://schemas.microsoft.com/office/drawing/2014/main" id="{C486F9D4-3501-624E-77B5-A61EDE76E505}"/>
              </a:ext>
            </a:extLst>
          </xdr:cNvPr>
          <xdr:cNvSpPr/>
        </xdr:nvSpPr>
        <xdr:spPr>
          <a:xfrm>
            <a:off x="4909342" y="11870530"/>
            <a:ext cx="230188" cy="226219"/>
          </a:xfrm>
          <a:prstGeom prst="flowChartConnector">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6" name="フローチャート: 結合子 205">
            <a:extLst>
              <a:ext uri="{FF2B5EF4-FFF2-40B4-BE49-F238E27FC236}">
                <a16:creationId xmlns:a16="http://schemas.microsoft.com/office/drawing/2014/main" id="{66987F7E-4179-B7C7-3589-CAF3AC05FC49}"/>
              </a:ext>
            </a:extLst>
          </xdr:cNvPr>
          <xdr:cNvSpPr/>
        </xdr:nvSpPr>
        <xdr:spPr>
          <a:xfrm>
            <a:off x="4968875" y="11922125"/>
            <a:ext cx="111125" cy="115093"/>
          </a:xfrm>
          <a:prstGeom prst="flowChartConnector">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10</xdr:col>
      <xdr:colOff>237145</xdr:colOff>
      <xdr:row>180</xdr:row>
      <xdr:rowOff>33617</xdr:rowOff>
    </xdr:from>
    <xdr:to>
      <xdr:col>10</xdr:col>
      <xdr:colOff>240926</xdr:colOff>
      <xdr:row>181</xdr:row>
      <xdr:rowOff>134473</xdr:rowOff>
    </xdr:to>
    <xdr:cxnSp macro="">
      <xdr:nvCxnSpPr>
        <xdr:cNvPr id="207" name="直線矢印コネクタ 206">
          <a:extLst>
            <a:ext uri="{FF2B5EF4-FFF2-40B4-BE49-F238E27FC236}">
              <a16:creationId xmlns:a16="http://schemas.microsoft.com/office/drawing/2014/main" id="{A3FC6256-6754-4205-258F-00604CFBBC7F}"/>
            </a:ext>
          </a:extLst>
        </xdr:cNvPr>
        <xdr:cNvCxnSpPr>
          <a:stCxn id="123" idx="2"/>
          <a:endCxn id="205" idx="0"/>
        </xdr:cNvCxnSpPr>
      </xdr:nvCxnSpPr>
      <xdr:spPr>
        <a:xfrm flipH="1">
          <a:off x="2814498" y="41450558"/>
          <a:ext cx="3781" cy="33618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89648</xdr:colOff>
      <xdr:row>95</xdr:row>
      <xdr:rowOff>186299</xdr:rowOff>
    </xdr:from>
    <xdr:to>
      <xdr:col>14</xdr:col>
      <xdr:colOff>78441</xdr:colOff>
      <xdr:row>98</xdr:row>
      <xdr:rowOff>10506</xdr:rowOff>
    </xdr:to>
    <xdr:sp macro="" textlink="">
      <xdr:nvSpPr>
        <xdr:cNvPr id="185" name="テキスト ボックス 184">
          <a:extLst>
            <a:ext uri="{FF2B5EF4-FFF2-40B4-BE49-F238E27FC236}">
              <a16:creationId xmlns:a16="http://schemas.microsoft.com/office/drawing/2014/main" id="{8C5CAFC4-7B1A-4E2A-BD90-2A35710B3AD3}"/>
            </a:ext>
          </a:extLst>
        </xdr:cNvPr>
        <xdr:cNvSpPr txBox="1"/>
      </xdr:nvSpPr>
      <xdr:spPr>
        <a:xfrm>
          <a:off x="1378324" y="22542034"/>
          <a:ext cx="2308411" cy="53017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６</a:t>
          </a:r>
          <a:r>
            <a:rPr kumimoji="1" lang="en-US" altLang="ja-JP" sz="1100"/>
            <a:t>-1</a:t>
          </a:r>
          <a:r>
            <a:rPr kumimoji="1" lang="ja-JP" altLang="en-US" sz="1100"/>
            <a:t>．</a:t>
          </a:r>
          <a:r>
            <a:rPr kumimoji="1" lang="ja-JP" altLang="en-US" sz="1100">
              <a:solidFill>
                <a:srgbClr val="FF0000"/>
              </a:solidFill>
            </a:rPr>
            <a:t>案件先行作業</a:t>
          </a:r>
          <a:r>
            <a:rPr kumimoji="1" lang="ja-JP" altLang="en-US" sz="1100"/>
            <a:t>を保存</a:t>
          </a:r>
        </a:p>
      </xdr:txBody>
    </xdr:sp>
    <xdr:clientData/>
  </xdr:twoCellAnchor>
  <xdr:twoCellAnchor>
    <xdr:from>
      <xdr:col>9</xdr:col>
      <xdr:colOff>212912</xdr:colOff>
      <xdr:row>98</xdr:row>
      <xdr:rowOff>10506</xdr:rowOff>
    </xdr:from>
    <xdr:to>
      <xdr:col>9</xdr:col>
      <xdr:colOff>212913</xdr:colOff>
      <xdr:row>99</xdr:row>
      <xdr:rowOff>145677</xdr:rowOff>
    </xdr:to>
    <xdr:cxnSp macro="">
      <xdr:nvCxnSpPr>
        <xdr:cNvPr id="186" name="直線矢印コネクタ 185">
          <a:extLst>
            <a:ext uri="{FF2B5EF4-FFF2-40B4-BE49-F238E27FC236}">
              <a16:creationId xmlns:a16="http://schemas.microsoft.com/office/drawing/2014/main" id="{5397D6B6-024E-439D-A5CA-41E0B1F6B69B}"/>
            </a:ext>
          </a:extLst>
        </xdr:cNvPr>
        <xdr:cNvCxnSpPr>
          <a:cxnSpLocks/>
          <a:stCxn id="185" idx="2"/>
        </xdr:cNvCxnSpPr>
      </xdr:nvCxnSpPr>
      <xdr:spPr>
        <a:xfrm>
          <a:off x="2532530" y="23072212"/>
          <a:ext cx="1" cy="370494"/>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達也 柳" id="{13397D93-A6A6-4248-A4F5-B310C325EABC}" userId="90d99f1ad7a589c5"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59" dT="2025-04-22T09:57:32.94" personId="{13397D93-A6A6-4248-A4F5-B310C325EABC}" id="{8A8A8518-4669-4AFC-9A54-E287C170E4E2}">
    <text xml:space="preserve">工事工程区分未定のため、保留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3FA2-E25E-4D5F-86D7-857E0F8E6CF3}">
  <dimension ref="A1:H1000"/>
  <sheetViews>
    <sheetView tabSelected="1" topLeftCell="A10" workbookViewId="0">
      <selection activeCell="D33" sqref="D33"/>
    </sheetView>
  </sheetViews>
  <sheetFormatPr defaultColWidth="12.625" defaultRowHeight="18"/>
  <cols>
    <col min="1" max="1" width="5.375" style="156" customWidth="1"/>
    <col min="2" max="2" width="6.75" style="156" customWidth="1"/>
    <col min="3" max="3" width="19.375" style="156" customWidth="1"/>
    <col min="4" max="4" width="27.625" style="156" customWidth="1"/>
    <col min="5" max="5" width="26.75" style="156" customWidth="1"/>
    <col min="6" max="7" width="11.75" style="156" customWidth="1"/>
    <col min="8" max="8" width="10.625" style="156" customWidth="1"/>
    <col min="9" max="26" width="7.625" style="156" customWidth="1"/>
    <col min="27" max="16384" width="12.625" style="156"/>
  </cols>
  <sheetData>
    <row r="1" spans="1:8" ht="16.5" customHeight="1">
      <c r="A1" s="153" t="s">
        <v>1030</v>
      </c>
      <c r="B1" s="154"/>
      <c r="C1" s="155"/>
      <c r="D1" s="155"/>
      <c r="E1" s="154"/>
      <c r="F1" s="154"/>
      <c r="G1" s="154"/>
      <c r="H1" s="155"/>
    </row>
    <row r="2" spans="1:8" ht="16.5" customHeight="1">
      <c r="A2" s="155"/>
      <c r="B2" s="154"/>
      <c r="C2" s="155"/>
      <c r="D2" s="155"/>
      <c r="E2" s="154"/>
      <c r="F2" s="154"/>
      <c r="G2" s="154"/>
      <c r="H2" s="155"/>
    </row>
    <row r="3" spans="1:8" ht="16.5" customHeight="1">
      <c r="A3" s="157" t="s">
        <v>1018</v>
      </c>
      <c r="B3" s="157" t="s">
        <v>1019</v>
      </c>
      <c r="C3" s="158" t="s">
        <v>1020</v>
      </c>
      <c r="D3" s="157" t="s">
        <v>1021</v>
      </c>
      <c r="E3" s="157" t="s">
        <v>1022</v>
      </c>
      <c r="F3" s="157" t="s">
        <v>1023</v>
      </c>
      <c r="G3" s="157" t="s">
        <v>1024</v>
      </c>
      <c r="H3" s="157" t="s">
        <v>13</v>
      </c>
    </row>
    <row r="4" spans="1:8" ht="16.5" customHeight="1">
      <c r="A4" s="159">
        <f t="shared" ref="A4:A28" si="0">ROW()-3</f>
        <v>1</v>
      </c>
      <c r="B4" s="160" t="s">
        <v>1025</v>
      </c>
      <c r="C4" s="169"/>
      <c r="D4" s="169"/>
      <c r="E4" s="169" t="s">
        <v>1026</v>
      </c>
      <c r="F4" s="165">
        <v>45749</v>
      </c>
      <c r="G4" s="161" t="s">
        <v>1029</v>
      </c>
      <c r="H4" s="159"/>
    </row>
    <row r="5" spans="1:8" ht="16.5" customHeight="1">
      <c r="A5" s="159">
        <f t="shared" si="0"/>
        <v>2</v>
      </c>
      <c r="B5" s="161" t="s">
        <v>1028</v>
      </c>
      <c r="C5" s="169"/>
      <c r="D5" s="170"/>
      <c r="E5" s="171" t="s">
        <v>1031</v>
      </c>
      <c r="F5" s="167">
        <v>45817</v>
      </c>
      <c r="G5" s="164" t="s">
        <v>1027</v>
      </c>
      <c r="H5" s="159"/>
    </row>
    <row r="6" spans="1:8" ht="16.5" customHeight="1">
      <c r="A6" s="159">
        <f t="shared" si="0"/>
        <v>3</v>
      </c>
      <c r="B6" s="160"/>
      <c r="C6" s="169"/>
      <c r="D6" s="170"/>
      <c r="E6" s="171" t="s">
        <v>1033</v>
      </c>
      <c r="F6" s="167">
        <v>45825</v>
      </c>
      <c r="G6" s="161" t="s">
        <v>1027</v>
      </c>
      <c r="H6" s="159" t="s">
        <v>1028</v>
      </c>
    </row>
    <row r="7" spans="1:8" ht="94.5" customHeight="1">
      <c r="A7" s="159">
        <f t="shared" si="0"/>
        <v>4</v>
      </c>
      <c r="B7" s="161"/>
      <c r="C7" s="169"/>
      <c r="D7" s="170"/>
      <c r="E7" s="172" t="s">
        <v>1035</v>
      </c>
      <c r="F7" s="167">
        <v>45909</v>
      </c>
      <c r="G7" s="161" t="s">
        <v>1027</v>
      </c>
      <c r="H7" s="159" t="s">
        <v>1028</v>
      </c>
    </row>
    <row r="8" spans="1:8" ht="54" customHeight="1">
      <c r="A8" s="159">
        <f t="shared" si="0"/>
        <v>5</v>
      </c>
      <c r="B8" s="161" t="s">
        <v>1028</v>
      </c>
      <c r="C8" s="169" t="s">
        <v>1028</v>
      </c>
      <c r="D8" s="170" t="s">
        <v>1028</v>
      </c>
      <c r="E8" s="168" t="s">
        <v>1034</v>
      </c>
      <c r="F8" s="166">
        <v>45936</v>
      </c>
      <c r="G8" s="161" t="s">
        <v>1027</v>
      </c>
      <c r="H8" s="159" t="s">
        <v>1028</v>
      </c>
    </row>
    <row r="9" spans="1:8" ht="16.5" customHeight="1">
      <c r="A9" s="159">
        <f t="shared" si="0"/>
        <v>6</v>
      </c>
      <c r="B9" s="161" t="s">
        <v>1028</v>
      </c>
      <c r="C9" s="169" t="s">
        <v>1036</v>
      </c>
      <c r="D9" s="171" t="s">
        <v>1037</v>
      </c>
      <c r="E9" s="171" t="s">
        <v>1038</v>
      </c>
      <c r="F9" s="167">
        <v>45955</v>
      </c>
      <c r="G9" s="161" t="s">
        <v>933</v>
      </c>
      <c r="H9" s="159" t="s">
        <v>1028</v>
      </c>
    </row>
    <row r="10" spans="1:8" ht="72">
      <c r="A10" s="159">
        <f t="shared" si="0"/>
        <v>7</v>
      </c>
      <c r="B10" s="161" t="s">
        <v>1028</v>
      </c>
      <c r="C10" s="159" t="s">
        <v>804</v>
      </c>
      <c r="D10" s="173" t="s">
        <v>1039</v>
      </c>
      <c r="E10" s="171" t="s">
        <v>1038</v>
      </c>
      <c r="F10" s="167">
        <v>45955</v>
      </c>
      <c r="G10" s="161" t="s">
        <v>933</v>
      </c>
      <c r="H10" s="159" t="s">
        <v>1028</v>
      </c>
    </row>
    <row r="11" spans="1:8" ht="16.5" customHeight="1">
      <c r="A11" s="159">
        <f t="shared" si="0"/>
        <v>8</v>
      </c>
      <c r="B11" s="161" t="s">
        <v>1028</v>
      </c>
      <c r="C11" s="159" t="s">
        <v>1050</v>
      </c>
      <c r="D11" s="163" t="s">
        <v>1051</v>
      </c>
      <c r="E11" s="169" t="s">
        <v>1052</v>
      </c>
      <c r="F11" s="167">
        <v>45962</v>
      </c>
      <c r="G11" s="161" t="s">
        <v>933</v>
      </c>
      <c r="H11" s="159" t="s">
        <v>1028</v>
      </c>
    </row>
    <row r="12" spans="1:8" ht="16.5" customHeight="1">
      <c r="A12" s="159">
        <f t="shared" si="0"/>
        <v>9</v>
      </c>
      <c r="B12" s="161" t="s">
        <v>1028</v>
      </c>
      <c r="C12" s="159" t="s">
        <v>804</v>
      </c>
      <c r="D12" s="163" t="s">
        <v>1051</v>
      </c>
      <c r="E12" s="169" t="s">
        <v>1052</v>
      </c>
      <c r="F12" s="167">
        <v>45962</v>
      </c>
      <c r="G12" s="161" t="s">
        <v>933</v>
      </c>
      <c r="H12" s="159" t="s">
        <v>1028</v>
      </c>
    </row>
    <row r="13" spans="1:8" ht="16.5" customHeight="1">
      <c r="A13" s="159">
        <f t="shared" si="0"/>
        <v>10</v>
      </c>
      <c r="B13" s="161" t="s">
        <v>1028</v>
      </c>
      <c r="C13" s="159" t="s">
        <v>804</v>
      </c>
      <c r="D13" s="163" t="s">
        <v>1051</v>
      </c>
      <c r="E13" s="169" t="s">
        <v>1052</v>
      </c>
      <c r="F13" s="167">
        <v>45962</v>
      </c>
      <c r="G13" s="161" t="s">
        <v>933</v>
      </c>
      <c r="H13" s="159" t="s">
        <v>1028</v>
      </c>
    </row>
    <row r="14" spans="1:8" ht="52.5" customHeight="1">
      <c r="A14" s="159">
        <f t="shared" si="0"/>
        <v>11</v>
      </c>
      <c r="B14" s="161" t="s">
        <v>1028</v>
      </c>
      <c r="C14" s="159" t="s">
        <v>804</v>
      </c>
      <c r="D14" s="187" t="s">
        <v>1058</v>
      </c>
      <c r="E14" s="169" t="s">
        <v>1059</v>
      </c>
      <c r="F14" s="186">
        <v>45964</v>
      </c>
      <c r="G14" s="161" t="s">
        <v>933</v>
      </c>
      <c r="H14" s="159" t="s">
        <v>1028</v>
      </c>
    </row>
    <row r="15" spans="1:8" ht="36">
      <c r="A15" s="159">
        <f t="shared" si="0"/>
        <v>12</v>
      </c>
      <c r="B15" s="161"/>
      <c r="C15" s="222" t="s">
        <v>1240</v>
      </c>
      <c r="D15" s="159" t="s">
        <v>1243</v>
      </c>
      <c r="E15" s="161" t="s">
        <v>1241</v>
      </c>
      <c r="F15" s="186">
        <v>45971</v>
      </c>
      <c r="G15" s="161" t="s">
        <v>933</v>
      </c>
      <c r="H15" s="159" t="s">
        <v>1028</v>
      </c>
    </row>
    <row r="16" spans="1:8">
      <c r="A16" s="159">
        <f t="shared" si="0"/>
        <v>13</v>
      </c>
      <c r="B16" s="161" t="s">
        <v>1028</v>
      </c>
      <c r="C16" s="222" t="s">
        <v>1050</v>
      </c>
      <c r="D16" s="159" t="s">
        <v>1243</v>
      </c>
      <c r="E16" s="161" t="s">
        <v>1241</v>
      </c>
      <c r="F16" s="186">
        <v>45971</v>
      </c>
      <c r="G16" s="161" t="s">
        <v>933</v>
      </c>
      <c r="H16" s="159" t="s">
        <v>1028</v>
      </c>
    </row>
    <row r="17" spans="1:8" ht="36">
      <c r="A17" s="159">
        <f t="shared" si="0"/>
        <v>14</v>
      </c>
      <c r="B17" s="161" t="s">
        <v>1028</v>
      </c>
      <c r="C17" s="222" t="s">
        <v>1152</v>
      </c>
      <c r="D17" s="159" t="s">
        <v>1037</v>
      </c>
      <c r="E17" s="161" t="s">
        <v>1241</v>
      </c>
      <c r="F17" s="186">
        <v>45971</v>
      </c>
      <c r="G17" s="161" t="s">
        <v>933</v>
      </c>
      <c r="H17" s="159" t="s">
        <v>1028</v>
      </c>
    </row>
    <row r="18" spans="1:8" ht="36">
      <c r="A18" s="159">
        <f t="shared" si="0"/>
        <v>15</v>
      </c>
      <c r="B18" s="161" t="s">
        <v>1028</v>
      </c>
      <c r="C18" s="222" t="s">
        <v>1164</v>
      </c>
      <c r="D18" s="159" t="s">
        <v>1037</v>
      </c>
      <c r="E18" s="161" t="s">
        <v>1241</v>
      </c>
      <c r="F18" s="186">
        <v>45971</v>
      </c>
      <c r="G18" s="161" t="s">
        <v>933</v>
      </c>
      <c r="H18" s="159" t="s">
        <v>1028</v>
      </c>
    </row>
    <row r="19" spans="1:8" ht="16.5" customHeight="1">
      <c r="A19" s="159">
        <f t="shared" si="0"/>
        <v>16</v>
      </c>
      <c r="B19" s="161" t="s">
        <v>1028</v>
      </c>
      <c r="C19" s="159" t="s">
        <v>1050</v>
      </c>
      <c r="D19" s="159" t="s">
        <v>1260</v>
      </c>
      <c r="E19" s="161" t="s">
        <v>1241</v>
      </c>
      <c r="F19" s="186">
        <v>45972</v>
      </c>
      <c r="G19" s="161" t="s">
        <v>933</v>
      </c>
      <c r="H19" s="159" t="s">
        <v>1028</v>
      </c>
    </row>
    <row r="20" spans="1:8" ht="16.5" customHeight="1">
      <c r="A20" s="159">
        <f t="shared" si="0"/>
        <v>17</v>
      </c>
      <c r="B20" s="161" t="s">
        <v>1028</v>
      </c>
      <c r="C20" s="159" t="s">
        <v>804</v>
      </c>
      <c r="D20" s="159" t="s">
        <v>1263</v>
      </c>
      <c r="E20" s="161" t="s">
        <v>1241</v>
      </c>
      <c r="F20" s="186">
        <v>45972</v>
      </c>
      <c r="G20" s="161" t="s">
        <v>933</v>
      </c>
      <c r="H20" s="159" t="s">
        <v>1028</v>
      </c>
    </row>
    <row r="21" spans="1:8" ht="16.5" customHeight="1">
      <c r="A21" s="159">
        <f t="shared" si="0"/>
        <v>18</v>
      </c>
      <c r="B21" s="161" t="s">
        <v>1028</v>
      </c>
      <c r="C21" s="159" t="s">
        <v>1036</v>
      </c>
      <c r="D21" s="159" t="s">
        <v>1263</v>
      </c>
      <c r="E21" s="161" t="s">
        <v>1241</v>
      </c>
      <c r="F21" s="186">
        <v>45972</v>
      </c>
      <c r="G21" s="161" t="s">
        <v>933</v>
      </c>
      <c r="H21" s="159" t="s">
        <v>1028</v>
      </c>
    </row>
    <row r="22" spans="1:8" ht="16.5" customHeight="1">
      <c r="A22" s="159">
        <f t="shared" si="0"/>
        <v>19</v>
      </c>
      <c r="B22" s="161" t="s">
        <v>1028</v>
      </c>
      <c r="C22" s="159" t="s">
        <v>1164</v>
      </c>
      <c r="D22" s="159" t="s">
        <v>1260</v>
      </c>
      <c r="E22" s="161" t="s">
        <v>1241</v>
      </c>
      <c r="F22" s="186">
        <v>45972</v>
      </c>
      <c r="G22" s="161" t="s">
        <v>933</v>
      </c>
      <c r="H22" s="159" t="s">
        <v>1028</v>
      </c>
    </row>
    <row r="23" spans="1:8" ht="16.5" customHeight="1">
      <c r="A23" s="159">
        <f t="shared" si="0"/>
        <v>20</v>
      </c>
      <c r="B23" s="161" t="s">
        <v>1028</v>
      </c>
      <c r="C23" s="159" t="s">
        <v>1304</v>
      </c>
      <c r="D23" s="159" t="s">
        <v>1037</v>
      </c>
      <c r="E23" s="161" t="s">
        <v>1241</v>
      </c>
      <c r="F23" s="186">
        <v>45972</v>
      </c>
      <c r="G23" s="161" t="s">
        <v>933</v>
      </c>
      <c r="H23" s="159" t="s">
        <v>1028</v>
      </c>
    </row>
    <row r="24" spans="1:8" ht="16.5" customHeight="1">
      <c r="A24" s="159">
        <f t="shared" si="0"/>
        <v>21</v>
      </c>
      <c r="B24" s="161" t="s">
        <v>1028</v>
      </c>
      <c r="C24" s="159" t="s">
        <v>1028</v>
      </c>
      <c r="D24" s="159" t="s">
        <v>1028</v>
      </c>
      <c r="E24" s="161" t="s">
        <v>1028</v>
      </c>
      <c r="F24" s="161" t="s">
        <v>1028</v>
      </c>
      <c r="G24" s="161" t="s">
        <v>1028</v>
      </c>
      <c r="H24" s="159" t="s">
        <v>1028</v>
      </c>
    </row>
    <row r="25" spans="1:8" ht="16.5" customHeight="1">
      <c r="A25" s="159">
        <f t="shared" si="0"/>
        <v>22</v>
      </c>
      <c r="B25" s="161" t="s">
        <v>1028</v>
      </c>
      <c r="C25" s="159" t="s">
        <v>1028</v>
      </c>
      <c r="D25" s="159" t="s">
        <v>1028</v>
      </c>
      <c r="E25" s="161" t="s">
        <v>1028</v>
      </c>
      <c r="F25" s="161" t="s">
        <v>1028</v>
      </c>
      <c r="G25" s="161" t="s">
        <v>1028</v>
      </c>
      <c r="H25" s="159" t="s">
        <v>1028</v>
      </c>
    </row>
    <row r="26" spans="1:8" ht="16.5" customHeight="1">
      <c r="A26" s="159">
        <f t="shared" si="0"/>
        <v>23</v>
      </c>
      <c r="B26" s="161" t="s">
        <v>1028</v>
      </c>
      <c r="C26" s="159" t="s">
        <v>1028</v>
      </c>
      <c r="D26" s="159" t="s">
        <v>1028</v>
      </c>
      <c r="E26" s="161" t="s">
        <v>1028</v>
      </c>
      <c r="F26" s="161" t="s">
        <v>1028</v>
      </c>
      <c r="G26" s="161" t="s">
        <v>1028</v>
      </c>
      <c r="H26" s="159" t="s">
        <v>1028</v>
      </c>
    </row>
    <row r="27" spans="1:8" ht="16.5" customHeight="1">
      <c r="A27" s="159">
        <f t="shared" si="0"/>
        <v>24</v>
      </c>
      <c r="B27" s="161" t="s">
        <v>1028</v>
      </c>
      <c r="C27" s="159" t="s">
        <v>1028</v>
      </c>
      <c r="D27" s="159" t="s">
        <v>1028</v>
      </c>
      <c r="E27" s="161" t="s">
        <v>1028</v>
      </c>
      <c r="F27" s="161" t="s">
        <v>1028</v>
      </c>
      <c r="G27" s="161" t="s">
        <v>1028</v>
      </c>
      <c r="H27" s="159" t="s">
        <v>1028</v>
      </c>
    </row>
    <row r="28" spans="1:8" ht="16.5" customHeight="1">
      <c r="A28" s="159">
        <f t="shared" si="0"/>
        <v>25</v>
      </c>
      <c r="B28" s="161" t="s">
        <v>1028</v>
      </c>
      <c r="C28" s="159" t="s">
        <v>1028</v>
      </c>
      <c r="D28" s="159" t="s">
        <v>1028</v>
      </c>
      <c r="E28" s="161" t="s">
        <v>1028</v>
      </c>
      <c r="F28" s="161" t="s">
        <v>1028</v>
      </c>
      <c r="G28" s="161" t="s">
        <v>1028</v>
      </c>
      <c r="H28" s="159" t="s">
        <v>1028</v>
      </c>
    </row>
    <row r="29" spans="1:8" ht="16.5" customHeight="1">
      <c r="B29" s="162"/>
      <c r="E29" s="162"/>
      <c r="F29" s="162"/>
      <c r="G29" s="162"/>
    </row>
    <row r="30" spans="1:8" ht="16.5" customHeight="1">
      <c r="B30" s="162"/>
      <c r="E30" s="162"/>
      <c r="F30" s="162"/>
      <c r="G30" s="162"/>
    </row>
    <row r="31" spans="1:8" ht="16.5" customHeight="1">
      <c r="B31" s="162"/>
      <c r="E31" s="162"/>
      <c r="F31" s="162"/>
      <c r="G31" s="162"/>
    </row>
    <row r="32" spans="1:8" ht="16.5" customHeight="1">
      <c r="B32" s="162"/>
      <c r="E32" s="162"/>
      <c r="F32" s="162"/>
      <c r="G32" s="162"/>
    </row>
    <row r="33" spans="2:7" ht="16.5" customHeight="1">
      <c r="B33" s="162"/>
      <c r="E33" s="162"/>
      <c r="F33" s="162"/>
      <c r="G33" s="162"/>
    </row>
    <row r="34" spans="2:7" ht="16.5" customHeight="1">
      <c r="B34" s="162"/>
      <c r="E34" s="162"/>
      <c r="F34" s="162"/>
      <c r="G34" s="162"/>
    </row>
    <row r="35" spans="2:7" ht="16.5" customHeight="1">
      <c r="B35" s="162"/>
      <c r="E35" s="162"/>
      <c r="F35" s="162"/>
      <c r="G35" s="162"/>
    </row>
    <row r="36" spans="2:7" ht="16.5" customHeight="1">
      <c r="B36" s="162"/>
      <c r="E36" s="162"/>
      <c r="F36" s="162"/>
      <c r="G36" s="162"/>
    </row>
    <row r="37" spans="2:7" ht="16.5" customHeight="1">
      <c r="B37" s="162"/>
      <c r="E37" s="162"/>
      <c r="F37" s="162"/>
      <c r="G37" s="162"/>
    </row>
    <row r="38" spans="2:7" ht="16.5" customHeight="1">
      <c r="B38" s="162"/>
      <c r="E38" s="162"/>
      <c r="F38" s="162"/>
      <c r="G38" s="162"/>
    </row>
    <row r="39" spans="2:7" ht="16.5" customHeight="1">
      <c r="B39" s="162"/>
      <c r="E39" s="162"/>
      <c r="F39" s="162"/>
      <c r="G39" s="162"/>
    </row>
    <row r="40" spans="2:7" ht="16.5" customHeight="1">
      <c r="B40" s="162"/>
      <c r="E40" s="162"/>
      <c r="F40" s="162"/>
      <c r="G40" s="162"/>
    </row>
    <row r="41" spans="2:7" ht="16.5" customHeight="1">
      <c r="B41" s="162"/>
      <c r="E41" s="162"/>
      <c r="F41" s="162"/>
      <c r="G41" s="162"/>
    </row>
    <row r="42" spans="2:7" ht="16.5" customHeight="1">
      <c r="B42" s="162"/>
      <c r="E42" s="162"/>
      <c r="F42" s="162"/>
      <c r="G42" s="162"/>
    </row>
    <row r="43" spans="2:7" ht="16.5" customHeight="1">
      <c r="B43" s="162"/>
      <c r="E43" s="162"/>
      <c r="F43" s="162"/>
      <c r="G43" s="162"/>
    </row>
    <row r="44" spans="2:7" ht="16.5" customHeight="1">
      <c r="B44" s="162"/>
      <c r="E44" s="162"/>
      <c r="F44" s="162"/>
      <c r="G44" s="162"/>
    </row>
    <row r="45" spans="2:7" ht="16.5" customHeight="1">
      <c r="B45" s="162"/>
      <c r="E45" s="162"/>
      <c r="F45" s="162"/>
      <c r="G45" s="162"/>
    </row>
    <row r="46" spans="2:7" ht="16.5" customHeight="1">
      <c r="B46" s="162"/>
      <c r="E46" s="162"/>
      <c r="F46" s="162"/>
      <c r="G46" s="162"/>
    </row>
    <row r="47" spans="2:7" ht="16.5" customHeight="1">
      <c r="B47" s="162"/>
      <c r="E47" s="162"/>
      <c r="F47" s="162"/>
      <c r="G47" s="162"/>
    </row>
    <row r="48" spans="2:7" ht="16.5" customHeight="1">
      <c r="B48" s="162"/>
      <c r="E48" s="162"/>
      <c r="F48" s="162"/>
      <c r="G48" s="162"/>
    </row>
    <row r="49" spans="2:7" ht="16.5" customHeight="1">
      <c r="B49" s="162"/>
      <c r="E49" s="162"/>
      <c r="F49" s="162"/>
      <c r="G49" s="162"/>
    </row>
    <row r="50" spans="2:7" ht="16.5" customHeight="1">
      <c r="B50" s="162"/>
      <c r="E50" s="162"/>
      <c r="F50" s="162"/>
      <c r="G50" s="162"/>
    </row>
    <row r="51" spans="2:7" ht="16.5" customHeight="1">
      <c r="B51" s="162"/>
      <c r="E51" s="162"/>
      <c r="F51" s="162"/>
      <c r="G51" s="162"/>
    </row>
    <row r="52" spans="2:7" ht="16.5" customHeight="1">
      <c r="B52" s="162"/>
      <c r="E52" s="162"/>
      <c r="F52" s="162"/>
      <c r="G52" s="162"/>
    </row>
    <row r="53" spans="2:7" ht="16.5" customHeight="1">
      <c r="B53" s="162"/>
      <c r="E53" s="162"/>
      <c r="F53" s="162"/>
      <c r="G53" s="162"/>
    </row>
    <row r="54" spans="2:7" ht="16.5" customHeight="1">
      <c r="B54" s="162"/>
      <c r="E54" s="162"/>
      <c r="F54" s="162"/>
      <c r="G54" s="162"/>
    </row>
    <row r="55" spans="2:7" ht="16.5" customHeight="1">
      <c r="B55" s="162"/>
      <c r="E55" s="162"/>
      <c r="F55" s="162"/>
      <c r="G55" s="162"/>
    </row>
    <row r="56" spans="2:7" ht="16.5" customHeight="1">
      <c r="B56" s="162"/>
      <c r="E56" s="162"/>
      <c r="F56" s="162"/>
      <c r="G56" s="162"/>
    </row>
    <row r="57" spans="2:7" ht="16.5" customHeight="1">
      <c r="B57" s="162"/>
      <c r="E57" s="162"/>
      <c r="F57" s="162"/>
      <c r="G57" s="162"/>
    </row>
    <row r="58" spans="2:7" ht="16.5" customHeight="1">
      <c r="B58" s="162"/>
      <c r="E58" s="162"/>
      <c r="F58" s="162"/>
      <c r="G58" s="162"/>
    </row>
    <row r="59" spans="2:7" ht="16.5" customHeight="1">
      <c r="B59" s="162"/>
      <c r="E59" s="162"/>
      <c r="F59" s="162"/>
      <c r="G59" s="162"/>
    </row>
    <row r="60" spans="2:7" ht="16.5" customHeight="1">
      <c r="B60" s="162"/>
      <c r="E60" s="162"/>
      <c r="F60" s="162"/>
      <c r="G60" s="162"/>
    </row>
    <row r="61" spans="2:7" ht="16.5" customHeight="1">
      <c r="B61" s="162"/>
      <c r="E61" s="162"/>
      <c r="F61" s="162"/>
      <c r="G61" s="162"/>
    </row>
    <row r="62" spans="2:7" ht="16.5" customHeight="1">
      <c r="B62" s="162"/>
      <c r="E62" s="162"/>
      <c r="F62" s="162"/>
      <c r="G62" s="162"/>
    </row>
    <row r="63" spans="2:7" ht="16.5" customHeight="1">
      <c r="B63" s="162"/>
      <c r="E63" s="162"/>
      <c r="F63" s="162"/>
      <c r="G63" s="162"/>
    </row>
    <row r="64" spans="2:7" ht="16.5" customHeight="1">
      <c r="B64" s="162"/>
      <c r="E64" s="162"/>
      <c r="F64" s="162"/>
      <c r="G64" s="162"/>
    </row>
    <row r="65" spans="2:7" ht="16.5" customHeight="1">
      <c r="B65" s="162"/>
      <c r="E65" s="162"/>
      <c r="F65" s="162"/>
      <c r="G65" s="162"/>
    </row>
    <row r="66" spans="2:7" ht="16.5" customHeight="1">
      <c r="B66" s="162"/>
      <c r="E66" s="162"/>
      <c r="F66" s="162"/>
      <c r="G66" s="162"/>
    </row>
    <row r="67" spans="2:7" ht="16.5" customHeight="1">
      <c r="B67" s="162"/>
      <c r="E67" s="162"/>
      <c r="F67" s="162"/>
      <c r="G67" s="162"/>
    </row>
    <row r="68" spans="2:7" ht="16.5" customHeight="1">
      <c r="B68" s="162"/>
      <c r="E68" s="162"/>
      <c r="F68" s="162"/>
      <c r="G68" s="162"/>
    </row>
    <row r="69" spans="2:7" ht="16.5" customHeight="1">
      <c r="B69" s="162"/>
      <c r="E69" s="162"/>
      <c r="F69" s="162"/>
      <c r="G69" s="162"/>
    </row>
    <row r="70" spans="2:7" ht="16.5" customHeight="1">
      <c r="B70" s="162"/>
      <c r="E70" s="162"/>
      <c r="F70" s="162"/>
      <c r="G70" s="162"/>
    </row>
    <row r="71" spans="2:7" ht="16.5" customHeight="1">
      <c r="B71" s="162"/>
      <c r="E71" s="162"/>
      <c r="F71" s="162"/>
      <c r="G71" s="162"/>
    </row>
    <row r="72" spans="2:7" ht="16.5" customHeight="1">
      <c r="B72" s="162"/>
      <c r="E72" s="162"/>
      <c r="F72" s="162"/>
      <c r="G72" s="162"/>
    </row>
    <row r="73" spans="2:7" ht="16.5" customHeight="1">
      <c r="B73" s="162"/>
      <c r="E73" s="162"/>
      <c r="F73" s="162"/>
      <c r="G73" s="162"/>
    </row>
    <row r="74" spans="2:7" ht="16.5" customHeight="1">
      <c r="B74" s="162"/>
      <c r="E74" s="162"/>
      <c r="F74" s="162"/>
      <c r="G74" s="162"/>
    </row>
    <row r="75" spans="2:7" ht="16.5" customHeight="1">
      <c r="B75" s="162"/>
      <c r="E75" s="162"/>
      <c r="F75" s="162"/>
      <c r="G75" s="162"/>
    </row>
    <row r="76" spans="2:7" ht="16.5" customHeight="1">
      <c r="B76" s="162"/>
      <c r="E76" s="162"/>
      <c r="F76" s="162"/>
      <c r="G76" s="162"/>
    </row>
    <row r="77" spans="2:7" ht="16.5" customHeight="1">
      <c r="B77" s="162"/>
      <c r="E77" s="162"/>
      <c r="F77" s="162"/>
      <c r="G77" s="162"/>
    </row>
    <row r="78" spans="2:7" ht="16.5" customHeight="1">
      <c r="B78" s="162"/>
      <c r="E78" s="162"/>
      <c r="F78" s="162"/>
      <c r="G78" s="162"/>
    </row>
    <row r="79" spans="2:7" ht="16.5" customHeight="1">
      <c r="B79" s="162"/>
      <c r="E79" s="162"/>
      <c r="F79" s="162"/>
      <c r="G79" s="162"/>
    </row>
    <row r="80" spans="2:7" ht="16.5" customHeight="1">
      <c r="B80" s="162"/>
      <c r="E80" s="162"/>
      <c r="F80" s="162"/>
      <c r="G80" s="162"/>
    </row>
    <row r="81" spans="2:7" ht="16.5" customHeight="1">
      <c r="B81" s="162"/>
      <c r="E81" s="162"/>
      <c r="F81" s="162"/>
      <c r="G81" s="162"/>
    </row>
    <row r="82" spans="2:7" ht="16.5" customHeight="1">
      <c r="B82" s="162"/>
      <c r="E82" s="162"/>
      <c r="F82" s="162"/>
      <c r="G82" s="162"/>
    </row>
    <row r="83" spans="2:7" ht="16.5" customHeight="1">
      <c r="B83" s="162"/>
      <c r="E83" s="162"/>
      <c r="F83" s="162"/>
      <c r="G83" s="162"/>
    </row>
    <row r="84" spans="2:7" ht="16.5" customHeight="1">
      <c r="B84" s="162"/>
      <c r="E84" s="162"/>
      <c r="F84" s="162"/>
      <c r="G84" s="162"/>
    </row>
    <row r="85" spans="2:7" ht="16.5" customHeight="1">
      <c r="B85" s="162"/>
      <c r="E85" s="162"/>
      <c r="F85" s="162"/>
      <c r="G85" s="162"/>
    </row>
    <row r="86" spans="2:7" ht="16.5" customHeight="1">
      <c r="B86" s="162"/>
      <c r="E86" s="162"/>
      <c r="F86" s="162"/>
      <c r="G86" s="162"/>
    </row>
    <row r="87" spans="2:7" ht="16.5" customHeight="1">
      <c r="B87" s="162"/>
      <c r="E87" s="162"/>
      <c r="F87" s="162"/>
      <c r="G87" s="162"/>
    </row>
    <row r="88" spans="2:7" ht="16.5" customHeight="1">
      <c r="B88" s="162"/>
      <c r="E88" s="162"/>
      <c r="F88" s="162"/>
      <c r="G88" s="162"/>
    </row>
    <row r="89" spans="2:7" ht="16.5" customHeight="1">
      <c r="B89" s="162"/>
      <c r="E89" s="162"/>
      <c r="F89" s="162"/>
      <c r="G89" s="162"/>
    </row>
    <row r="90" spans="2:7" ht="16.5" customHeight="1">
      <c r="B90" s="162"/>
      <c r="E90" s="162"/>
      <c r="F90" s="162"/>
      <c r="G90" s="162"/>
    </row>
    <row r="91" spans="2:7" ht="16.5" customHeight="1">
      <c r="B91" s="162"/>
      <c r="E91" s="162"/>
      <c r="F91" s="162"/>
      <c r="G91" s="162"/>
    </row>
    <row r="92" spans="2:7" ht="16.5" customHeight="1">
      <c r="B92" s="162"/>
      <c r="E92" s="162"/>
      <c r="F92" s="162"/>
      <c r="G92" s="162"/>
    </row>
    <row r="93" spans="2:7" ht="16.5" customHeight="1">
      <c r="B93" s="162"/>
      <c r="E93" s="162"/>
      <c r="F93" s="162"/>
      <c r="G93" s="162"/>
    </row>
    <row r="94" spans="2:7" ht="16.5" customHeight="1">
      <c r="B94" s="162"/>
      <c r="E94" s="162"/>
      <c r="F94" s="162"/>
      <c r="G94" s="162"/>
    </row>
    <row r="95" spans="2:7" ht="16.5" customHeight="1">
      <c r="B95" s="162"/>
      <c r="E95" s="162"/>
      <c r="F95" s="162"/>
      <c r="G95" s="162"/>
    </row>
    <row r="96" spans="2:7" ht="16.5" customHeight="1">
      <c r="B96" s="162"/>
      <c r="E96" s="162"/>
      <c r="F96" s="162"/>
      <c r="G96" s="162"/>
    </row>
    <row r="97" spans="2:7" ht="16.5" customHeight="1">
      <c r="B97" s="162"/>
      <c r="E97" s="162"/>
      <c r="F97" s="162"/>
      <c r="G97" s="162"/>
    </row>
    <row r="98" spans="2:7" ht="16.5" customHeight="1">
      <c r="B98" s="162"/>
      <c r="E98" s="162"/>
      <c r="F98" s="162"/>
      <c r="G98" s="162"/>
    </row>
    <row r="99" spans="2:7" ht="16.5" customHeight="1">
      <c r="B99" s="162"/>
      <c r="E99" s="162"/>
      <c r="F99" s="162"/>
      <c r="G99" s="162"/>
    </row>
    <row r="100" spans="2:7" ht="16.5" customHeight="1">
      <c r="B100" s="162"/>
      <c r="E100" s="162"/>
      <c r="F100" s="162"/>
      <c r="G100" s="162"/>
    </row>
    <row r="101" spans="2:7" ht="16.5" customHeight="1">
      <c r="B101" s="162"/>
      <c r="E101" s="162"/>
      <c r="F101" s="162"/>
      <c r="G101" s="162"/>
    </row>
    <row r="102" spans="2:7" ht="16.5" customHeight="1">
      <c r="B102" s="162"/>
      <c r="E102" s="162"/>
      <c r="F102" s="162"/>
      <c r="G102" s="162"/>
    </row>
    <row r="103" spans="2:7" ht="16.5" customHeight="1">
      <c r="B103" s="162"/>
      <c r="E103" s="162"/>
      <c r="F103" s="162"/>
      <c r="G103" s="162"/>
    </row>
    <row r="104" spans="2:7" ht="16.5" customHeight="1">
      <c r="B104" s="162"/>
      <c r="E104" s="162"/>
      <c r="F104" s="162"/>
      <c r="G104" s="162"/>
    </row>
    <row r="105" spans="2:7" ht="16.5" customHeight="1">
      <c r="B105" s="162"/>
      <c r="E105" s="162"/>
      <c r="F105" s="162"/>
      <c r="G105" s="162"/>
    </row>
    <row r="106" spans="2:7" ht="16.5" customHeight="1">
      <c r="B106" s="162"/>
      <c r="E106" s="162"/>
      <c r="F106" s="162"/>
      <c r="G106" s="162"/>
    </row>
    <row r="107" spans="2:7" ht="16.5" customHeight="1">
      <c r="B107" s="162"/>
      <c r="E107" s="162"/>
      <c r="F107" s="162"/>
      <c r="G107" s="162"/>
    </row>
    <row r="108" spans="2:7" ht="16.5" customHeight="1">
      <c r="B108" s="162"/>
      <c r="E108" s="162"/>
      <c r="F108" s="162"/>
      <c r="G108" s="162"/>
    </row>
    <row r="109" spans="2:7" ht="16.5" customHeight="1">
      <c r="B109" s="162"/>
      <c r="E109" s="162"/>
      <c r="F109" s="162"/>
      <c r="G109" s="162"/>
    </row>
    <row r="110" spans="2:7" ht="16.5" customHeight="1">
      <c r="B110" s="162"/>
      <c r="E110" s="162"/>
      <c r="F110" s="162"/>
      <c r="G110" s="162"/>
    </row>
    <row r="111" spans="2:7" ht="16.5" customHeight="1">
      <c r="B111" s="162"/>
      <c r="E111" s="162"/>
      <c r="F111" s="162"/>
      <c r="G111" s="162"/>
    </row>
    <row r="112" spans="2:7" ht="16.5" customHeight="1">
      <c r="B112" s="162"/>
      <c r="E112" s="162"/>
      <c r="F112" s="162"/>
      <c r="G112" s="162"/>
    </row>
    <row r="113" spans="2:7" ht="16.5" customHeight="1">
      <c r="B113" s="162"/>
      <c r="E113" s="162"/>
      <c r="F113" s="162"/>
      <c r="G113" s="162"/>
    </row>
    <row r="114" spans="2:7" ht="16.5" customHeight="1">
      <c r="B114" s="162"/>
      <c r="E114" s="162"/>
      <c r="F114" s="162"/>
      <c r="G114" s="162"/>
    </row>
    <row r="115" spans="2:7" ht="16.5" customHeight="1">
      <c r="B115" s="162"/>
      <c r="E115" s="162"/>
      <c r="F115" s="162"/>
      <c r="G115" s="162"/>
    </row>
    <row r="116" spans="2:7" ht="16.5" customHeight="1">
      <c r="B116" s="162"/>
      <c r="E116" s="162"/>
      <c r="F116" s="162"/>
      <c r="G116" s="162"/>
    </row>
    <row r="117" spans="2:7" ht="16.5" customHeight="1">
      <c r="B117" s="162"/>
      <c r="E117" s="162"/>
      <c r="F117" s="162"/>
      <c r="G117" s="162"/>
    </row>
    <row r="118" spans="2:7" ht="16.5" customHeight="1">
      <c r="B118" s="162"/>
      <c r="E118" s="162"/>
      <c r="F118" s="162"/>
      <c r="G118" s="162"/>
    </row>
    <row r="119" spans="2:7" ht="16.5" customHeight="1">
      <c r="B119" s="162"/>
      <c r="E119" s="162"/>
      <c r="F119" s="162"/>
      <c r="G119" s="162"/>
    </row>
    <row r="120" spans="2:7" ht="16.5" customHeight="1">
      <c r="B120" s="162"/>
      <c r="E120" s="162"/>
      <c r="F120" s="162"/>
      <c r="G120" s="162"/>
    </row>
    <row r="121" spans="2:7" ht="16.5" customHeight="1">
      <c r="B121" s="162"/>
      <c r="E121" s="162"/>
      <c r="F121" s="162"/>
      <c r="G121" s="162"/>
    </row>
    <row r="122" spans="2:7" ht="16.5" customHeight="1">
      <c r="B122" s="162"/>
      <c r="E122" s="162"/>
      <c r="F122" s="162"/>
      <c r="G122" s="162"/>
    </row>
    <row r="123" spans="2:7" ht="16.5" customHeight="1">
      <c r="B123" s="162"/>
      <c r="E123" s="162"/>
      <c r="F123" s="162"/>
      <c r="G123" s="162"/>
    </row>
    <row r="124" spans="2:7" ht="16.5" customHeight="1">
      <c r="B124" s="162"/>
      <c r="E124" s="162"/>
      <c r="F124" s="162"/>
      <c r="G124" s="162"/>
    </row>
    <row r="125" spans="2:7" ht="16.5" customHeight="1">
      <c r="B125" s="162"/>
      <c r="E125" s="162"/>
      <c r="F125" s="162"/>
      <c r="G125" s="162"/>
    </row>
    <row r="126" spans="2:7" ht="16.5" customHeight="1">
      <c r="B126" s="162"/>
      <c r="E126" s="162"/>
      <c r="F126" s="162"/>
      <c r="G126" s="162"/>
    </row>
    <row r="127" spans="2:7" ht="16.5" customHeight="1">
      <c r="B127" s="162"/>
      <c r="E127" s="162"/>
      <c r="F127" s="162"/>
      <c r="G127" s="162"/>
    </row>
    <row r="128" spans="2:7" ht="16.5" customHeight="1">
      <c r="B128" s="162"/>
      <c r="E128" s="162"/>
      <c r="F128" s="162"/>
      <c r="G128" s="162"/>
    </row>
    <row r="129" spans="2:7" ht="16.5" customHeight="1">
      <c r="B129" s="162"/>
      <c r="E129" s="162"/>
      <c r="F129" s="162"/>
      <c r="G129" s="162"/>
    </row>
    <row r="130" spans="2:7" ht="16.5" customHeight="1">
      <c r="B130" s="162"/>
      <c r="E130" s="162"/>
      <c r="F130" s="162"/>
      <c r="G130" s="162"/>
    </row>
    <row r="131" spans="2:7" ht="16.5" customHeight="1">
      <c r="B131" s="162"/>
      <c r="E131" s="162"/>
      <c r="F131" s="162"/>
      <c r="G131" s="162"/>
    </row>
    <row r="132" spans="2:7" ht="16.5" customHeight="1">
      <c r="B132" s="162"/>
      <c r="E132" s="162"/>
      <c r="F132" s="162"/>
      <c r="G132" s="162"/>
    </row>
    <row r="133" spans="2:7" ht="16.5" customHeight="1">
      <c r="B133" s="162"/>
      <c r="E133" s="162"/>
      <c r="F133" s="162"/>
      <c r="G133" s="162"/>
    </row>
    <row r="134" spans="2:7" ht="16.5" customHeight="1">
      <c r="B134" s="162"/>
      <c r="E134" s="162"/>
      <c r="F134" s="162"/>
      <c r="G134" s="162"/>
    </row>
    <row r="135" spans="2:7" ht="16.5" customHeight="1">
      <c r="B135" s="162"/>
      <c r="E135" s="162"/>
      <c r="F135" s="162"/>
      <c r="G135" s="162"/>
    </row>
    <row r="136" spans="2:7" ht="16.5" customHeight="1">
      <c r="B136" s="162"/>
      <c r="E136" s="162"/>
      <c r="F136" s="162"/>
      <c r="G136" s="162"/>
    </row>
    <row r="137" spans="2:7" ht="16.5" customHeight="1">
      <c r="B137" s="162"/>
      <c r="E137" s="162"/>
      <c r="F137" s="162"/>
      <c r="G137" s="162"/>
    </row>
    <row r="138" spans="2:7" ht="16.5" customHeight="1">
      <c r="B138" s="162"/>
      <c r="E138" s="162"/>
      <c r="F138" s="162"/>
      <c r="G138" s="162"/>
    </row>
    <row r="139" spans="2:7" ht="16.5" customHeight="1">
      <c r="B139" s="162"/>
      <c r="E139" s="162"/>
      <c r="F139" s="162"/>
      <c r="G139" s="162"/>
    </row>
    <row r="140" spans="2:7" ht="16.5" customHeight="1">
      <c r="B140" s="162"/>
      <c r="E140" s="162"/>
      <c r="F140" s="162"/>
      <c r="G140" s="162"/>
    </row>
    <row r="141" spans="2:7" ht="16.5" customHeight="1">
      <c r="B141" s="162"/>
      <c r="E141" s="162"/>
      <c r="F141" s="162"/>
      <c r="G141" s="162"/>
    </row>
    <row r="142" spans="2:7" ht="16.5" customHeight="1">
      <c r="B142" s="162"/>
      <c r="E142" s="162"/>
      <c r="F142" s="162"/>
      <c r="G142" s="162"/>
    </row>
    <row r="143" spans="2:7" ht="16.5" customHeight="1">
      <c r="B143" s="162"/>
      <c r="E143" s="162"/>
      <c r="F143" s="162"/>
      <c r="G143" s="162"/>
    </row>
    <row r="144" spans="2:7" ht="16.5" customHeight="1">
      <c r="B144" s="162"/>
      <c r="E144" s="162"/>
      <c r="F144" s="162"/>
      <c r="G144" s="162"/>
    </row>
    <row r="145" spans="2:7" ht="16.5" customHeight="1">
      <c r="B145" s="162"/>
      <c r="E145" s="162"/>
      <c r="F145" s="162"/>
      <c r="G145" s="162"/>
    </row>
    <row r="146" spans="2:7" ht="16.5" customHeight="1">
      <c r="B146" s="162"/>
      <c r="E146" s="162"/>
      <c r="F146" s="162"/>
      <c r="G146" s="162"/>
    </row>
    <row r="147" spans="2:7" ht="16.5" customHeight="1">
      <c r="B147" s="162"/>
      <c r="E147" s="162"/>
      <c r="F147" s="162"/>
      <c r="G147" s="162"/>
    </row>
    <row r="148" spans="2:7" ht="16.5" customHeight="1">
      <c r="B148" s="162"/>
      <c r="E148" s="162"/>
      <c r="F148" s="162"/>
      <c r="G148" s="162"/>
    </row>
    <row r="149" spans="2:7" ht="16.5" customHeight="1">
      <c r="B149" s="162"/>
      <c r="E149" s="162"/>
      <c r="F149" s="162"/>
      <c r="G149" s="162"/>
    </row>
    <row r="150" spans="2:7" ht="16.5" customHeight="1">
      <c r="B150" s="162"/>
      <c r="E150" s="162"/>
      <c r="F150" s="162"/>
      <c r="G150" s="162"/>
    </row>
    <row r="151" spans="2:7" ht="16.5" customHeight="1">
      <c r="B151" s="162"/>
      <c r="E151" s="162"/>
      <c r="F151" s="162"/>
      <c r="G151" s="162"/>
    </row>
    <row r="152" spans="2:7" ht="16.5" customHeight="1">
      <c r="B152" s="162"/>
      <c r="E152" s="162"/>
      <c r="F152" s="162"/>
      <c r="G152" s="162"/>
    </row>
    <row r="153" spans="2:7" ht="16.5" customHeight="1">
      <c r="B153" s="162"/>
      <c r="E153" s="162"/>
      <c r="F153" s="162"/>
      <c r="G153" s="162"/>
    </row>
    <row r="154" spans="2:7" ht="16.5" customHeight="1">
      <c r="B154" s="162"/>
      <c r="E154" s="162"/>
      <c r="F154" s="162"/>
      <c r="G154" s="162"/>
    </row>
    <row r="155" spans="2:7" ht="16.5" customHeight="1">
      <c r="B155" s="162"/>
      <c r="E155" s="162"/>
      <c r="F155" s="162"/>
      <c r="G155" s="162"/>
    </row>
    <row r="156" spans="2:7" ht="16.5" customHeight="1">
      <c r="B156" s="162"/>
      <c r="E156" s="162"/>
      <c r="F156" s="162"/>
      <c r="G156" s="162"/>
    </row>
    <row r="157" spans="2:7" ht="16.5" customHeight="1">
      <c r="B157" s="162"/>
      <c r="E157" s="162"/>
      <c r="F157" s="162"/>
      <c r="G157" s="162"/>
    </row>
    <row r="158" spans="2:7" ht="16.5" customHeight="1">
      <c r="B158" s="162"/>
      <c r="E158" s="162"/>
      <c r="F158" s="162"/>
      <c r="G158" s="162"/>
    </row>
    <row r="159" spans="2:7" ht="16.5" customHeight="1">
      <c r="B159" s="162"/>
      <c r="E159" s="162"/>
      <c r="F159" s="162"/>
      <c r="G159" s="162"/>
    </row>
    <row r="160" spans="2:7" ht="16.5" customHeight="1">
      <c r="B160" s="162"/>
      <c r="E160" s="162"/>
      <c r="F160" s="162"/>
      <c r="G160" s="162"/>
    </row>
    <row r="161" spans="2:7" ht="16.5" customHeight="1">
      <c r="B161" s="162"/>
      <c r="E161" s="162"/>
      <c r="F161" s="162"/>
      <c r="G161" s="162"/>
    </row>
    <row r="162" spans="2:7" ht="16.5" customHeight="1">
      <c r="B162" s="162"/>
      <c r="E162" s="162"/>
      <c r="F162" s="162"/>
      <c r="G162" s="162"/>
    </row>
    <row r="163" spans="2:7" ht="16.5" customHeight="1">
      <c r="B163" s="162"/>
      <c r="E163" s="162"/>
      <c r="F163" s="162"/>
      <c r="G163" s="162"/>
    </row>
    <row r="164" spans="2:7" ht="16.5" customHeight="1">
      <c r="B164" s="162"/>
      <c r="E164" s="162"/>
      <c r="F164" s="162"/>
      <c r="G164" s="162"/>
    </row>
    <row r="165" spans="2:7" ht="16.5" customHeight="1">
      <c r="B165" s="162"/>
      <c r="E165" s="162"/>
      <c r="F165" s="162"/>
      <c r="G165" s="162"/>
    </row>
    <row r="166" spans="2:7" ht="16.5" customHeight="1">
      <c r="B166" s="162"/>
      <c r="E166" s="162"/>
      <c r="F166" s="162"/>
      <c r="G166" s="162"/>
    </row>
    <row r="167" spans="2:7" ht="16.5" customHeight="1">
      <c r="B167" s="162"/>
      <c r="E167" s="162"/>
      <c r="F167" s="162"/>
      <c r="G167" s="162"/>
    </row>
    <row r="168" spans="2:7" ht="16.5" customHeight="1">
      <c r="B168" s="162"/>
      <c r="E168" s="162"/>
      <c r="F168" s="162"/>
      <c r="G168" s="162"/>
    </row>
    <row r="169" spans="2:7" ht="16.5" customHeight="1">
      <c r="B169" s="162"/>
      <c r="E169" s="162"/>
      <c r="F169" s="162"/>
      <c r="G169" s="162"/>
    </row>
    <row r="170" spans="2:7" ht="16.5" customHeight="1">
      <c r="B170" s="162"/>
      <c r="E170" s="162"/>
      <c r="F170" s="162"/>
      <c r="G170" s="162"/>
    </row>
    <row r="171" spans="2:7" ht="16.5" customHeight="1">
      <c r="B171" s="162"/>
      <c r="E171" s="162"/>
      <c r="F171" s="162"/>
      <c r="G171" s="162"/>
    </row>
    <row r="172" spans="2:7" ht="16.5" customHeight="1">
      <c r="B172" s="162"/>
      <c r="E172" s="162"/>
      <c r="F172" s="162"/>
      <c r="G172" s="162"/>
    </row>
    <row r="173" spans="2:7" ht="16.5" customHeight="1">
      <c r="B173" s="162"/>
      <c r="E173" s="162"/>
      <c r="F173" s="162"/>
      <c r="G173" s="162"/>
    </row>
    <row r="174" spans="2:7" ht="16.5" customHeight="1">
      <c r="B174" s="162"/>
      <c r="E174" s="162"/>
      <c r="F174" s="162"/>
      <c r="G174" s="162"/>
    </row>
    <row r="175" spans="2:7" ht="16.5" customHeight="1">
      <c r="B175" s="162"/>
      <c r="E175" s="162"/>
      <c r="F175" s="162"/>
      <c r="G175" s="162"/>
    </row>
    <row r="176" spans="2:7" ht="16.5" customHeight="1">
      <c r="B176" s="162"/>
      <c r="E176" s="162"/>
      <c r="F176" s="162"/>
      <c r="G176" s="162"/>
    </row>
    <row r="177" spans="2:7" ht="16.5" customHeight="1">
      <c r="B177" s="162"/>
      <c r="E177" s="162"/>
      <c r="F177" s="162"/>
      <c r="G177" s="162"/>
    </row>
    <row r="178" spans="2:7" ht="16.5" customHeight="1">
      <c r="B178" s="162"/>
      <c r="E178" s="162"/>
      <c r="F178" s="162"/>
      <c r="G178" s="162"/>
    </row>
    <row r="179" spans="2:7" ht="16.5" customHeight="1">
      <c r="B179" s="162"/>
      <c r="E179" s="162"/>
      <c r="F179" s="162"/>
      <c r="G179" s="162"/>
    </row>
    <row r="180" spans="2:7" ht="16.5" customHeight="1">
      <c r="B180" s="162"/>
      <c r="E180" s="162"/>
      <c r="F180" s="162"/>
      <c r="G180" s="162"/>
    </row>
    <row r="181" spans="2:7" ht="16.5" customHeight="1">
      <c r="B181" s="162"/>
      <c r="E181" s="162"/>
      <c r="F181" s="162"/>
      <c r="G181" s="162"/>
    </row>
    <row r="182" spans="2:7" ht="16.5" customHeight="1">
      <c r="B182" s="162"/>
      <c r="E182" s="162"/>
      <c r="F182" s="162"/>
      <c r="G182" s="162"/>
    </row>
    <row r="183" spans="2:7" ht="16.5" customHeight="1">
      <c r="B183" s="162"/>
      <c r="E183" s="162"/>
      <c r="F183" s="162"/>
      <c r="G183" s="162"/>
    </row>
    <row r="184" spans="2:7" ht="16.5" customHeight="1">
      <c r="B184" s="162"/>
      <c r="E184" s="162"/>
      <c r="F184" s="162"/>
      <c r="G184" s="162"/>
    </row>
    <row r="185" spans="2:7" ht="16.5" customHeight="1">
      <c r="B185" s="162"/>
      <c r="E185" s="162"/>
      <c r="F185" s="162"/>
      <c r="G185" s="162"/>
    </row>
    <row r="186" spans="2:7" ht="16.5" customHeight="1">
      <c r="B186" s="162"/>
      <c r="E186" s="162"/>
      <c r="F186" s="162"/>
      <c r="G186" s="162"/>
    </row>
    <row r="187" spans="2:7" ht="16.5" customHeight="1">
      <c r="B187" s="162"/>
      <c r="E187" s="162"/>
      <c r="F187" s="162"/>
      <c r="G187" s="162"/>
    </row>
    <row r="188" spans="2:7" ht="16.5" customHeight="1">
      <c r="B188" s="162"/>
      <c r="E188" s="162"/>
      <c r="F188" s="162"/>
      <c r="G188" s="162"/>
    </row>
    <row r="189" spans="2:7" ht="16.5" customHeight="1">
      <c r="B189" s="162"/>
      <c r="E189" s="162"/>
      <c r="F189" s="162"/>
      <c r="G189" s="162"/>
    </row>
    <row r="190" spans="2:7" ht="16.5" customHeight="1">
      <c r="B190" s="162"/>
      <c r="E190" s="162"/>
      <c r="F190" s="162"/>
      <c r="G190" s="162"/>
    </row>
    <row r="191" spans="2:7" ht="16.5" customHeight="1">
      <c r="B191" s="162"/>
      <c r="E191" s="162"/>
      <c r="F191" s="162"/>
      <c r="G191" s="162"/>
    </row>
    <row r="192" spans="2:7" ht="16.5" customHeight="1">
      <c r="B192" s="162"/>
      <c r="E192" s="162"/>
      <c r="F192" s="162"/>
      <c r="G192" s="162"/>
    </row>
    <row r="193" spans="2:7" ht="16.5" customHeight="1">
      <c r="B193" s="162"/>
      <c r="E193" s="162"/>
      <c r="F193" s="162"/>
      <c r="G193" s="162"/>
    </row>
    <row r="194" spans="2:7" ht="16.5" customHeight="1">
      <c r="B194" s="162"/>
      <c r="E194" s="162"/>
      <c r="F194" s="162"/>
      <c r="G194" s="162"/>
    </row>
    <row r="195" spans="2:7" ht="16.5" customHeight="1">
      <c r="B195" s="162"/>
      <c r="E195" s="162"/>
      <c r="F195" s="162"/>
      <c r="G195" s="162"/>
    </row>
    <row r="196" spans="2:7" ht="16.5" customHeight="1">
      <c r="B196" s="162"/>
      <c r="E196" s="162"/>
      <c r="F196" s="162"/>
      <c r="G196" s="162"/>
    </row>
    <row r="197" spans="2:7" ht="16.5" customHeight="1">
      <c r="B197" s="162"/>
      <c r="E197" s="162"/>
      <c r="F197" s="162"/>
      <c r="G197" s="162"/>
    </row>
    <row r="198" spans="2:7" ht="16.5" customHeight="1">
      <c r="B198" s="162"/>
      <c r="E198" s="162"/>
      <c r="F198" s="162"/>
      <c r="G198" s="162"/>
    </row>
    <row r="199" spans="2:7" ht="16.5" customHeight="1">
      <c r="B199" s="162"/>
      <c r="E199" s="162"/>
      <c r="F199" s="162"/>
      <c r="G199" s="162"/>
    </row>
    <row r="200" spans="2:7" ht="16.5" customHeight="1">
      <c r="B200" s="162"/>
      <c r="E200" s="162"/>
      <c r="F200" s="162"/>
      <c r="G200" s="162"/>
    </row>
    <row r="201" spans="2:7" ht="16.5" customHeight="1">
      <c r="B201" s="162"/>
      <c r="E201" s="162"/>
      <c r="F201" s="162"/>
      <c r="G201" s="162"/>
    </row>
    <row r="202" spans="2:7" ht="16.5" customHeight="1">
      <c r="B202" s="162"/>
      <c r="E202" s="162"/>
      <c r="F202" s="162"/>
      <c r="G202" s="162"/>
    </row>
    <row r="203" spans="2:7" ht="16.5" customHeight="1">
      <c r="B203" s="162"/>
      <c r="E203" s="162"/>
      <c r="F203" s="162"/>
      <c r="G203" s="162"/>
    </row>
    <row r="204" spans="2:7" ht="16.5" customHeight="1">
      <c r="B204" s="162"/>
      <c r="E204" s="162"/>
      <c r="F204" s="162"/>
      <c r="G204" s="162"/>
    </row>
    <row r="205" spans="2:7" ht="16.5" customHeight="1">
      <c r="B205" s="162"/>
      <c r="E205" s="162"/>
      <c r="F205" s="162"/>
      <c r="G205" s="162"/>
    </row>
    <row r="206" spans="2:7" ht="16.5" customHeight="1">
      <c r="B206" s="162"/>
      <c r="E206" s="162"/>
      <c r="F206" s="162"/>
      <c r="G206" s="162"/>
    </row>
    <row r="207" spans="2:7" ht="16.5" customHeight="1">
      <c r="B207" s="162"/>
      <c r="E207" s="162"/>
      <c r="F207" s="162"/>
      <c r="G207" s="162"/>
    </row>
    <row r="208" spans="2:7" ht="16.5" customHeight="1">
      <c r="B208" s="162"/>
      <c r="E208" s="162"/>
      <c r="F208" s="162"/>
      <c r="G208" s="162"/>
    </row>
    <row r="209" spans="2:7" ht="16.5" customHeight="1">
      <c r="B209" s="162"/>
      <c r="E209" s="162"/>
      <c r="F209" s="162"/>
      <c r="G209" s="162"/>
    </row>
    <row r="210" spans="2:7" ht="16.5" customHeight="1">
      <c r="B210" s="162"/>
      <c r="E210" s="162"/>
      <c r="F210" s="162"/>
      <c r="G210" s="162"/>
    </row>
    <row r="211" spans="2:7" ht="16.5" customHeight="1">
      <c r="B211" s="162"/>
      <c r="E211" s="162"/>
      <c r="F211" s="162"/>
      <c r="G211" s="162"/>
    </row>
    <row r="212" spans="2:7" ht="16.5" customHeight="1">
      <c r="B212" s="162"/>
      <c r="E212" s="162"/>
      <c r="F212" s="162"/>
      <c r="G212" s="162"/>
    </row>
    <row r="213" spans="2:7" ht="16.5" customHeight="1">
      <c r="B213" s="162"/>
      <c r="E213" s="162"/>
      <c r="F213" s="162"/>
      <c r="G213" s="162"/>
    </row>
    <row r="214" spans="2:7" ht="16.5" customHeight="1">
      <c r="B214" s="162"/>
      <c r="E214" s="162"/>
      <c r="F214" s="162"/>
      <c r="G214" s="162"/>
    </row>
    <row r="215" spans="2:7" ht="16.5" customHeight="1">
      <c r="B215" s="162"/>
      <c r="E215" s="162"/>
      <c r="F215" s="162"/>
      <c r="G215" s="162"/>
    </row>
    <row r="216" spans="2:7" ht="16.5" customHeight="1">
      <c r="B216" s="162"/>
      <c r="E216" s="162"/>
      <c r="F216" s="162"/>
      <c r="G216" s="162"/>
    </row>
    <row r="217" spans="2:7" ht="16.5" customHeight="1">
      <c r="B217" s="162"/>
      <c r="E217" s="162"/>
      <c r="F217" s="162"/>
      <c r="G217" s="162"/>
    </row>
    <row r="218" spans="2:7" ht="16.5" customHeight="1">
      <c r="B218" s="162"/>
      <c r="E218" s="162"/>
      <c r="F218" s="162"/>
      <c r="G218" s="162"/>
    </row>
    <row r="219" spans="2:7" ht="16.5" customHeight="1">
      <c r="B219" s="162"/>
      <c r="E219" s="162"/>
      <c r="F219" s="162"/>
      <c r="G219" s="162"/>
    </row>
    <row r="220" spans="2:7" ht="16.5" customHeight="1">
      <c r="B220" s="162"/>
      <c r="E220" s="162"/>
      <c r="F220" s="162"/>
      <c r="G220" s="162"/>
    </row>
    <row r="221" spans="2:7" ht="16.5" customHeight="1">
      <c r="B221" s="162"/>
      <c r="E221" s="162"/>
      <c r="F221" s="162"/>
      <c r="G221" s="162"/>
    </row>
    <row r="222" spans="2:7" ht="16.5" customHeight="1">
      <c r="B222" s="162"/>
      <c r="E222" s="162"/>
      <c r="F222" s="162"/>
      <c r="G222" s="162"/>
    </row>
    <row r="223" spans="2:7" ht="16.5" customHeight="1">
      <c r="B223" s="162"/>
      <c r="E223" s="162"/>
      <c r="F223" s="162"/>
      <c r="G223" s="162"/>
    </row>
    <row r="224" spans="2:7" ht="16.5" customHeight="1">
      <c r="B224" s="162"/>
      <c r="E224" s="162"/>
      <c r="F224" s="162"/>
      <c r="G224" s="162"/>
    </row>
    <row r="225" spans="2:7" ht="16.5" customHeight="1">
      <c r="B225" s="162"/>
      <c r="E225" s="162"/>
      <c r="F225" s="162"/>
      <c r="G225" s="162"/>
    </row>
    <row r="226" spans="2:7" ht="16.5" customHeight="1">
      <c r="B226" s="162"/>
      <c r="E226" s="162"/>
      <c r="F226" s="162"/>
      <c r="G226" s="162"/>
    </row>
    <row r="227" spans="2:7" ht="16.5" customHeight="1">
      <c r="B227" s="162"/>
      <c r="E227" s="162"/>
      <c r="F227" s="162"/>
      <c r="G227" s="162"/>
    </row>
    <row r="228" spans="2:7" ht="16.5" customHeight="1">
      <c r="B228" s="162"/>
      <c r="E228" s="162"/>
      <c r="F228" s="162"/>
      <c r="G228" s="162"/>
    </row>
    <row r="229" spans="2:7" ht="16.5" customHeight="1">
      <c r="B229" s="162"/>
      <c r="E229" s="162"/>
      <c r="F229" s="162"/>
      <c r="G229" s="162"/>
    </row>
    <row r="230" spans="2:7" ht="16.5" customHeight="1">
      <c r="B230" s="162"/>
      <c r="E230" s="162"/>
      <c r="F230" s="162"/>
      <c r="G230" s="162"/>
    </row>
    <row r="231" spans="2:7" ht="16.5" customHeight="1">
      <c r="B231" s="162"/>
      <c r="E231" s="162"/>
      <c r="F231" s="162"/>
      <c r="G231" s="162"/>
    </row>
    <row r="232" spans="2:7" ht="16.5" customHeight="1">
      <c r="B232" s="162"/>
      <c r="E232" s="162"/>
      <c r="F232" s="162"/>
      <c r="G232" s="162"/>
    </row>
    <row r="233" spans="2:7" ht="16.5" customHeight="1">
      <c r="B233" s="162"/>
      <c r="E233" s="162"/>
      <c r="F233" s="162"/>
      <c r="G233" s="162"/>
    </row>
    <row r="234" spans="2:7" ht="16.5" customHeight="1">
      <c r="B234" s="162"/>
      <c r="E234" s="162"/>
      <c r="F234" s="162"/>
      <c r="G234" s="162"/>
    </row>
    <row r="235" spans="2:7" ht="16.5" customHeight="1">
      <c r="B235" s="162"/>
      <c r="E235" s="162"/>
      <c r="F235" s="162"/>
      <c r="G235" s="162"/>
    </row>
    <row r="236" spans="2:7" ht="16.5" customHeight="1">
      <c r="B236" s="162"/>
      <c r="E236" s="162"/>
      <c r="F236" s="162"/>
      <c r="G236" s="162"/>
    </row>
    <row r="237" spans="2:7" ht="16.5" customHeight="1">
      <c r="B237" s="162"/>
      <c r="E237" s="162"/>
      <c r="F237" s="162"/>
      <c r="G237" s="162"/>
    </row>
    <row r="238" spans="2:7" ht="16.5" customHeight="1">
      <c r="B238" s="162"/>
      <c r="E238" s="162"/>
      <c r="F238" s="162"/>
      <c r="G238" s="162"/>
    </row>
    <row r="239" spans="2:7" ht="16.5" customHeight="1">
      <c r="B239" s="162"/>
      <c r="E239" s="162"/>
      <c r="F239" s="162"/>
      <c r="G239" s="162"/>
    </row>
    <row r="240" spans="2:7" ht="16.5" customHeight="1">
      <c r="B240" s="162"/>
      <c r="E240" s="162"/>
      <c r="F240" s="162"/>
      <c r="G240" s="162"/>
    </row>
    <row r="241" spans="2:7" ht="16.5" customHeight="1">
      <c r="B241" s="162"/>
      <c r="E241" s="162"/>
      <c r="F241" s="162"/>
      <c r="G241" s="162"/>
    </row>
    <row r="242" spans="2:7" ht="16.5" customHeight="1">
      <c r="B242" s="162"/>
      <c r="E242" s="162"/>
      <c r="F242" s="162"/>
      <c r="G242" s="162"/>
    </row>
    <row r="243" spans="2:7" ht="16.5" customHeight="1">
      <c r="B243" s="162"/>
      <c r="E243" s="162"/>
      <c r="F243" s="162"/>
      <c r="G243" s="162"/>
    </row>
    <row r="244" spans="2:7" ht="16.5" customHeight="1">
      <c r="B244" s="162"/>
      <c r="E244" s="162"/>
      <c r="F244" s="162"/>
      <c r="G244" s="162"/>
    </row>
    <row r="245" spans="2:7" ht="16.5" customHeight="1">
      <c r="B245" s="162"/>
      <c r="E245" s="162"/>
      <c r="F245" s="162"/>
      <c r="G245" s="162"/>
    </row>
    <row r="246" spans="2:7" ht="16.5" customHeight="1">
      <c r="B246" s="162"/>
      <c r="E246" s="162"/>
      <c r="F246" s="162"/>
      <c r="G246" s="162"/>
    </row>
    <row r="247" spans="2:7" ht="16.5" customHeight="1">
      <c r="B247" s="162"/>
      <c r="E247" s="162"/>
      <c r="F247" s="162"/>
      <c r="G247" s="162"/>
    </row>
    <row r="248" spans="2:7" ht="16.5" customHeight="1">
      <c r="B248" s="162"/>
      <c r="E248" s="162"/>
      <c r="F248" s="162"/>
      <c r="G248" s="162"/>
    </row>
    <row r="249" spans="2:7" ht="16.5" customHeight="1">
      <c r="B249" s="162"/>
      <c r="E249" s="162"/>
      <c r="F249" s="162"/>
      <c r="G249" s="162"/>
    </row>
    <row r="250" spans="2:7" ht="16.5" customHeight="1">
      <c r="B250" s="162"/>
      <c r="E250" s="162"/>
      <c r="F250" s="162"/>
      <c r="G250" s="162"/>
    </row>
    <row r="251" spans="2:7" ht="16.5" customHeight="1">
      <c r="B251" s="162"/>
      <c r="E251" s="162"/>
      <c r="F251" s="162"/>
      <c r="G251" s="162"/>
    </row>
    <row r="252" spans="2:7" ht="16.5" customHeight="1">
      <c r="B252" s="162"/>
      <c r="E252" s="162"/>
      <c r="F252" s="162"/>
      <c r="G252" s="162"/>
    </row>
    <row r="253" spans="2:7" ht="16.5" customHeight="1">
      <c r="B253" s="162"/>
      <c r="E253" s="162"/>
      <c r="F253" s="162"/>
      <c r="G253" s="162"/>
    </row>
    <row r="254" spans="2:7" ht="16.5" customHeight="1">
      <c r="B254" s="162"/>
      <c r="E254" s="162"/>
      <c r="F254" s="162"/>
      <c r="G254" s="162"/>
    </row>
    <row r="255" spans="2:7" ht="16.5" customHeight="1">
      <c r="B255" s="162"/>
      <c r="E255" s="162"/>
      <c r="F255" s="162"/>
      <c r="G255" s="162"/>
    </row>
    <row r="256" spans="2:7" ht="16.5" customHeight="1">
      <c r="B256" s="162"/>
      <c r="E256" s="162"/>
      <c r="F256" s="162"/>
      <c r="G256" s="162"/>
    </row>
    <row r="257" spans="2:7" ht="16.5" customHeight="1">
      <c r="B257" s="162"/>
      <c r="E257" s="162"/>
      <c r="F257" s="162"/>
      <c r="G257" s="162"/>
    </row>
    <row r="258" spans="2:7" ht="16.5" customHeight="1">
      <c r="B258" s="162"/>
      <c r="E258" s="162"/>
      <c r="F258" s="162"/>
      <c r="G258" s="162"/>
    </row>
    <row r="259" spans="2:7" ht="16.5" customHeight="1">
      <c r="B259" s="162"/>
      <c r="E259" s="162"/>
      <c r="F259" s="162"/>
      <c r="G259" s="162"/>
    </row>
    <row r="260" spans="2:7" ht="16.5" customHeight="1">
      <c r="B260" s="162"/>
      <c r="E260" s="162"/>
      <c r="F260" s="162"/>
      <c r="G260" s="162"/>
    </row>
    <row r="261" spans="2:7" ht="16.5" customHeight="1">
      <c r="B261" s="162"/>
      <c r="E261" s="162"/>
      <c r="F261" s="162"/>
      <c r="G261" s="162"/>
    </row>
    <row r="262" spans="2:7" ht="16.5" customHeight="1">
      <c r="B262" s="162"/>
      <c r="E262" s="162"/>
      <c r="F262" s="162"/>
      <c r="G262" s="162"/>
    </row>
    <row r="263" spans="2:7" ht="16.5" customHeight="1">
      <c r="B263" s="162"/>
      <c r="E263" s="162"/>
      <c r="F263" s="162"/>
      <c r="G263" s="162"/>
    </row>
    <row r="264" spans="2:7" ht="16.5" customHeight="1">
      <c r="B264" s="162"/>
      <c r="E264" s="162"/>
      <c r="F264" s="162"/>
      <c r="G264" s="162"/>
    </row>
    <row r="265" spans="2:7" ht="16.5" customHeight="1">
      <c r="B265" s="162"/>
      <c r="E265" s="162"/>
      <c r="F265" s="162"/>
      <c r="G265" s="162"/>
    </row>
    <row r="266" spans="2:7" ht="16.5" customHeight="1">
      <c r="B266" s="162"/>
      <c r="E266" s="162"/>
      <c r="F266" s="162"/>
      <c r="G266" s="162"/>
    </row>
    <row r="267" spans="2:7" ht="16.5" customHeight="1">
      <c r="B267" s="162"/>
      <c r="E267" s="162"/>
      <c r="F267" s="162"/>
      <c r="G267" s="162"/>
    </row>
    <row r="268" spans="2:7" ht="16.5" customHeight="1">
      <c r="B268" s="162"/>
      <c r="E268" s="162"/>
      <c r="F268" s="162"/>
      <c r="G268" s="162"/>
    </row>
    <row r="269" spans="2:7" ht="16.5" customHeight="1">
      <c r="B269" s="162"/>
      <c r="E269" s="162"/>
      <c r="F269" s="162"/>
      <c r="G269" s="162"/>
    </row>
    <row r="270" spans="2:7" ht="16.5" customHeight="1">
      <c r="B270" s="162"/>
      <c r="E270" s="162"/>
      <c r="F270" s="162"/>
      <c r="G270" s="162"/>
    </row>
    <row r="271" spans="2:7" ht="16.5" customHeight="1">
      <c r="B271" s="162"/>
      <c r="E271" s="162"/>
      <c r="F271" s="162"/>
      <c r="G271" s="162"/>
    </row>
    <row r="272" spans="2:7" ht="16.5" customHeight="1">
      <c r="B272" s="162"/>
      <c r="E272" s="162"/>
      <c r="F272" s="162"/>
      <c r="G272" s="162"/>
    </row>
    <row r="273" spans="2:7" ht="16.5" customHeight="1">
      <c r="B273" s="162"/>
      <c r="E273" s="162"/>
      <c r="F273" s="162"/>
      <c r="G273" s="162"/>
    </row>
    <row r="274" spans="2:7" ht="16.5" customHeight="1">
      <c r="B274" s="162"/>
      <c r="E274" s="162"/>
      <c r="F274" s="162"/>
      <c r="G274" s="162"/>
    </row>
    <row r="275" spans="2:7" ht="16.5" customHeight="1">
      <c r="B275" s="162"/>
      <c r="E275" s="162"/>
      <c r="F275" s="162"/>
      <c r="G275" s="162"/>
    </row>
    <row r="276" spans="2:7" ht="16.5" customHeight="1">
      <c r="B276" s="162"/>
      <c r="E276" s="162"/>
      <c r="F276" s="162"/>
      <c r="G276" s="162"/>
    </row>
    <row r="277" spans="2:7" ht="16.5" customHeight="1">
      <c r="B277" s="162"/>
      <c r="E277" s="162"/>
      <c r="F277" s="162"/>
      <c r="G277" s="162"/>
    </row>
    <row r="278" spans="2:7" ht="16.5" customHeight="1">
      <c r="B278" s="162"/>
      <c r="E278" s="162"/>
      <c r="F278" s="162"/>
      <c r="G278" s="162"/>
    </row>
    <row r="279" spans="2:7" ht="16.5" customHeight="1">
      <c r="B279" s="162"/>
      <c r="E279" s="162"/>
      <c r="F279" s="162"/>
      <c r="G279" s="162"/>
    </row>
    <row r="280" spans="2:7" ht="16.5" customHeight="1">
      <c r="B280" s="162"/>
      <c r="E280" s="162"/>
      <c r="F280" s="162"/>
      <c r="G280" s="162"/>
    </row>
    <row r="281" spans="2:7" ht="16.5" customHeight="1">
      <c r="B281" s="162"/>
      <c r="E281" s="162"/>
      <c r="F281" s="162"/>
      <c r="G281" s="162"/>
    </row>
    <row r="282" spans="2:7" ht="16.5" customHeight="1">
      <c r="B282" s="162"/>
      <c r="E282" s="162"/>
      <c r="F282" s="162"/>
      <c r="G282" s="162"/>
    </row>
    <row r="283" spans="2:7" ht="16.5" customHeight="1">
      <c r="B283" s="162"/>
      <c r="E283" s="162"/>
      <c r="F283" s="162"/>
      <c r="G283" s="162"/>
    </row>
    <row r="284" spans="2:7" ht="16.5" customHeight="1">
      <c r="B284" s="162"/>
      <c r="E284" s="162"/>
      <c r="F284" s="162"/>
      <c r="G284" s="162"/>
    </row>
    <row r="285" spans="2:7" ht="16.5" customHeight="1">
      <c r="B285" s="162"/>
      <c r="E285" s="162"/>
      <c r="F285" s="162"/>
      <c r="G285" s="162"/>
    </row>
    <row r="286" spans="2:7" ht="16.5" customHeight="1">
      <c r="B286" s="162"/>
      <c r="E286" s="162"/>
      <c r="F286" s="162"/>
      <c r="G286" s="162"/>
    </row>
    <row r="287" spans="2:7" ht="16.5" customHeight="1">
      <c r="B287" s="162"/>
      <c r="E287" s="162"/>
      <c r="F287" s="162"/>
      <c r="G287" s="162"/>
    </row>
    <row r="288" spans="2:7" ht="16.5" customHeight="1">
      <c r="B288" s="162"/>
      <c r="E288" s="162"/>
      <c r="F288" s="162"/>
      <c r="G288" s="162"/>
    </row>
    <row r="289" spans="2:7" ht="16.5" customHeight="1">
      <c r="B289" s="162"/>
      <c r="E289" s="162"/>
      <c r="F289" s="162"/>
      <c r="G289" s="162"/>
    </row>
    <row r="290" spans="2:7" ht="16.5" customHeight="1">
      <c r="B290" s="162"/>
      <c r="E290" s="162"/>
      <c r="F290" s="162"/>
      <c r="G290" s="162"/>
    </row>
    <row r="291" spans="2:7" ht="16.5" customHeight="1">
      <c r="B291" s="162"/>
      <c r="E291" s="162"/>
      <c r="F291" s="162"/>
      <c r="G291" s="162"/>
    </row>
    <row r="292" spans="2:7" ht="16.5" customHeight="1">
      <c r="B292" s="162"/>
      <c r="E292" s="162"/>
      <c r="F292" s="162"/>
      <c r="G292" s="162"/>
    </row>
    <row r="293" spans="2:7" ht="16.5" customHeight="1">
      <c r="B293" s="162"/>
      <c r="E293" s="162"/>
      <c r="F293" s="162"/>
      <c r="G293" s="162"/>
    </row>
    <row r="294" spans="2:7" ht="16.5" customHeight="1">
      <c r="B294" s="162"/>
      <c r="E294" s="162"/>
      <c r="F294" s="162"/>
      <c r="G294" s="162"/>
    </row>
    <row r="295" spans="2:7" ht="16.5" customHeight="1">
      <c r="B295" s="162"/>
      <c r="E295" s="162"/>
      <c r="F295" s="162"/>
      <c r="G295" s="162"/>
    </row>
    <row r="296" spans="2:7" ht="16.5" customHeight="1">
      <c r="B296" s="162"/>
      <c r="E296" s="162"/>
      <c r="F296" s="162"/>
      <c r="G296" s="162"/>
    </row>
    <row r="297" spans="2:7" ht="16.5" customHeight="1">
      <c r="B297" s="162"/>
      <c r="E297" s="162"/>
      <c r="F297" s="162"/>
      <c r="G297" s="162"/>
    </row>
    <row r="298" spans="2:7" ht="16.5" customHeight="1">
      <c r="B298" s="162"/>
      <c r="E298" s="162"/>
      <c r="F298" s="162"/>
      <c r="G298" s="162"/>
    </row>
    <row r="299" spans="2:7" ht="16.5" customHeight="1">
      <c r="B299" s="162"/>
      <c r="E299" s="162"/>
      <c r="F299" s="162"/>
      <c r="G299" s="162"/>
    </row>
    <row r="300" spans="2:7" ht="16.5" customHeight="1">
      <c r="B300" s="162"/>
      <c r="E300" s="162"/>
      <c r="F300" s="162"/>
      <c r="G300" s="162"/>
    </row>
    <row r="301" spans="2:7" ht="16.5" customHeight="1">
      <c r="B301" s="162"/>
      <c r="E301" s="162"/>
      <c r="F301" s="162"/>
      <c r="G301" s="162"/>
    </row>
    <row r="302" spans="2:7" ht="16.5" customHeight="1">
      <c r="B302" s="162"/>
      <c r="E302" s="162"/>
      <c r="F302" s="162"/>
      <c r="G302" s="162"/>
    </row>
    <row r="303" spans="2:7" ht="16.5" customHeight="1">
      <c r="B303" s="162"/>
      <c r="E303" s="162"/>
      <c r="F303" s="162"/>
      <c r="G303" s="162"/>
    </row>
    <row r="304" spans="2:7" ht="16.5" customHeight="1">
      <c r="B304" s="162"/>
      <c r="E304" s="162"/>
      <c r="F304" s="162"/>
      <c r="G304" s="162"/>
    </row>
    <row r="305" spans="2:7" ht="16.5" customHeight="1">
      <c r="B305" s="162"/>
      <c r="E305" s="162"/>
      <c r="F305" s="162"/>
      <c r="G305" s="162"/>
    </row>
    <row r="306" spans="2:7" ht="16.5" customHeight="1">
      <c r="B306" s="162"/>
      <c r="E306" s="162"/>
      <c r="F306" s="162"/>
      <c r="G306" s="162"/>
    </row>
    <row r="307" spans="2:7" ht="16.5" customHeight="1">
      <c r="B307" s="162"/>
      <c r="E307" s="162"/>
      <c r="F307" s="162"/>
      <c r="G307" s="162"/>
    </row>
    <row r="308" spans="2:7" ht="16.5" customHeight="1">
      <c r="B308" s="162"/>
      <c r="E308" s="162"/>
      <c r="F308" s="162"/>
      <c r="G308" s="162"/>
    </row>
    <row r="309" spans="2:7" ht="16.5" customHeight="1">
      <c r="B309" s="162"/>
      <c r="E309" s="162"/>
      <c r="F309" s="162"/>
      <c r="G309" s="162"/>
    </row>
    <row r="310" spans="2:7" ht="16.5" customHeight="1">
      <c r="B310" s="162"/>
      <c r="E310" s="162"/>
      <c r="F310" s="162"/>
      <c r="G310" s="162"/>
    </row>
    <row r="311" spans="2:7" ht="16.5" customHeight="1">
      <c r="B311" s="162"/>
      <c r="E311" s="162"/>
      <c r="F311" s="162"/>
      <c r="G311" s="162"/>
    </row>
    <row r="312" spans="2:7" ht="16.5" customHeight="1">
      <c r="B312" s="162"/>
      <c r="E312" s="162"/>
      <c r="F312" s="162"/>
      <c r="G312" s="162"/>
    </row>
    <row r="313" spans="2:7" ht="16.5" customHeight="1">
      <c r="B313" s="162"/>
      <c r="E313" s="162"/>
      <c r="F313" s="162"/>
      <c r="G313" s="162"/>
    </row>
    <row r="314" spans="2:7" ht="16.5" customHeight="1">
      <c r="B314" s="162"/>
      <c r="E314" s="162"/>
      <c r="F314" s="162"/>
      <c r="G314" s="162"/>
    </row>
    <row r="315" spans="2:7" ht="16.5" customHeight="1">
      <c r="B315" s="162"/>
      <c r="E315" s="162"/>
      <c r="F315" s="162"/>
      <c r="G315" s="162"/>
    </row>
    <row r="316" spans="2:7" ht="16.5" customHeight="1">
      <c r="B316" s="162"/>
      <c r="E316" s="162"/>
      <c r="F316" s="162"/>
      <c r="G316" s="162"/>
    </row>
    <row r="317" spans="2:7" ht="16.5" customHeight="1">
      <c r="B317" s="162"/>
      <c r="E317" s="162"/>
      <c r="F317" s="162"/>
      <c r="G317" s="162"/>
    </row>
    <row r="318" spans="2:7" ht="16.5" customHeight="1">
      <c r="B318" s="162"/>
      <c r="E318" s="162"/>
      <c r="F318" s="162"/>
      <c r="G318" s="162"/>
    </row>
    <row r="319" spans="2:7" ht="16.5" customHeight="1">
      <c r="B319" s="162"/>
      <c r="E319" s="162"/>
      <c r="F319" s="162"/>
      <c r="G319" s="162"/>
    </row>
    <row r="320" spans="2:7" ht="16.5" customHeight="1">
      <c r="B320" s="162"/>
      <c r="E320" s="162"/>
      <c r="F320" s="162"/>
      <c r="G320" s="162"/>
    </row>
    <row r="321" spans="2:7" ht="16.5" customHeight="1">
      <c r="B321" s="162"/>
      <c r="E321" s="162"/>
      <c r="F321" s="162"/>
      <c r="G321" s="162"/>
    </row>
    <row r="322" spans="2:7" ht="16.5" customHeight="1">
      <c r="B322" s="162"/>
      <c r="E322" s="162"/>
      <c r="F322" s="162"/>
      <c r="G322" s="162"/>
    </row>
    <row r="323" spans="2:7" ht="16.5" customHeight="1">
      <c r="B323" s="162"/>
      <c r="E323" s="162"/>
      <c r="F323" s="162"/>
      <c r="G323" s="162"/>
    </row>
    <row r="324" spans="2:7" ht="16.5" customHeight="1">
      <c r="B324" s="162"/>
      <c r="E324" s="162"/>
      <c r="F324" s="162"/>
      <c r="G324" s="162"/>
    </row>
    <row r="325" spans="2:7" ht="16.5" customHeight="1">
      <c r="B325" s="162"/>
      <c r="E325" s="162"/>
      <c r="F325" s="162"/>
      <c r="G325" s="162"/>
    </row>
    <row r="326" spans="2:7" ht="16.5" customHeight="1">
      <c r="B326" s="162"/>
      <c r="E326" s="162"/>
      <c r="F326" s="162"/>
      <c r="G326" s="162"/>
    </row>
    <row r="327" spans="2:7" ht="16.5" customHeight="1">
      <c r="B327" s="162"/>
      <c r="E327" s="162"/>
      <c r="F327" s="162"/>
      <c r="G327" s="162"/>
    </row>
    <row r="328" spans="2:7" ht="16.5" customHeight="1">
      <c r="B328" s="162"/>
      <c r="E328" s="162"/>
      <c r="F328" s="162"/>
      <c r="G328" s="162"/>
    </row>
    <row r="329" spans="2:7" ht="16.5" customHeight="1">
      <c r="B329" s="162"/>
      <c r="E329" s="162"/>
      <c r="F329" s="162"/>
      <c r="G329" s="162"/>
    </row>
    <row r="330" spans="2:7" ht="16.5" customHeight="1">
      <c r="B330" s="162"/>
      <c r="E330" s="162"/>
      <c r="F330" s="162"/>
      <c r="G330" s="162"/>
    </row>
    <row r="331" spans="2:7" ht="16.5" customHeight="1">
      <c r="B331" s="162"/>
      <c r="E331" s="162"/>
      <c r="F331" s="162"/>
      <c r="G331" s="162"/>
    </row>
    <row r="332" spans="2:7" ht="16.5" customHeight="1">
      <c r="B332" s="162"/>
      <c r="E332" s="162"/>
      <c r="F332" s="162"/>
      <c r="G332" s="162"/>
    </row>
    <row r="333" spans="2:7" ht="16.5" customHeight="1">
      <c r="B333" s="162"/>
      <c r="E333" s="162"/>
      <c r="F333" s="162"/>
      <c r="G333" s="162"/>
    </row>
    <row r="334" spans="2:7" ht="16.5" customHeight="1">
      <c r="B334" s="162"/>
      <c r="E334" s="162"/>
      <c r="F334" s="162"/>
      <c r="G334" s="162"/>
    </row>
    <row r="335" spans="2:7" ht="16.5" customHeight="1">
      <c r="B335" s="162"/>
      <c r="E335" s="162"/>
      <c r="F335" s="162"/>
      <c r="G335" s="162"/>
    </row>
    <row r="336" spans="2:7" ht="16.5" customHeight="1">
      <c r="B336" s="162"/>
      <c r="E336" s="162"/>
      <c r="F336" s="162"/>
      <c r="G336" s="162"/>
    </row>
    <row r="337" spans="2:7" ht="16.5" customHeight="1">
      <c r="B337" s="162"/>
      <c r="E337" s="162"/>
      <c r="F337" s="162"/>
      <c r="G337" s="162"/>
    </row>
    <row r="338" spans="2:7" ht="16.5" customHeight="1">
      <c r="B338" s="162"/>
      <c r="E338" s="162"/>
      <c r="F338" s="162"/>
      <c r="G338" s="162"/>
    </row>
    <row r="339" spans="2:7" ht="16.5" customHeight="1">
      <c r="B339" s="162"/>
      <c r="E339" s="162"/>
      <c r="F339" s="162"/>
      <c r="G339" s="162"/>
    </row>
    <row r="340" spans="2:7" ht="16.5" customHeight="1">
      <c r="B340" s="162"/>
      <c r="E340" s="162"/>
      <c r="F340" s="162"/>
      <c r="G340" s="162"/>
    </row>
    <row r="341" spans="2:7" ht="16.5" customHeight="1">
      <c r="B341" s="162"/>
      <c r="E341" s="162"/>
      <c r="F341" s="162"/>
      <c r="G341" s="162"/>
    </row>
    <row r="342" spans="2:7" ht="16.5" customHeight="1">
      <c r="B342" s="162"/>
      <c r="E342" s="162"/>
      <c r="F342" s="162"/>
      <c r="G342" s="162"/>
    </row>
    <row r="343" spans="2:7" ht="16.5" customHeight="1">
      <c r="B343" s="162"/>
      <c r="E343" s="162"/>
      <c r="F343" s="162"/>
      <c r="G343" s="162"/>
    </row>
    <row r="344" spans="2:7" ht="16.5" customHeight="1">
      <c r="B344" s="162"/>
      <c r="E344" s="162"/>
      <c r="F344" s="162"/>
      <c r="G344" s="162"/>
    </row>
    <row r="345" spans="2:7" ht="16.5" customHeight="1">
      <c r="B345" s="162"/>
      <c r="E345" s="162"/>
      <c r="F345" s="162"/>
      <c r="G345" s="162"/>
    </row>
    <row r="346" spans="2:7" ht="16.5" customHeight="1">
      <c r="B346" s="162"/>
      <c r="E346" s="162"/>
      <c r="F346" s="162"/>
      <c r="G346" s="162"/>
    </row>
    <row r="347" spans="2:7" ht="16.5" customHeight="1">
      <c r="B347" s="162"/>
      <c r="E347" s="162"/>
      <c r="F347" s="162"/>
      <c r="G347" s="162"/>
    </row>
    <row r="348" spans="2:7" ht="16.5" customHeight="1">
      <c r="B348" s="162"/>
      <c r="E348" s="162"/>
      <c r="F348" s="162"/>
      <c r="G348" s="162"/>
    </row>
    <row r="349" spans="2:7" ht="16.5" customHeight="1">
      <c r="B349" s="162"/>
      <c r="E349" s="162"/>
      <c r="F349" s="162"/>
      <c r="G349" s="162"/>
    </row>
    <row r="350" spans="2:7" ht="16.5" customHeight="1">
      <c r="B350" s="162"/>
      <c r="E350" s="162"/>
      <c r="F350" s="162"/>
      <c r="G350" s="162"/>
    </row>
    <row r="351" spans="2:7" ht="16.5" customHeight="1">
      <c r="B351" s="162"/>
      <c r="E351" s="162"/>
      <c r="F351" s="162"/>
      <c r="G351" s="162"/>
    </row>
    <row r="352" spans="2:7" ht="16.5" customHeight="1">
      <c r="B352" s="162"/>
      <c r="E352" s="162"/>
      <c r="F352" s="162"/>
      <c r="G352" s="162"/>
    </row>
    <row r="353" spans="2:7" ht="16.5" customHeight="1">
      <c r="B353" s="162"/>
      <c r="E353" s="162"/>
      <c r="F353" s="162"/>
      <c r="G353" s="162"/>
    </row>
    <row r="354" spans="2:7" ht="16.5" customHeight="1">
      <c r="B354" s="162"/>
      <c r="E354" s="162"/>
      <c r="F354" s="162"/>
      <c r="G354" s="162"/>
    </row>
    <row r="355" spans="2:7" ht="16.5" customHeight="1">
      <c r="B355" s="162"/>
      <c r="E355" s="162"/>
      <c r="F355" s="162"/>
      <c r="G355" s="162"/>
    </row>
    <row r="356" spans="2:7" ht="16.5" customHeight="1">
      <c r="B356" s="162"/>
      <c r="E356" s="162"/>
      <c r="F356" s="162"/>
      <c r="G356" s="162"/>
    </row>
    <row r="357" spans="2:7" ht="16.5" customHeight="1">
      <c r="B357" s="162"/>
      <c r="E357" s="162"/>
      <c r="F357" s="162"/>
      <c r="G357" s="162"/>
    </row>
    <row r="358" spans="2:7" ht="16.5" customHeight="1">
      <c r="B358" s="162"/>
      <c r="E358" s="162"/>
      <c r="F358" s="162"/>
      <c r="G358" s="162"/>
    </row>
    <row r="359" spans="2:7" ht="16.5" customHeight="1">
      <c r="B359" s="162"/>
      <c r="E359" s="162"/>
      <c r="F359" s="162"/>
      <c r="G359" s="162"/>
    </row>
    <row r="360" spans="2:7" ht="16.5" customHeight="1">
      <c r="B360" s="162"/>
      <c r="E360" s="162"/>
      <c r="F360" s="162"/>
      <c r="G360" s="162"/>
    </row>
    <row r="361" spans="2:7" ht="16.5" customHeight="1">
      <c r="B361" s="162"/>
      <c r="E361" s="162"/>
      <c r="F361" s="162"/>
      <c r="G361" s="162"/>
    </row>
    <row r="362" spans="2:7" ht="16.5" customHeight="1">
      <c r="B362" s="162"/>
      <c r="E362" s="162"/>
      <c r="F362" s="162"/>
      <c r="G362" s="162"/>
    </row>
    <row r="363" spans="2:7" ht="16.5" customHeight="1">
      <c r="B363" s="162"/>
      <c r="E363" s="162"/>
      <c r="F363" s="162"/>
      <c r="G363" s="162"/>
    </row>
    <row r="364" spans="2:7" ht="16.5" customHeight="1">
      <c r="B364" s="162"/>
      <c r="E364" s="162"/>
      <c r="F364" s="162"/>
      <c r="G364" s="162"/>
    </row>
    <row r="365" spans="2:7" ht="16.5" customHeight="1">
      <c r="B365" s="162"/>
      <c r="E365" s="162"/>
      <c r="F365" s="162"/>
      <c r="G365" s="162"/>
    </row>
    <row r="366" spans="2:7" ht="16.5" customHeight="1">
      <c r="B366" s="162"/>
      <c r="E366" s="162"/>
      <c r="F366" s="162"/>
      <c r="G366" s="162"/>
    </row>
    <row r="367" spans="2:7" ht="16.5" customHeight="1">
      <c r="B367" s="162"/>
      <c r="E367" s="162"/>
      <c r="F367" s="162"/>
      <c r="G367" s="162"/>
    </row>
    <row r="368" spans="2:7" ht="16.5" customHeight="1">
      <c r="B368" s="162"/>
      <c r="E368" s="162"/>
      <c r="F368" s="162"/>
      <c r="G368" s="162"/>
    </row>
    <row r="369" spans="2:7" ht="16.5" customHeight="1">
      <c r="B369" s="162"/>
      <c r="E369" s="162"/>
      <c r="F369" s="162"/>
      <c r="G369" s="162"/>
    </row>
    <row r="370" spans="2:7" ht="16.5" customHeight="1">
      <c r="B370" s="162"/>
      <c r="E370" s="162"/>
      <c r="F370" s="162"/>
      <c r="G370" s="162"/>
    </row>
    <row r="371" spans="2:7" ht="16.5" customHeight="1">
      <c r="B371" s="162"/>
      <c r="E371" s="162"/>
      <c r="F371" s="162"/>
      <c r="G371" s="162"/>
    </row>
    <row r="372" spans="2:7" ht="16.5" customHeight="1">
      <c r="B372" s="162"/>
      <c r="E372" s="162"/>
      <c r="F372" s="162"/>
      <c r="G372" s="162"/>
    </row>
    <row r="373" spans="2:7" ht="16.5" customHeight="1">
      <c r="B373" s="162"/>
      <c r="E373" s="162"/>
      <c r="F373" s="162"/>
      <c r="G373" s="162"/>
    </row>
    <row r="374" spans="2:7" ht="16.5" customHeight="1">
      <c r="B374" s="162"/>
      <c r="E374" s="162"/>
      <c r="F374" s="162"/>
      <c r="G374" s="162"/>
    </row>
    <row r="375" spans="2:7" ht="16.5" customHeight="1">
      <c r="B375" s="162"/>
      <c r="E375" s="162"/>
      <c r="F375" s="162"/>
      <c r="G375" s="162"/>
    </row>
    <row r="376" spans="2:7" ht="16.5" customHeight="1">
      <c r="B376" s="162"/>
      <c r="E376" s="162"/>
      <c r="F376" s="162"/>
      <c r="G376" s="162"/>
    </row>
    <row r="377" spans="2:7" ht="16.5" customHeight="1">
      <c r="B377" s="162"/>
      <c r="E377" s="162"/>
      <c r="F377" s="162"/>
      <c r="G377" s="162"/>
    </row>
    <row r="378" spans="2:7" ht="16.5" customHeight="1">
      <c r="B378" s="162"/>
      <c r="E378" s="162"/>
      <c r="F378" s="162"/>
      <c r="G378" s="162"/>
    </row>
    <row r="379" spans="2:7" ht="16.5" customHeight="1">
      <c r="B379" s="162"/>
      <c r="E379" s="162"/>
      <c r="F379" s="162"/>
      <c r="G379" s="162"/>
    </row>
    <row r="380" spans="2:7" ht="16.5" customHeight="1">
      <c r="B380" s="162"/>
      <c r="E380" s="162"/>
      <c r="F380" s="162"/>
      <c r="G380" s="162"/>
    </row>
    <row r="381" spans="2:7" ht="16.5" customHeight="1">
      <c r="B381" s="162"/>
      <c r="E381" s="162"/>
      <c r="F381" s="162"/>
      <c r="G381" s="162"/>
    </row>
    <row r="382" spans="2:7" ht="16.5" customHeight="1">
      <c r="B382" s="162"/>
      <c r="E382" s="162"/>
      <c r="F382" s="162"/>
      <c r="G382" s="162"/>
    </row>
    <row r="383" spans="2:7" ht="16.5" customHeight="1">
      <c r="B383" s="162"/>
      <c r="E383" s="162"/>
      <c r="F383" s="162"/>
      <c r="G383" s="162"/>
    </row>
    <row r="384" spans="2:7" ht="16.5" customHeight="1">
      <c r="B384" s="162"/>
      <c r="E384" s="162"/>
      <c r="F384" s="162"/>
      <c r="G384" s="162"/>
    </row>
    <row r="385" spans="2:7" ht="16.5" customHeight="1">
      <c r="B385" s="162"/>
      <c r="E385" s="162"/>
      <c r="F385" s="162"/>
      <c r="G385" s="162"/>
    </row>
    <row r="386" spans="2:7" ht="16.5" customHeight="1">
      <c r="B386" s="162"/>
      <c r="E386" s="162"/>
      <c r="F386" s="162"/>
      <c r="G386" s="162"/>
    </row>
    <row r="387" spans="2:7" ht="16.5" customHeight="1">
      <c r="B387" s="162"/>
      <c r="E387" s="162"/>
      <c r="F387" s="162"/>
      <c r="G387" s="162"/>
    </row>
    <row r="388" spans="2:7" ht="16.5" customHeight="1">
      <c r="B388" s="162"/>
      <c r="E388" s="162"/>
      <c r="F388" s="162"/>
      <c r="G388" s="162"/>
    </row>
    <row r="389" spans="2:7" ht="16.5" customHeight="1">
      <c r="B389" s="162"/>
      <c r="E389" s="162"/>
      <c r="F389" s="162"/>
      <c r="G389" s="162"/>
    </row>
    <row r="390" spans="2:7" ht="16.5" customHeight="1">
      <c r="B390" s="162"/>
      <c r="E390" s="162"/>
      <c r="F390" s="162"/>
      <c r="G390" s="162"/>
    </row>
    <row r="391" spans="2:7" ht="16.5" customHeight="1">
      <c r="B391" s="162"/>
      <c r="E391" s="162"/>
      <c r="F391" s="162"/>
      <c r="G391" s="162"/>
    </row>
    <row r="392" spans="2:7" ht="16.5" customHeight="1">
      <c r="B392" s="162"/>
      <c r="E392" s="162"/>
      <c r="F392" s="162"/>
      <c r="G392" s="162"/>
    </row>
    <row r="393" spans="2:7" ht="16.5" customHeight="1">
      <c r="B393" s="162"/>
      <c r="E393" s="162"/>
      <c r="F393" s="162"/>
      <c r="G393" s="162"/>
    </row>
    <row r="394" spans="2:7" ht="16.5" customHeight="1">
      <c r="B394" s="162"/>
      <c r="E394" s="162"/>
      <c r="F394" s="162"/>
      <c r="G394" s="162"/>
    </row>
    <row r="395" spans="2:7" ht="16.5" customHeight="1">
      <c r="B395" s="162"/>
      <c r="E395" s="162"/>
      <c r="F395" s="162"/>
      <c r="G395" s="162"/>
    </row>
    <row r="396" spans="2:7" ht="16.5" customHeight="1">
      <c r="B396" s="162"/>
      <c r="E396" s="162"/>
      <c r="F396" s="162"/>
      <c r="G396" s="162"/>
    </row>
    <row r="397" spans="2:7" ht="16.5" customHeight="1">
      <c r="B397" s="162"/>
      <c r="E397" s="162"/>
      <c r="F397" s="162"/>
      <c r="G397" s="162"/>
    </row>
    <row r="398" spans="2:7" ht="16.5" customHeight="1">
      <c r="B398" s="162"/>
      <c r="E398" s="162"/>
      <c r="F398" s="162"/>
      <c r="G398" s="162"/>
    </row>
    <row r="399" spans="2:7" ht="16.5" customHeight="1">
      <c r="B399" s="162"/>
      <c r="E399" s="162"/>
      <c r="F399" s="162"/>
      <c r="G399" s="162"/>
    </row>
    <row r="400" spans="2:7" ht="16.5" customHeight="1">
      <c r="B400" s="162"/>
      <c r="E400" s="162"/>
      <c r="F400" s="162"/>
      <c r="G400" s="162"/>
    </row>
    <row r="401" spans="2:7" ht="16.5" customHeight="1">
      <c r="B401" s="162"/>
      <c r="E401" s="162"/>
      <c r="F401" s="162"/>
      <c r="G401" s="162"/>
    </row>
    <row r="402" spans="2:7" ht="16.5" customHeight="1">
      <c r="B402" s="162"/>
      <c r="E402" s="162"/>
      <c r="F402" s="162"/>
      <c r="G402" s="162"/>
    </row>
    <row r="403" spans="2:7" ht="16.5" customHeight="1">
      <c r="B403" s="162"/>
      <c r="E403" s="162"/>
      <c r="F403" s="162"/>
      <c r="G403" s="162"/>
    </row>
    <row r="404" spans="2:7" ht="16.5" customHeight="1">
      <c r="B404" s="162"/>
      <c r="E404" s="162"/>
      <c r="F404" s="162"/>
      <c r="G404" s="162"/>
    </row>
    <row r="405" spans="2:7" ht="16.5" customHeight="1">
      <c r="B405" s="162"/>
      <c r="E405" s="162"/>
      <c r="F405" s="162"/>
      <c r="G405" s="162"/>
    </row>
    <row r="406" spans="2:7" ht="16.5" customHeight="1">
      <c r="B406" s="162"/>
      <c r="E406" s="162"/>
      <c r="F406" s="162"/>
      <c r="G406" s="162"/>
    </row>
    <row r="407" spans="2:7" ht="16.5" customHeight="1">
      <c r="B407" s="162"/>
      <c r="E407" s="162"/>
      <c r="F407" s="162"/>
      <c r="G407" s="162"/>
    </row>
    <row r="408" spans="2:7" ht="16.5" customHeight="1">
      <c r="B408" s="162"/>
      <c r="E408" s="162"/>
      <c r="F408" s="162"/>
      <c r="G408" s="162"/>
    </row>
    <row r="409" spans="2:7" ht="16.5" customHeight="1">
      <c r="B409" s="162"/>
      <c r="E409" s="162"/>
      <c r="F409" s="162"/>
      <c r="G409" s="162"/>
    </row>
    <row r="410" spans="2:7" ht="16.5" customHeight="1">
      <c r="B410" s="162"/>
      <c r="E410" s="162"/>
      <c r="F410" s="162"/>
      <c r="G410" s="162"/>
    </row>
    <row r="411" spans="2:7" ht="16.5" customHeight="1">
      <c r="B411" s="162"/>
      <c r="E411" s="162"/>
      <c r="F411" s="162"/>
      <c r="G411" s="162"/>
    </row>
    <row r="412" spans="2:7" ht="16.5" customHeight="1">
      <c r="B412" s="162"/>
      <c r="E412" s="162"/>
      <c r="F412" s="162"/>
      <c r="G412" s="162"/>
    </row>
    <row r="413" spans="2:7" ht="16.5" customHeight="1">
      <c r="B413" s="162"/>
      <c r="E413" s="162"/>
      <c r="F413" s="162"/>
      <c r="G413" s="162"/>
    </row>
    <row r="414" spans="2:7" ht="16.5" customHeight="1">
      <c r="B414" s="162"/>
      <c r="E414" s="162"/>
      <c r="F414" s="162"/>
      <c r="G414" s="162"/>
    </row>
    <row r="415" spans="2:7" ht="16.5" customHeight="1">
      <c r="B415" s="162"/>
      <c r="E415" s="162"/>
      <c r="F415" s="162"/>
      <c r="G415" s="162"/>
    </row>
    <row r="416" spans="2:7" ht="16.5" customHeight="1">
      <c r="B416" s="162"/>
      <c r="E416" s="162"/>
      <c r="F416" s="162"/>
      <c r="G416" s="162"/>
    </row>
    <row r="417" spans="2:7" ht="16.5" customHeight="1">
      <c r="B417" s="162"/>
      <c r="E417" s="162"/>
      <c r="F417" s="162"/>
      <c r="G417" s="162"/>
    </row>
    <row r="418" spans="2:7" ht="16.5" customHeight="1">
      <c r="B418" s="162"/>
      <c r="E418" s="162"/>
      <c r="F418" s="162"/>
      <c r="G418" s="162"/>
    </row>
    <row r="419" spans="2:7" ht="16.5" customHeight="1">
      <c r="B419" s="162"/>
      <c r="E419" s="162"/>
      <c r="F419" s="162"/>
      <c r="G419" s="162"/>
    </row>
    <row r="420" spans="2:7" ht="16.5" customHeight="1">
      <c r="B420" s="162"/>
      <c r="E420" s="162"/>
      <c r="F420" s="162"/>
      <c r="G420" s="162"/>
    </row>
    <row r="421" spans="2:7" ht="16.5" customHeight="1">
      <c r="B421" s="162"/>
      <c r="E421" s="162"/>
      <c r="F421" s="162"/>
      <c r="G421" s="162"/>
    </row>
    <row r="422" spans="2:7" ht="16.5" customHeight="1">
      <c r="B422" s="162"/>
      <c r="E422" s="162"/>
      <c r="F422" s="162"/>
      <c r="G422" s="162"/>
    </row>
    <row r="423" spans="2:7" ht="16.5" customHeight="1">
      <c r="B423" s="162"/>
      <c r="E423" s="162"/>
      <c r="F423" s="162"/>
      <c r="G423" s="162"/>
    </row>
    <row r="424" spans="2:7" ht="16.5" customHeight="1">
      <c r="B424" s="162"/>
      <c r="E424" s="162"/>
      <c r="F424" s="162"/>
      <c r="G424" s="162"/>
    </row>
    <row r="425" spans="2:7" ht="16.5" customHeight="1">
      <c r="B425" s="162"/>
      <c r="E425" s="162"/>
      <c r="F425" s="162"/>
      <c r="G425" s="162"/>
    </row>
    <row r="426" spans="2:7" ht="16.5" customHeight="1">
      <c r="B426" s="162"/>
      <c r="E426" s="162"/>
      <c r="F426" s="162"/>
      <c r="G426" s="162"/>
    </row>
    <row r="427" spans="2:7" ht="16.5" customHeight="1">
      <c r="B427" s="162"/>
      <c r="E427" s="162"/>
      <c r="F427" s="162"/>
      <c r="G427" s="162"/>
    </row>
    <row r="428" spans="2:7" ht="16.5" customHeight="1">
      <c r="B428" s="162"/>
      <c r="E428" s="162"/>
      <c r="F428" s="162"/>
      <c r="G428" s="162"/>
    </row>
    <row r="429" spans="2:7" ht="16.5" customHeight="1">
      <c r="B429" s="162"/>
      <c r="E429" s="162"/>
      <c r="F429" s="162"/>
      <c r="G429" s="162"/>
    </row>
    <row r="430" spans="2:7" ht="16.5" customHeight="1">
      <c r="B430" s="162"/>
      <c r="E430" s="162"/>
      <c r="F430" s="162"/>
      <c r="G430" s="162"/>
    </row>
    <row r="431" spans="2:7" ht="16.5" customHeight="1">
      <c r="B431" s="162"/>
      <c r="E431" s="162"/>
      <c r="F431" s="162"/>
      <c r="G431" s="162"/>
    </row>
    <row r="432" spans="2:7" ht="16.5" customHeight="1">
      <c r="B432" s="162"/>
      <c r="E432" s="162"/>
      <c r="F432" s="162"/>
      <c r="G432" s="162"/>
    </row>
    <row r="433" spans="2:7" ht="16.5" customHeight="1">
      <c r="B433" s="162"/>
      <c r="E433" s="162"/>
      <c r="F433" s="162"/>
      <c r="G433" s="162"/>
    </row>
    <row r="434" spans="2:7" ht="16.5" customHeight="1">
      <c r="B434" s="162"/>
      <c r="E434" s="162"/>
      <c r="F434" s="162"/>
      <c r="G434" s="162"/>
    </row>
    <row r="435" spans="2:7" ht="16.5" customHeight="1">
      <c r="B435" s="162"/>
      <c r="E435" s="162"/>
      <c r="F435" s="162"/>
      <c r="G435" s="162"/>
    </row>
    <row r="436" spans="2:7" ht="16.5" customHeight="1">
      <c r="B436" s="162"/>
      <c r="E436" s="162"/>
      <c r="F436" s="162"/>
      <c r="G436" s="162"/>
    </row>
    <row r="437" spans="2:7" ht="16.5" customHeight="1">
      <c r="B437" s="162"/>
      <c r="E437" s="162"/>
      <c r="F437" s="162"/>
      <c r="G437" s="162"/>
    </row>
    <row r="438" spans="2:7" ht="16.5" customHeight="1">
      <c r="B438" s="162"/>
      <c r="E438" s="162"/>
      <c r="F438" s="162"/>
      <c r="G438" s="162"/>
    </row>
    <row r="439" spans="2:7" ht="16.5" customHeight="1">
      <c r="B439" s="162"/>
      <c r="E439" s="162"/>
      <c r="F439" s="162"/>
      <c r="G439" s="162"/>
    </row>
    <row r="440" spans="2:7" ht="16.5" customHeight="1">
      <c r="B440" s="162"/>
      <c r="E440" s="162"/>
      <c r="F440" s="162"/>
      <c r="G440" s="162"/>
    </row>
    <row r="441" spans="2:7" ht="16.5" customHeight="1">
      <c r="B441" s="162"/>
      <c r="E441" s="162"/>
      <c r="F441" s="162"/>
      <c r="G441" s="162"/>
    </row>
    <row r="442" spans="2:7" ht="16.5" customHeight="1">
      <c r="B442" s="162"/>
      <c r="E442" s="162"/>
      <c r="F442" s="162"/>
      <c r="G442" s="162"/>
    </row>
    <row r="443" spans="2:7" ht="16.5" customHeight="1">
      <c r="B443" s="162"/>
      <c r="E443" s="162"/>
      <c r="F443" s="162"/>
      <c r="G443" s="162"/>
    </row>
    <row r="444" spans="2:7" ht="16.5" customHeight="1">
      <c r="B444" s="162"/>
      <c r="E444" s="162"/>
      <c r="F444" s="162"/>
      <c r="G444" s="162"/>
    </row>
    <row r="445" spans="2:7" ht="16.5" customHeight="1">
      <c r="B445" s="162"/>
      <c r="E445" s="162"/>
      <c r="F445" s="162"/>
      <c r="G445" s="162"/>
    </row>
    <row r="446" spans="2:7" ht="16.5" customHeight="1">
      <c r="B446" s="162"/>
      <c r="E446" s="162"/>
      <c r="F446" s="162"/>
      <c r="G446" s="162"/>
    </row>
    <row r="447" spans="2:7" ht="16.5" customHeight="1">
      <c r="B447" s="162"/>
      <c r="E447" s="162"/>
      <c r="F447" s="162"/>
      <c r="G447" s="162"/>
    </row>
    <row r="448" spans="2:7" ht="16.5" customHeight="1">
      <c r="B448" s="162"/>
      <c r="E448" s="162"/>
      <c r="F448" s="162"/>
      <c r="G448" s="162"/>
    </row>
    <row r="449" spans="2:7" ht="16.5" customHeight="1">
      <c r="B449" s="162"/>
      <c r="E449" s="162"/>
      <c r="F449" s="162"/>
      <c r="G449" s="162"/>
    </row>
    <row r="450" spans="2:7" ht="16.5" customHeight="1">
      <c r="B450" s="162"/>
      <c r="E450" s="162"/>
      <c r="F450" s="162"/>
      <c r="G450" s="162"/>
    </row>
    <row r="451" spans="2:7" ht="16.5" customHeight="1">
      <c r="B451" s="162"/>
      <c r="E451" s="162"/>
      <c r="F451" s="162"/>
      <c r="G451" s="162"/>
    </row>
    <row r="452" spans="2:7" ht="16.5" customHeight="1">
      <c r="B452" s="162"/>
      <c r="E452" s="162"/>
      <c r="F452" s="162"/>
      <c r="G452" s="162"/>
    </row>
    <row r="453" spans="2:7" ht="16.5" customHeight="1">
      <c r="B453" s="162"/>
      <c r="E453" s="162"/>
      <c r="F453" s="162"/>
      <c r="G453" s="162"/>
    </row>
    <row r="454" spans="2:7" ht="16.5" customHeight="1">
      <c r="B454" s="162"/>
      <c r="E454" s="162"/>
      <c r="F454" s="162"/>
      <c r="G454" s="162"/>
    </row>
    <row r="455" spans="2:7" ht="16.5" customHeight="1">
      <c r="B455" s="162"/>
      <c r="E455" s="162"/>
      <c r="F455" s="162"/>
      <c r="G455" s="162"/>
    </row>
    <row r="456" spans="2:7" ht="16.5" customHeight="1">
      <c r="B456" s="162"/>
      <c r="E456" s="162"/>
      <c r="F456" s="162"/>
      <c r="G456" s="162"/>
    </row>
    <row r="457" spans="2:7" ht="16.5" customHeight="1">
      <c r="B457" s="162"/>
      <c r="E457" s="162"/>
      <c r="F457" s="162"/>
      <c r="G457" s="162"/>
    </row>
    <row r="458" spans="2:7" ht="16.5" customHeight="1">
      <c r="B458" s="162"/>
      <c r="E458" s="162"/>
      <c r="F458" s="162"/>
      <c r="G458" s="162"/>
    </row>
    <row r="459" spans="2:7" ht="16.5" customHeight="1">
      <c r="B459" s="162"/>
      <c r="E459" s="162"/>
      <c r="F459" s="162"/>
      <c r="G459" s="162"/>
    </row>
    <row r="460" spans="2:7" ht="16.5" customHeight="1">
      <c r="B460" s="162"/>
      <c r="E460" s="162"/>
      <c r="F460" s="162"/>
      <c r="G460" s="162"/>
    </row>
    <row r="461" spans="2:7" ht="16.5" customHeight="1">
      <c r="B461" s="162"/>
      <c r="E461" s="162"/>
      <c r="F461" s="162"/>
      <c r="G461" s="162"/>
    </row>
    <row r="462" spans="2:7" ht="16.5" customHeight="1">
      <c r="B462" s="162"/>
      <c r="E462" s="162"/>
      <c r="F462" s="162"/>
      <c r="G462" s="162"/>
    </row>
    <row r="463" spans="2:7" ht="16.5" customHeight="1">
      <c r="B463" s="162"/>
      <c r="E463" s="162"/>
      <c r="F463" s="162"/>
      <c r="G463" s="162"/>
    </row>
    <row r="464" spans="2:7" ht="16.5" customHeight="1">
      <c r="B464" s="162"/>
      <c r="E464" s="162"/>
      <c r="F464" s="162"/>
      <c r="G464" s="162"/>
    </row>
    <row r="465" spans="2:7" ht="16.5" customHeight="1">
      <c r="B465" s="162"/>
      <c r="E465" s="162"/>
      <c r="F465" s="162"/>
      <c r="G465" s="162"/>
    </row>
    <row r="466" spans="2:7" ht="16.5" customHeight="1">
      <c r="B466" s="162"/>
      <c r="E466" s="162"/>
      <c r="F466" s="162"/>
      <c r="G466" s="162"/>
    </row>
    <row r="467" spans="2:7" ht="16.5" customHeight="1">
      <c r="B467" s="162"/>
      <c r="E467" s="162"/>
      <c r="F467" s="162"/>
      <c r="G467" s="162"/>
    </row>
    <row r="468" spans="2:7" ht="16.5" customHeight="1">
      <c r="B468" s="162"/>
      <c r="E468" s="162"/>
      <c r="F468" s="162"/>
      <c r="G468" s="162"/>
    </row>
    <row r="469" spans="2:7" ht="16.5" customHeight="1">
      <c r="B469" s="162"/>
      <c r="E469" s="162"/>
      <c r="F469" s="162"/>
      <c r="G469" s="162"/>
    </row>
    <row r="470" spans="2:7" ht="16.5" customHeight="1">
      <c r="B470" s="162"/>
      <c r="E470" s="162"/>
      <c r="F470" s="162"/>
      <c r="G470" s="162"/>
    </row>
    <row r="471" spans="2:7" ht="16.5" customHeight="1">
      <c r="B471" s="162"/>
      <c r="E471" s="162"/>
      <c r="F471" s="162"/>
      <c r="G471" s="162"/>
    </row>
    <row r="472" spans="2:7" ht="16.5" customHeight="1">
      <c r="B472" s="162"/>
      <c r="E472" s="162"/>
      <c r="F472" s="162"/>
      <c r="G472" s="162"/>
    </row>
    <row r="473" spans="2:7" ht="16.5" customHeight="1">
      <c r="B473" s="162"/>
      <c r="E473" s="162"/>
      <c r="F473" s="162"/>
      <c r="G473" s="162"/>
    </row>
    <row r="474" spans="2:7" ht="16.5" customHeight="1">
      <c r="B474" s="162"/>
      <c r="E474" s="162"/>
      <c r="F474" s="162"/>
      <c r="G474" s="162"/>
    </row>
    <row r="475" spans="2:7" ht="16.5" customHeight="1">
      <c r="B475" s="162"/>
      <c r="E475" s="162"/>
      <c r="F475" s="162"/>
      <c r="G475" s="162"/>
    </row>
    <row r="476" spans="2:7" ht="16.5" customHeight="1">
      <c r="B476" s="162"/>
      <c r="E476" s="162"/>
      <c r="F476" s="162"/>
      <c r="G476" s="162"/>
    </row>
    <row r="477" spans="2:7" ht="16.5" customHeight="1">
      <c r="B477" s="162"/>
      <c r="E477" s="162"/>
      <c r="F477" s="162"/>
      <c r="G477" s="162"/>
    </row>
    <row r="478" spans="2:7" ht="16.5" customHeight="1">
      <c r="B478" s="162"/>
      <c r="E478" s="162"/>
      <c r="F478" s="162"/>
      <c r="G478" s="162"/>
    </row>
    <row r="479" spans="2:7" ht="16.5" customHeight="1">
      <c r="B479" s="162"/>
      <c r="E479" s="162"/>
      <c r="F479" s="162"/>
      <c r="G479" s="162"/>
    </row>
    <row r="480" spans="2:7" ht="16.5" customHeight="1">
      <c r="B480" s="162"/>
      <c r="E480" s="162"/>
      <c r="F480" s="162"/>
      <c r="G480" s="162"/>
    </row>
    <row r="481" spans="2:7" ht="16.5" customHeight="1">
      <c r="B481" s="162"/>
      <c r="E481" s="162"/>
      <c r="F481" s="162"/>
      <c r="G481" s="162"/>
    </row>
    <row r="482" spans="2:7" ht="16.5" customHeight="1">
      <c r="B482" s="162"/>
      <c r="E482" s="162"/>
      <c r="F482" s="162"/>
      <c r="G482" s="162"/>
    </row>
    <row r="483" spans="2:7" ht="16.5" customHeight="1">
      <c r="B483" s="162"/>
      <c r="E483" s="162"/>
      <c r="F483" s="162"/>
      <c r="G483" s="162"/>
    </row>
    <row r="484" spans="2:7" ht="16.5" customHeight="1">
      <c r="B484" s="162"/>
      <c r="E484" s="162"/>
      <c r="F484" s="162"/>
      <c r="G484" s="162"/>
    </row>
    <row r="485" spans="2:7" ht="16.5" customHeight="1">
      <c r="B485" s="162"/>
      <c r="E485" s="162"/>
      <c r="F485" s="162"/>
      <c r="G485" s="162"/>
    </row>
    <row r="486" spans="2:7" ht="16.5" customHeight="1">
      <c r="B486" s="162"/>
      <c r="E486" s="162"/>
      <c r="F486" s="162"/>
      <c r="G486" s="162"/>
    </row>
    <row r="487" spans="2:7" ht="16.5" customHeight="1">
      <c r="B487" s="162"/>
      <c r="E487" s="162"/>
      <c r="F487" s="162"/>
      <c r="G487" s="162"/>
    </row>
    <row r="488" spans="2:7" ht="16.5" customHeight="1">
      <c r="B488" s="162"/>
      <c r="E488" s="162"/>
      <c r="F488" s="162"/>
      <c r="G488" s="162"/>
    </row>
    <row r="489" spans="2:7" ht="16.5" customHeight="1">
      <c r="B489" s="162"/>
      <c r="E489" s="162"/>
      <c r="F489" s="162"/>
      <c r="G489" s="162"/>
    </row>
    <row r="490" spans="2:7" ht="16.5" customHeight="1">
      <c r="B490" s="162"/>
      <c r="E490" s="162"/>
      <c r="F490" s="162"/>
      <c r="G490" s="162"/>
    </row>
    <row r="491" spans="2:7" ht="16.5" customHeight="1">
      <c r="B491" s="162"/>
      <c r="E491" s="162"/>
      <c r="F491" s="162"/>
      <c r="G491" s="162"/>
    </row>
    <row r="492" spans="2:7" ht="16.5" customHeight="1">
      <c r="B492" s="162"/>
      <c r="E492" s="162"/>
      <c r="F492" s="162"/>
      <c r="G492" s="162"/>
    </row>
    <row r="493" spans="2:7" ht="16.5" customHeight="1">
      <c r="B493" s="162"/>
      <c r="E493" s="162"/>
      <c r="F493" s="162"/>
      <c r="G493" s="162"/>
    </row>
    <row r="494" spans="2:7" ht="16.5" customHeight="1">
      <c r="B494" s="162"/>
      <c r="E494" s="162"/>
      <c r="F494" s="162"/>
      <c r="G494" s="162"/>
    </row>
    <row r="495" spans="2:7" ht="16.5" customHeight="1">
      <c r="B495" s="162"/>
      <c r="E495" s="162"/>
      <c r="F495" s="162"/>
      <c r="G495" s="162"/>
    </row>
    <row r="496" spans="2:7" ht="16.5" customHeight="1">
      <c r="B496" s="162"/>
      <c r="E496" s="162"/>
      <c r="F496" s="162"/>
      <c r="G496" s="162"/>
    </row>
    <row r="497" spans="2:7" ht="16.5" customHeight="1">
      <c r="B497" s="162"/>
      <c r="E497" s="162"/>
      <c r="F497" s="162"/>
      <c r="G497" s="162"/>
    </row>
    <row r="498" spans="2:7" ht="16.5" customHeight="1">
      <c r="B498" s="162"/>
      <c r="E498" s="162"/>
      <c r="F498" s="162"/>
      <c r="G498" s="162"/>
    </row>
    <row r="499" spans="2:7" ht="16.5" customHeight="1">
      <c r="B499" s="162"/>
      <c r="E499" s="162"/>
      <c r="F499" s="162"/>
      <c r="G499" s="162"/>
    </row>
    <row r="500" spans="2:7" ht="16.5" customHeight="1">
      <c r="B500" s="162"/>
      <c r="E500" s="162"/>
      <c r="F500" s="162"/>
      <c r="G500" s="162"/>
    </row>
    <row r="501" spans="2:7" ht="16.5" customHeight="1">
      <c r="B501" s="162"/>
      <c r="E501" s="162"/>
      <c r="F501" s="162"/>
      <c r="G501" s="162"/>
    </row>
    <row r="502" spans="2:7" ht="16.5" customHeight="1">
      <c r="B502" s="162"/>
      <c r="E502" s="162"/>
      <c r="F502" s="162"/>
      <c r="G502" s="162"/>
    </row>
    <row r="503" spans="2:7" ht="16.5" customHeight="1">
      <c r="B503" s="162"/>
      <c r="E503" s="162"/>
      <c r="F503" s="162"/>
      <c r="G503" s="162"/>
    </row>
    <row r="504" spans="2:7" ht="16.5" customHeight="1">
      <c r="B504" s="162"/>
      <c r="E504" s="162"/>
      <c r="F504" s="162"/>
      <c r="G504" s="162"/>
    </row>
    <row r="505" spans="2:7" ht="16.5" customHeight="1">
      <c r="B505" s="162"/>
      <c r="E505" s="162"/>
      <c r="F505" s="162"/>
      <c r="G505" s="162"/>
    </row>
    <row r="506" spans="2:7" ht="16.5" customHeight="1">
      <c r="B506" s="162"/>
      <c r="E506" s="162"/>
      <c r="F506" s="162"/>
      <c r="G506" s="162"/>
    </row>
    <row r="507" spans="2:7" ht="16.5" customHeight="1">
      <c r="B507" s="162"/>
      <c r="E507" s="162"/>
      <c r="F507" s="162"/>
      <c r="G507" s="162"/>
    </row>
    <row r="508" spans="2:7" ht="16.5" customHeight="1">
      <c r="B508" s="162"/>
      <c r="E508" s="162"/>
      <c r="F508" s="162"/>
      <c r="G508" s="162"/>
    </row>
    <row r="509" spans="2:7" ht="16.5" customHeight="1">
      <c r="B509" s="162"/>
      <c r="E509" s="162"/>
      <c r="F509" s="162"/>
      <c r="G509" s="162"/>
    </row>
    <row r="510" spans="2:7" ht="16.5" customHeight="1">
      <c r="B510" s="162"/>
      <c r="E510" s="162"/>
      <c r="F510" s="162"/>
      <c r="G510" s="162"/>
    </row>
    <row r="511" spans="2:7" ht="16.5" customHeight="1">
      <c r="B511" s="162"/>
      <c r="E511" s="162"/>
      <c r="F511" s="162"/>
      <c r="G511" s="162"/>
    </row>
    <row r="512" spans="2:7" ht="16.5" customHeight="1">
      <c r="B512" s="162"/>
      <c r="E512" s="162"/>
      <c r="F512" s="162"/>
      <c r="G512" s="162"/>
    </row>
    <row r="513" spans="2:7" ht="16.5" customHeight="1">
      <c r="B513" s="162"/>
      <c r="E513" s="162"/>
      <c r="F513" s="162"/>
      <c r="G513" s="162"/>
    </row>
    <row r="514" spans="2:7" ht="16.5" customHeight="1">
      <c r="B514" s="162"/>
      <c r="E514" s="162"/>
      <c r="F514" s="162"/>
      <c r="G514" s="162"/>
    </row>
    <row r="515" spans="2:7" ht="16.5" customHeight="1">
      <c r="B515" s="162"/>
      <c r="E515" s="162"/>
      <c r="F515" s="162"/>
      <c r="G515" s="162"/>
    </row>
    <row r="516" spans="2:7" ht="16.5" customHeight="1">
      <c r="B516" s="162"/>
      <c r="E516" s="162"/>
      <c r="F516" s="162"/>
      <c r="G516" s="162"/>
    </row>
    <row r="517" spans="2:7" ht="16.5" customHeight="1">
      <c r="B517" s="162"/>
      <c r="E517" s="162"/>
      <c r="F517" s="162"/>
      <c r="G517" s="162"/>
    </row>
    <row r="518" spans="2:7" ht="16.5" customHeight="1">
      <c r="B518" s="162"/>
      <c r="E518" s="162"/>
      <c r="F518" s="162"/>
      <c r="G518" s="162"/>
    </row>
    <row r="519" spans="2:7" ht="16.5" customHeight="1">
      <c r="B519" s="162"/>
      <c r="E519" s="162"/>
      <c r="F519" s="162"/>
      <c r="G519" s="162"/>
    </row>
    <row r="520" spans="2:7" ht="16.5" customHeight="1">
      <c r="B520" s="162"/>
      <c r="E520" s="162"/>
      <c r="F520" s="162"/>
      <c r="G520" s="162"/>
    </row>
    <row r="521" spans="2:7" ht="16.5" customHeight="1">
      <c r="B521" s="162"/>
      <c r="E521" s="162"/>
      <c r="F521" s="162"/>
      <c r="G521" s="162"/>
    </row>
    <row r="522" spans="2:7" ht="16.5" customHeight="1">
      <c r="B522" s="162"/>
      <c r="E522" s="162"/>
      <c r="F522" s="162"/>
      <c r="G522" s="162"/>
    </row>
    <row r="523" spans="2:7" ht="16.5" customHeight="1">
      <c r="B523" s="162"/>
      <c r="E523" s="162"/>
      <c r="F523" s="162"/>
      <c r="G523" s="162"/>
    </row>
    <row r="524" spans="2:7" ht="16.5" customHeight="1">
      <c r="B524" s="162"/>
      <c r="E524" s="162"/>
      <c r="F524" s="162"/>
      <c r="G524" s="162"/>
    </row>
    <row r="525" spans="2:7" ht="16.5" customHeight="1">
      <c r="B525" s="162"/>
      <c r="E525" s="162"/>
      <c r="F525" s="162"/>
      <c r="G525" s="162"/>
    </row>
    <row r="526" spans="2:7" ht="16.5" customHeight="1">
      <c r="B526" s="162"/>
      <c r="E526" s="162"/>
      <c r="F526" s="162"/>
      <c r="G526" s="162"/>
    </row>
    <row r="527" spans="2:7" ht="16.5" customHeight="1">
      <c r="B527" s="162"/>
      <c r="E527" s="162"/>
      <c r="F527" s="162"/>
      <c r="G527" s="162"/>
    </row>
    <row r="528" spans="2:7" ht="16.5" customHeight="1">
      <c r="B528" s="162"/>
      <c r="E528" s="162"/>
      <c r="F528" s="162"/>
      <c r="G528" s="162"/>
    </row>
    <row r="529" spans="2:7" ht="16.5" customHeight="1">
      <c r="B529" s="162"/>
      <c r="E529" s="162"/>
      <c r="F529" s="162"/>
      <c r="G529" s="162"/>
    </row>
    <row r="530" spans="2:7" ht="16.5" customHeight="1">
      <c r="B530" s="162"/>
      <c r="E530" s="162"/>
      <c r="F530" s="162"/>
      <c r="G530" s="162"/>
    </row>
    <row r="531" spans="2:7" ht="16.5" customHeight="1">
      <c r="B531" s="162"/>
      <c r="E531" s="162"/>
      <c r="F531" s="162"/>
      <c r="G531" s="162"/>
    </row>
    <row r="532" spans="2:7" ht="16.5" customHeight="1">
      <c r="B532" s="162"/>
      <c r="E532" s="162"/>
      <c r="F532" s="162"/>
      <c r="G532" s="162"/>
    </row>
    <row r="533" spans="2:7" ht="16.5" customHeight="1">
      <c r="B533" s="162"/>
      <c r="E533" s="162"/>
      <c r="F533" s="162"/>
      <c r="G533" s="162"/>
    </row>
    <row r="534" spans="2:7" ht="16.5" customHeight="1">
      <c r="B534" s="162"/>
      <c r="E534" s="162"/>
      <c r="F534" s="162"/>
      <c r="G534" s="162"/>
    </row>
    <row r="535" spans="2:7" ht="16.5" customHeight="1">
      <c r="B535" s="162"/>
      <c r="E535" s="162"/>
      <c r="F535" s="162"/>
      <c r="G535" s="162"/>
    </row>
    <row r="536" spans="2:7" ht="16.5" customHeight="1">
      <c r="B536" s="162"/>
      <c r="E536" s="162"/>
      <c r="F536" s="162"/>
      <c r="G536" s="162"/>
    </row>
    <row r="537" spans="2:7" ht="16.5" customHeight="1">
      <c r="B537" s="162"/>
      <c r="E537" s="162"/>
      <c r="F537" s="162"/>
      <c r="G537" s="162"/>
    </row>
    <row r="538" spans="2:7" ht="16.5" customHeight="1">
      <c r="B538" s="162"/>
      <c r="E538" s="162"/>
      <c r="F538" s="162"/>
      <c r="G538" s="162"/>
    </row>
    <row r="539" spans="2:7" ht="16.5" customHeight="1">
      <c r="B539" s="162"/>
      <c r="E539" s="162"/>
      <c r="F539" s="162"/>
      <c r="G539" s="162"/>
    </row>
    <row r="540" spans="2:7" ht="16.5" customHeight="1">
      <c r="B540" s="162"/>
      <c r="E540" s="162"/>
      <c r="F540" s="162"/>
      <c r="G540" s="162"/>
    </row>
    <row r="541" spans="2:7" ht="16.5" customHeight="1">
      <c r="B541" s="162"/>
      <c r="E541" s="162"/>
      <c r="F541" s="162"/>
      <c r="G541" s="162"/>
    </row>
    <row r="542" spans="2:7" ht="16.5" customHeight="1">
      <c r="B542" s="162"/>
      <c r="E542" s="162"/>
      <c r="F542" s="162"/>
      <c r="G542" s="162"/>
    </row>
    <row r="543" spans="2:7" ht="16.5" customHeight="1">
      <c r="B543" s="162"/>
      <c r="E543" s="162"/>
      <c r="F543" s="162"/>
      <c r="G543" s="162"/>
    </row>
    <row r="544" spans="2:7" ht="16.5" customHeight="1">
      <c r="B544" s="162"/>
      <c r="E544" s="162"/>
      <c r="F544" s="162"/>
      <c r="G544" s="162"/>
    </row>
    <row r="545" spans="2:7" ht="16.5" customHeight="1">
      <c r="B545" s="162"/>
      <c r="E545" s="162"/>
      <c r="F545" s="162"/>
      <c r="G545" s="162"/>
    </row>
    <row r="546" spans="2:7" ht="16.5" customHeight="1">
      <c r="B546" s="162"/>
      <c r="E546" s="162"/>
      <c r="F546" s="162"/>
      <c r="G546" s="162"/>
    </row>
    <row r="547" spans="2:7" ht="16.5" customHeight="1">
      <c r="B547" s="162"/>
      <c r="E547" s="162"/>
      <c r="F547" s="162"/>
      <c r="G547" s="162"/>
    </row>
    <row r="548" spans="2:7" ht="16.5" customHeight="1">
      <c r="B548" s="162"/>
      <c r="E548" s="162"/>
      <c r="F548" s="162"/>
      <c r="G548" s="162"/>
    </row>
    <row r="549" spans="2:7" ht="16.5" customHeight="1">
      <c r="B549" s="162"/>
      <c r="E549" s="162"/>
      <c r="F549" s="162"/>
      <c r="G549" s="162"/>
    </row>
    <row r="550" spans="2:7" ht="16.5" customHeight="1">
      <c r="B550" s="162"/>
      <c r="E550" s="162"/>
      <c r="F550" s="162"/>
      <c r="G550" s="162"/>
    </row>
    <row r="551" spans="2:7" ht="16.5" customHeight="1">
      <c r="B551" s="162"/>
      <c r="E551" s="162"/>
      <c r="F551" s="162"/>
      <c r="G551" s="162"/>
    </row>
    <row r="552" spans="2:7" ht="16.5" customHeight="1">
      <c r="B552" s="162"/>
      <c r="E552" s="162"/>
      <c r="F552" s="162"/>
      <c r="G552" s="162"/>
    </row>
    <row r="553" spans="2:7" ht="16.5" customHeight="1">
      <c r="B553" s="162"/>
      <c r="E553" s="162"/>
      <c r="F553" s="162"/>
      <c r="G553" s="162"/>
    </row>
    <row r="554" spans="2:7" ht="16.5" customHeight="1">
      <c r="B554" s="162"/>
      <c r="E554" s="162"/>
      <c r="F554" s="162"/>
      <c r="G554" s="162"/>
    </row>
    <row r="555" spans="2:7" ht="16.5" customHeight="1">
      <c r="B555" s="162"/>
      <c r="E555" s="162"/>
      <c r="F555" s="162"/>
      <c r="G555" s="162"/>
    </row>
    <row r="556" spans="2:7" ht="16.5" customHeight="1">
      <c r="B556" s="162"/>
      <c r="E556" s="162"/>
      <c r="F556" s="162"/>
      <c r="G556" s="162"/>
    </row>
    <row r="557" spans="2:7" ht="16.5" customHeight="1">
      <c r="B557" s="162"/>
      <c r="E557" s="162"/>
      <c r="F557" s="162"/>
      <c r="G557" s="162"/>
    </row>
    <row r="558" spans="2:7" ht="16.5" customHeight="1">
      <c r="B558" s="162"/>
      <c r="E558" s="162"/>
      <c r="F558" s="162"/>
      <c r="G558" s="162"/>
    </row>
    <row r="559" spans="2:7" ht="16.5" customHeight="1">
      <c r="B559" s="162"/>
      <c r="E559" s="162"/>
      <c r="F559" s="162"/>
      <c r="G559" s="162"/>
    </row>
    <row r="560" spans="2:7" ht="16.5" customHeight="1">
      <c r="B560" s="162"/>
      <c r="E560" s="162"/>
      <c r="F560" s="162"/>
      <c r="G560" s="162"/>
    </row>
    <row r="561" spans="2:7" ht="16.5" customHeight="1">
      <c r="B561" s="162"/>
      <c r="E561" s="162"/>
      <c r="F561" s="162"/>
      <c r="G561" s="162"/>
    </row>
    <row r="562" spans="2:7" ht="16.5" customHeight="1">
      <c r="B562" s="162"/>
      <c r="E562" s="162"/>
      <c r="F562" s="162"/>
      <c r="G562" s="162"/>
    </row>
    <row r="563" spans="2:7" ht="16.5" customHeight="1">
      <c r="B563" s="162"/>
      <c r="E563" s="162"/>
      <c r="F563" s="162"/>
      <c r="G563" s="162"/>
    </row>
    <row r="564" spans="2:7" ht="16.5" customHeight="1">
      <c r="B564" s="162"/>
      <c r="E564" s="162"/>
      <c r="F564" s="162"/>
      <c r="G564" s="162"/>
    </row>
    <row r="565" spans="2:7" ht="16.5" customHeight="1">
      <c r="B565" s="162"/>
      <c r="E565" s="162"/>
      <c r="F565" s="162"/>
      <c r="G565" s="162"/>
    </row>
    <row r="566" spans="2:7" ht="16.5" customHeight="1">
      <c r="B566" s="162"/>
      <c r="E566" s="162"/>
      <c r="F566" s="162"/>
      <c r="G566" s="162"/>
    </row>
    <row r="567" spans="2:7" ht="16.5" customHeight="1">
      <c r="B567" s="162"/>
      <c r="E567" s="162"/>
      <c r="F567" s="162"/>
      <c r="G567" s="162"/>
    </row>
    <row r="568" spans="2:7" ht="16.5" customHeight="1">
      <c r="B568" s="162"/>
      <c r="E568" s="162"/>
      <c r="F568" s="162"/>
      <c r="G568" s="162"/>
    </row>
    <row r="569" spans="2:7" ht="16.5" customHeight="1">
      <c r="B569" s="162"/>
      <c r="E569" s="162"/>
      <c r="F569" s="162"/>
      <c r="G569" s="162"/>
    </row>
    <row r="570" spans="2:7" ht="16.5" customHeight="1">
      <c r="B570" s="162"/>
      <c r="E570" s="162"/>
      <c r="F570" s="162"/>
      <c r="G570" s="162"/>
    </row>
    <row r="571" spans="2:7" ht="16.5" customHeight="1">
      <c r="B571" s="162"/>
      <c r="E571" s="162"/>
      <c r="F571" s="162"/>
      <c r="G571" s="162"/>
    </row>
    <row r="572" spans="2:7" ht="16.5" customHeight="1">
      <c r="B572" s="162"/>
      <c r="E572" s="162"/>
      <c r="F572" s="162"/>
      <c r="G572" s="162"/>
    </row>
    <row r="573" spans="2:7" ht="16.5" customHeight="1">
      <c r="B573" s="162"/>
      <c r="E573" s="162"/>
      <c r="F573" s="162"/>
      <c r="G573" s="162"/>
    </row>
    <row r="574" spans="2:7" ht="16.5" customHeight="1">
      <c r="B574" s="162"/>
      <c r="E574" s="162"/>
      <c r="F574" s="162"/>
      <c r="G574" s="162"/>
    </row>
    <row r="575" spans="2:7" ht="16.5" customHeight="1">
      <c r="B575" s="162"/>
      <c r="E575" s="162"/>
      <c r="F575" s="162"/>
      <c r="G575" s="162"/>
    </row>
    <row r="576" spans="2:7" ht="16.5" customHeight="1">
      <c r="B576" s="162"/>
      <c r="E576" s="162"/>
      <c r="F576" s="162"/>
      <c r="G576" s="162"/>
    </row>
    <row r="577" spans="2:7" ht="16.5" customHeight="1">
      <c r="B577" s="162"/>
      <c r="E577" s="162"/>
      <c r="F577" s="162"/>
      <c r="G577" s="162"/>
    </row>
    <row r="578" spans="2:7" ht="16.5" customHeight="1">
      <c r="B578" s="162"/>
      <c r="E578" s="162"/>
      <c r="F578" s="162"/>
      <c r="G578" s="162"/>
    </row>
    <row r="579" spans="2:7" ht="16.5" customHeight="1">
      <c r="B579" s="162"/>
      <c r="E579" s="162"/>
      <c r="F579" s="162"/>
      <c r="G579" s="162"/>
    </row>
    <row r="580" spans="2:7" ht="16.5" customHeight="1">
      <c r="B580" s="162"/>
      <c r="E580" s="162"/>
      <c r="F580" s="162"/>
      <c r="G580" s="162"/>
    </row>
    <row r="581" spans="2:7" ht="16.5" customHeight="1">
      <c r="B581" s="162"/>
      <c r="E581" s="162"/>
      <c r="F581" s="162"/>
      <c r="G581" s="162"/>
    </row>
    <row r="582" spans="2:7" ht="16.5" customHeight="1">
      <c r="B582" s="162"/>
      <c r="E582" s="162"/>
      <c r="F582" s="162"/>
      <c r="G582" s="162"/>
    </row>
    <row r="583" spans="2:7" ht="16.5" customHeight="1">
      <c r="B583" s="162"/>
      <c r="E583" s="162"/>
      <c r="F583" s="162"/>
      <c r="G583" s="162"/>
    </row>
    <row r="584" spans="2:7" ht="16.5" customHeight="1">
      <c r="B584" s="162"/>
      <c r="E584" s="162"/>
      <c r="F584" s="162"/>
      <c r="G584" s="162"/>
    </row>
    <row r="585" spans="2:7" ht="16.5" customHeight="1">
      <c r="B585" s="162"/>
      <c r="E585" s="162"/>
      <c r="F585" s="162"/>
      <c r="G585" s="162"/>
    </row>
    <row r="586" spans="2:7" ht="16.5" customHeight="1">
      <c r="B586" s="162"/>
      <c r="E586" s="162"/>
      <c r="F586" s="162"/>
      <c r="G586" s="162"/>
    </row>
    <row r="587" spans="2:7" ht="16.5" customHeight="1">
      <c r="B587" s="162"/>
      <c r="E587" s="162"/>
      <c r="F587" s="162"/>
      <c r="G587" s="162"/>
    </row>
    <row r="588" spans="2:7" ht="16.5" customHeight="1">
      <c r="B588" s="162"/>
      <c r="E588" s="162"/>
      <c r="F588" s="162"/>
      <c r="G588" s="162"/>
    </row>
    <row r="589" spans="2:7" ht="16.5" customHeight="1">
      <c r="B589" s="162"/>
      <c r="E589" s="162"/>
      <c r="F589" s="162"/>
      <c r="G589" s="162"/>
    </row>
    <row r="590" spans="2:7" ht="16.5" customHeight="1">
      <c r="B590" s="162"/>
      <c r="E590" s="162"/>
      <c r="F590" s="162"/>
      <c r="G590" s="162"/>
    </row>
    <row r="591" spans="2:7" ht="16.5" customHeight="1">
      <c r="B591" s="162"/>
      <c r="E591" s="162"/>
      <c r="F591" s="162"/>
      <c r="G591" s="162"/>
    </row>
    <row r="592" spans="2:7" ht="16.5" customHeight="1">
      <c r="B592" s="162"/>
      <c r="E592" s="162"/>
      <c r="F592" s="162"/>
      <c r="G592" s="162"/>
    </row>
    <row r="593" spans="2:7" ht="16.5" customHeight="1">
      <c r="B593" s="162"/>
      <c r="E593" s="162"/>
      <c r="F593" s="162"/>
      <c r="G593" s="162"/>
    </row>
    <row r="594" spans="2:7" ht="16.5" customHeight="1">
      <c r="B594" s="162"/>
      <c r="E594" s="162"/>
      <c r="F594" s="162"/>
      <c r="G594" s="162"/>
    </row>
    <row r="595" spans="2:7" ht="16.5" customHeight="1">
      <c r="B595" s="162"/>
      <c r="E595" s="162"/>
      <c r="F595" s="162"/>
      <c r="G595" s="162"/>
    </row>
    <row r="596" spans="2:7" ht="16.5" customHeight="1">
      <c r="B596" s="162"/>
      <c r="E596" s="162"/>
      <c r="F596" s="162"/>
      <c r="G596" s="162"/>
    </row>
    <row r="597" spans="2:7" ht="16.5" customHeight="1">
      <c r="B597" s="162"/>
      <c r="E597" s="162"/>
      <c r="F597" s="162"/>
      <c r="G597" s="162"/>
    </row>
    <row r="598" spans="2:7" ht="16.5" customHeight="1">
      <c r="B598" s="162"/>
      <c r="E598" s="162"/>
      <c r="F598" s="162"/>
      <c r="G598" s="162"/>
    </row>
    <row r="599" spans="2:7" ht="16.5" customHeight="1">
      <c r="B599" s="162"/>
      <c r="E599" s="162"/>
      <c r="F599" s="162"/>
      <c r="G599" s="162"/>
    </row>
    <row r="600" spans="2:7" ht="16.5" customHeight="1">
      <c r="B600" s="162"/>
      <c r="E600" s="162"/>
      <c r="F600" s="162"/>
      <c r="G600" s="162"/>
    </row>
    <row r="601" spans="2:7" ht="16.5" customHeight="1">
      <c r="B601" s="162"/>
      <c r="E601" s="162"/>
      <c r="F601" s="162"/>
      <c r="G601" s="162"/>
    </row>
    <row r="602" spans="2:7" ht="16.5" customHeight="1">
      <c r="B602" s="162"/>
      <c r="E602" s="162"/>
      <c r="F602" s="162"/>
      <c r="G602" s="162"/>
    </row>
    <row r="603" spans="2:7" ht="16.5" customHeight="1">
      <c r="B603" s="162"/>
      <c r="E603" s="162"/>
      <c r="F603" s="162"/>
      <c r="G603" s="162"/>
    </row>
    <row r="604" spans="2:7" ht="16.5" customHeight="1">
      <c r="B604" s="162"/>
      <c r="E604" s="162"/>
      <c r="F604" s="162"/>
      <c r="G604" s="162"/>
    </row>
    <row r="605" spans="2:7" ht="16.5" customHeight="1">
      <c r="B605" s="162"/>
      <c r="E605" s="162"/>
      <c r="F605" s="162"/>
      <c r="G605" s="162"/>
    </row>
    <row r="606" spans="2:7" ht="16.5" customHeight="1">
      <c r="B606" s="162"/>
      <c r="E606" s="162"/>
      <c r="F606" s="162"/>
      <c r="G606" s="162"/>
    </row>
    <row r="607" spans="2:7" ht="16.5" customHeight="1">
      <c r="B607" s="162"/>
      <c r="E607" s="162"/>
      <c r="F607" s="162"/>
      <c r="G607" s="162"/>
    </row>
    <row r="608" spans="2:7" ht="16.5" customHeight="1">
      <c r="B608" s="162"/>
      <c r="E608" s="162"/>
      <c r="F608" s="162"/>
      <c r="G608" s="162"/>
    </row>
    <row r="609" spans="2:7" ht="16.5" customHeight="1">
      <c r="B609" s="162"/>
      <c r="E609" s="162"/>
      <c r="F609" s="162"/>
      <c r="G609" s="162"/>
    </row>
    <row r="610" spans="2:7" ht="16.5" customHeight="1">
      <c r="B610" s="162"/>
      <c r="E610" s="162"/>
      <c r="F610" s="162"/>
      <c r="G610" s="162"/>
    </row>
    <row r="611" spans="2:7" ht="16.5" customHeight="1">
      <c r="B611" s="162"/>
      <c r="E611" s="162"/>
      <c r="F611" s="162"/>
      <c r="G611" s="162"/>
    </row>
    <row r="612" spans="2:7" ht="16.5" customHeight="1">
      <c r="B612" s="162"/>
      <c r="E612" s="162"/>
      <c r="F612" s="162"/>
      <c r="G612" s="162"/>
    </row>
    <row r="613" spans="2:7" ht="16.5" customHeight="1">
      <c r="B613" s="162"/>
      <c r="E613" s="162"/>
      <c r="F613" s="162"/>
      <c r="G613" s="162"/>
    </row>
    <row r="614" spans="2:7" ht="16.5" customHeight="1">
      <c r="B614" s="162"/>
      <c r="E614" s="162"/>
      <c r="F614" s="162"/>
      <c r="G614" s="162"/>
    </row>
    <row r="615" spans="2:7" ht="16.5" customHeight="1">
      <c r="B615" s="162"/>
      <c r="E615" s="162"/>
      <c r="F615" s="162"/>
      <c r="G615" s="162"/>
    </row>
    <row r="616" spans="2:7" ht="16.5" customHeight="1">
      <c r="B616" s="162"/>
      <c r="E616" s="162"/>
      <c r="F616" s="162"/>
      <c r="G616" s="162"/>
    </row>
    <row r="617" spans="2:7" ht="16.5" customHeight="1">
      <c r="B617" s="162"/>
      <c r="E617" s="162"/>
      <c r="F617" s="162"/>
      <c r="G617" s="162"/>
    </row>
    <row r="618" spans="2:7" ht="16.5" customHeight="1">
      <c r="B618" s="162"/>
      <c r="E618" s="162"/>
      <c r="F618" s="162"/>
      <c r="G618" s="162"/>
    </row>
    <row r="619" spans="2:7" ht="16.5" customHeight="1">
      <c r="B619" s="162"/>
      <c r="E619" s="162"/>
      <c r="F619" s="162"/>
      <c r="G619" s="162"/>
    </row>
    <row r="620" spans="2:7" ht="16.5" customHeight="1">
      <c r="B620" s="162"/>
      <c r="E620" s="162"/>
      <c r="F620" s="162"/>
      <c r="G620" s="162"/>
    </row>
    <row r="621" spans="2:7" ht="16.5" customHeight="1">
      <c r="B621" s="162"/>
      <c r="E621" s="162"/>
      <c r="F621" s="162"/>
      <c r="G621" s="162"/>
    </row>
    <row r="622" spans="2:7" ht="16.5" customHeight="1">
      <c r="B622" s="162"/>
      <c r="E622" s="162"/>
      <c r="F622" s="162"/>
      <c r="G622" s="162"/>
    </row>
    <row r="623" spans="2:7" ht="16.5" customHeight="1">
      <c r="B623" s="162"/>
      <c r="E623" s="162"/>
      <c r="F623" s="162"/>
      <c r="G623" s="162"/>
    </row>
    <row r="624" spans="2:7" ht="16.5" customHeight="1">
      <c r="B624" s="162"/>
      <c r="E624" s="162"/>
      <c r="F624" s="162"/>
      <c r="G624" s="162"/>
    </row>
    <row r="625" spans="2:7" ht="16.5" customHeight="1">
      <c r="B625" s="162"/>
      <c r="E625" s="162"/>
      <c r="F625" s="162"/>
      <c r="G625" s="162"/>
    </row>
    <row r="626" spans="2:7" ht="16.5" customHeight="1">
      <c r="B626" s="162"/>
      <c r="E626" s="162"/>
      <c r="F626" s="162"/>
      <c r="G626" s="162"/>
    </row>
    <row r="627" spans="2:7" ht="16.5" customHeight="1">
      <c r="B627" s="162"/>
      <c r="E627" s="162"/>
      <c r="F627" s="162"/>
      <c r="G627" s="162"/>
    </row>
    <row r="628" spans="2:7" ht="16.5" customHeight="1">
      <c r="B628" s="162"/>
      <c r="E628" s="162"/>
      <c r="F628" s="162"/>
      <c r="G628" s="162"/>
    </row>
    <row r="629" spans="2:7" ht="16.5" customHeight="1">
      <c r="B629" s="162"/>
      <c r="E629" s="162"/>
      <c r="F629" s="162"/>
      <c r="G629" s="162"/>
    </row>
    <row r="630" spans="2:7" ht="16.5" customHeight="1">
      <c r="B630" s="162"/>
      <c r="E630" s="162"/>
      <c r="F630" s="162"/>
      <c r="G630" s="162"/>
    </row>
    <row r="631" spans="2:7" ht="16.5" customHeight="1">
      <c r="B631" s="162"/>
      <c r="E631" s="162"/>
      <c r="F631" s="162"/>
      <c r="G631" s="162"/>
    </row>
    <row r="632" spans="2:7" ht="16.5" customHeight="1">
      <c r="B632" s="162"/>
      <c r="E632" s="162"/>
      <c r="F632" s="162"/>
      <c r="G632" s="162"/>
    </row>
    <row r="633" spans="2:7" ht="16.5" customHeight="1">
      <c r="B633" s="162"/>
      <c r="E633" s="162"/>
      <c r="F633" s="162"/>
      <c r="G633" s="162"/>
    </row>
    <row r="634" spans="2:7" ht="16.5" customHeight="1">
      <c r="B634" s="162"/>
      <c r="E634" s="162"/>
      <c r="F634" s="162"/>
      <c r="G634" s="162"/>
    </row>
    <row r="635" spans="2:7" ht="16.5" customHeight="1">
      <c r="B635" s="162"/>
      <c r="E635" s="162"/>
      <c r="F635" s="162"/>
      <c r="G635" s="162"/>
    </row>
    <row r="636" spans="2:7" ht="16.5" customHeight="1">
      <c r="B636" s="162"/>
      <c r="E636" s="162"/>
      <c r="F636" s="162"/>
      <c r="G636" s="162"/>
    </row>
    <row r="637" spans="2:7" ht="16.5" customHeight="1">
      <c r="B637" s="162"/>
      <c r="E637" s="162"/>
      <c r="F637" s="162"/>
      <c r="G637" s="162"/>
    </row>
    <row r="638" spans="2:7" ht="16.5" customHeight="1">
      <c r="B638" s="162"/>
      <c r="E638" s="162"/>
      <c r="F638" s="162"/>
      <c r="G638" s="162"/>
    </row>
    <row r="639" spans="2:7" ht="16.5" customHeight="1">
      <c r="B639" s="162"/>
      <c r="E639" s="162"/>
      <c r="F639" s="162"/>
      <c r="G639" s="162"/>
    </row>
    <row r="640" spans="2:7" ht="16.5" customHeight="1">
      <c r="B640" s="162"/>
      <c r="E640" s="162"/>
      <c r="F640" s="162"/>
      <c r="G640" s="162"/>
    </row>
    <row r="641" spans="2:7" ht="16.5" customHeight="1">
      <c r="B641" s="162"/>
      <c r="E641" s="162"/>
      <c r="F641" s="162"/>
      <c r="G641" s="162"/>
    </row>
    <row r="642" spans="2:7" ht="16.5" customHeight="1">
      <c r="B642" s="162"/>
      <c r="E642" s="162"/>
      <c r="F642" s="162"/>
      <c r="G642" s="162"/>
    </row>
    <row r="643" spans="2:7" ht="16.5" customHeight="1">
      <c r="B643" s="162"/>
      <c r="E643" s="162"/>
      <c r="F643" s="162"/>
      <c r="G643" s="162"/>
    </row>
    <row r="644" spans="2:7" ht="16.5" customHeight="1">
      <c r="B644" s="162"/>
      <c r="E644" s="162"/>
      <c r="F644" s="162"/>
      <c r="G644" s="162"/>
    </row>
    <row r="645" spans="2:7" ht="16.5" customHeight="1">
      <c r="B645" s="162"/>
      <c r="E645" s="162"/>
      <c r="F645" s="162"/>
      <c r="G645" s="162"/>
    </row>
    <row r="646" spans="2:7" ht="16.5" customHeight="1">
      <c r="B646" s="162"/>
      <c r="E646" s="162"/>
      <c r="F646" s="162"/>
      <c r="G646" s="162"/>
    </row>
    <row r="647" spans="2:7" ht="16.5" customHeight="1">
      <c r="B647" s="162"/>
      <c r="E647" s="162"/>
      <c r="F647" s="162"/>
      <c r="G647" s="162"/>
    </row>
    <row r="648" spans="2:7" ht="16.5" customHeight="1">
      <c r="B648" s="162"/>
      <c r="E648" s="162"/>
      <c r="F648" s="162"/>
      <c r="G648" s="162"/>
    </row>
    <row r="649" spans="2:7" ht="16.5" customHeight="1">
      <c r="B649" s="162"/>
      <c r="E649" s="162"/>
      <c r="F649" s="162"/>
      <c r="G649" s="162"/>
    </row>
    <row r="650" spans="2:7" ht="16.5" customHeight="1">
      <c r="B650" s="162"/>
      <c r="E650" s="162"/>
      <c r="F650" s="162"/>
      <c r="G650" s="162"/>
    </row>
    <row r="651" spans="2:7" ht="16.5" customHeight="1">
      <c r="B651" s="162"/>
      <c r="E651" s="162"/>
      <c r="F651" s="162"/>
      <c r="G651" s="162"/>
    </row>
    <row r="652" spans="2:7" ht="16.5" customHeight="1">
      <c r="B652" s="162"/>
      <c r="E652" s="162"/>
      <c r="F652" s="162"/>
      <c r="G652" s="162"/>
    </row>
    <row r="653" spans="2:7" ht="16.5" customHeight="1">
      <c r="B653" s="162"/>
      <c r="E653" s="162"/>
      <c r="F653" s="162"/>
      <c r="G653" s="162"/>
    </row>
    <row r="654" spans="2:7" ht="16.5" customHeight="1">
      <c r="B654" s="162"/>
      <c r="E654" s="162"/>
      <c r="F654" s="162"/>
      <c r="G654" s="162"/>
    </row>
    <row r="655" spans="2:7" ht="16.5" customHeight="1">
      <c r="B655" s="162"/>
      <c r="E655" s="162"/>
      <c r="F655" s="162"/>
      <c r="G655" s="162"/>
    </row>
    <row r="656" spans="2:7" ht="16.5" customHeight="1">
      <c r="B656" s="162"/>
      <c r="E656" s="162"/>
      <c r="F656" s="162"/>
      <c r="G656" s="162"/>
    </row>
    <row r="657" spans="2:7" ht="16.5" customHeight="1">
      <c r="B657" s="162"/>
      <c r="E657" s="162"/>
      <c r="F657" s="162"/>
      <c r="G657" s="162"/>
    </row>
    <row r="658" spans="2:7" ht="16.5" customHeight="1">
      <c r="B658" s="162"/>
      <c r="E658" s="162"/>
      <c r="F658" s="162"/>
      <c r="G658" s="162"/>
    </row>
    <row r="659" spans="2:7" ht="16.5" customHeight="1">
      <c r="B659" s="162"/>
      <c r="E659" s="162"/>
      <c r="F659" s="162"/>
      <c r="G659" s="162"/>
    </row>
    <row r="660" spans="2:7" ht="16.5" customHeight="1">
      <c r="B660" s="162"/>
      <c r="E660" s="162"/>
      <c r="F660" s="162"/>
      <c r="G660" s="162"/>
    </row>
    <row r="661" spans="2:7" ht="16.5" customHeight="1">
      <c r="B661" s="162"/>
      <c r="E661" s="162"/>
      <c r="F661" s="162"/>
      <c r="G661" s="162"/>
    </row>
    <row r="662" spans="2:7" ht="16.5" customHeight="1">
      <c r="B662" s="162"/>
      <c r="E662" s="162"/>
      <c r="F662" s="162"/>
      <c r="G662" s="162"/>
    </row>
    <row r="663" spans="2:7" ht="16.5" customHeight="1">
      <c r="B663" s="162"/>
      <c r="E663" s="162"/>
      <c r="F663" s="162"/>
      <c r="G663" s="162"/>
    </row>
    <row r="664" spans="2:7" ht="16.5" customHeight="1">
      <c r="B664" s="162"/>
      <c r="E664" s="162"/>
      <c r="F664" s="162"/>
      <c r="G664" s="162"/>
    </row>
    <row r="665" spans="2:7" ht="16.5" customHeight="1">
      <c r="B665" s="162"/>
      <c r="E665" s="162"/>
      <c r="F665" s="162"/>
      <c r="G665" s="162"/>
    </row>
    <row r="666" spans="2:7" ht="16.5" customHeight="1">
      <c r="B666" s="162"/>
      <c r="E666" s="162"/>
      <c r="F666" s="162"/>
      <c r="G666" s="162"/>
    </row>
    <row r="667" spans="2:7" ht="16.5" customHeight="1">
      <c r="B667" s="162"/>
      <c r="E667" s="162"/>
      <c r="F667" s="162"/>
      <c r="G667" s="162"/>
    </row>
    <row r="668" spans="2:7" ht="16.5" customHeight="1">
      <c r="B668" s="162"/>
      <c r="E668" s="162"/>
      <c r="F668" s="162"/>
      <c r="G668" s="162"/>
    </row>
    <row r="669" spans="2:7" ht="16.5" customHeight="1">
      <c r="B669" s="162"/>
      <c r="E669" s="162"/>
      <c r="F669" s="162"/>
      <c r="G669" s="162"/>
    </row>
    <row r="670" spans="2:7" ht="16.5" customHeight="1">
      <c r="B670" s="162"/>
      <c r="E670" s="162"/>
      <c r="F670" s="162"/>
      <c r="G670" s="162"/>
    </row>
    <row r="671" spans="2:7" ht="16.5" customHeight="1">
      <c r="B671" s="162"/>
      <c r="E671" s="162"/>
      <c r="F671" s="162"/>
      <c r="G671" s="162"/>
    </row>
    <row r="672" spans="2:7" ht="16.5" customHeight="1">
      <c r="B672" s="162"/>
      <c r="E672" s="162"/>
      <c r="F672" s="162"/>
      <c r="G672" s="162"/>
    </row>
    <row r="673" spans="2:7" ht="16.5" customHeight="1">
      <c r="B673" s="162"/>
      <c r="E673" s="162"/>
      <c r="F673" s="162"/>
      <c r="G673" s="162"/>
    </row>
    <row r="674" spans="2:7" ht="16.5" customHeight="1">
      <c r="B674" s="162"/>
      <c r="E674" s="162"/>
      <c r="F674" s="162"/>
      <c r="G674" s="162"/>
    </row>
    <row r="675" spans="2:7" ht="16.5" customHeight="1">
      <c r="B675" s="162"/>
      <c r="E675" s="162"/>
      <c r="F675" s="162"/>
      <c r="G675" s="162"/>
    </row>
    <row r="676" spans="2:7" ht="16.5" customHeight="1">
      <c r="B676" s="162"/>
      <c r="E676" s="162"/>
      <c r="F676" s="162"/>
      <c r="G676" s="162"/>
    </row>
    <row r="677" spans="2:7" ht="16.5" customHeight="1">
      <c r="B677" s="162"/>
      <c r="E677" s="162"/>
      <c r="F677" s="162"/>
      <c r="G677" s="162"/>
    </row>
    <row r="678" spans="2:7" ht="16.5" customHeight="1">
      <c r="B678" s="162"/>
      <c r="E678" s="162"/>
      <c r="F678" s="162"/>
      <c r="G678" s="162"/>
    </row>
    <row r="679" spans="2:7" ht="16.5" customHeight="1">
      <c r="B679" s="162"/>
      <c r="E679" s="162"/>
      <c r="F679" s="162"/>
      <c r="G679" s="162"/>
    </row>
    <row r="680" spans="2:7" ht="16.5" customHeight="1">
      <c r="B680" s="162"/>
      <c r="E680" s="162"/>
      <c r="F680" s="162"/>
      <c r="G680" s="162"/>
    </row>
    <row r="681" spans="2:7" ht="16.5" customHeight="1">
      <c r="B681" s="162"/>
      <c r="E681" s="162"/>
      <c r="F681" s="162"/>
      <c r="G681" s="162"/>
    </row>
    <row r="682" spans="2:7" ht="16.5" customHeight="1">
      <c r="B682" s="162"/>
      <c r="E682" s="162"/>
      <c r="F682" s="162"/>
      <c r="G682" s="162"/>
    </row>
    <row r="683" spans="2:7" ht="16.5" customHeight="1">
      <c r="B683" s="162"/>
      <c r="E683" s="162"/>
      <c r="F683" s="162"/>
      <c r="G683" s="162"/>
    </row>
    <row r="684" spans="2:7" ht="16.5" customHeight="1">
      <c r="B684" s="162"/>
      <c r="E684" s="162"/>
      <c r="F684" s="162"/>
      <c r="G684" s="162"/>
    </row>
    <row r="685" spans="2:7" ht="16.5" customHeight="1">
      <c r="B685" s="162"/>
      <c r="E685" s="162"/>
      <c r="F685" s="162"/>
      <c r="G685" s="162"/>
    </row>
    <row r="686" spans="2:7" ht="16.5" customHeight="1">
      <c r="B686" s="162"/>
      <c r="E686" s="162"/>
      <c r="F686" s="162"/>
      <c r="G686" s="162"/>
    </row>
    <row r="687" spans="2:7" ht="16.5" customHeight="1">
      <c r="B687" s="162"/>
      <c r="E687" s="162"/>
      <c r="F687" s="162"/>
      <c r="G687" s="162"/>
    </row>
    <row r="688" spans="2:7" ht="16.5" customHeight="1">
      <c r="B688" s="162"/>
      <c r="E688" s="162"/>
      <c r="F688" s="162"/>
      <c r="G688" s="162"/>
    </row>
    <row r="689" spans="2:7" ht="16.5" customHeight="1">
      <c r="B689" s="162"/>
      <c r="E689" s="162"/>
      <c r="F689" s="162"/>
      <c r="G689" s="162"/>
    </row>
    <row r="690" spans="2:7" ht="16.5" customHeight="1">
      <c r="B690" s="162"/>
      <c r="E690" s="162"/>
      <c r="F690" s="162"/>
      <c r="G690" s="162"/>
    </row>
    <row r="691" spans="2:7" ht="16.5" customHeight="1">
      <c r="B691" s="162"/>
      <c r="E691" s="162"/>
      <c r="F691" s="162"/>
      <c r="G691" s="162"/>
    </row>
    <row r="692" spans="2:7" ht="16.5" customHeight="1">
      <c r="B692" s="162"/>
      <c r="E692" s="162"/>
      <c r="F692" s="162"/>
      <c r="G692" s="162"/>
    </row>
    <row r="693" spans="2:7" ht="16.5" customHeight="1">
      <c r="B693" s="162"/>
      <c r="E693" s="162"/>
      <c r="F693" s="162"/>
      <c r="G693" s="162"/>
    </row>
    <row r="694" spans="2:7" ht="16.5" customHeight="1">
      <c r="B694" s="162"/>
      <c r="E694" s="162"/>
      <c r="F694" s="162"/>
      <c r="G694" s="162"/>
    </row>
    <row r="695" spans="2:7" ht="16.5" customHeight="1">
      <c r="B695" s="162"/>
      <c r="E695" s="162"/>
      <c r="F695" s="162"/>
      <c r="G695" s="162"/>
    </row>
    <row r="696" spans="2:7" ht="16.5" customHeight="1">
      <c r="B696" s="162"/>
      <c r="E696" s="162"/>
      <c r="F696" s="162"/>
      <c r="G696" s="162"/>
    </row>
    <row r="697" spans="2:7" ht="16.5" customHeight="1">
      <c r="B697" s="162"/>
      <c r="E697" s="162"/>
      <c r="F697" s="162"/>
      <c r="G697" s="162"/>
    </row>
    <row r="698" spans="2:7" ht="16.5" customHeight="1">
      <c r="B698" s="162"/>
      <c r="E698" s="162"/>
      <c r="F698" s="162"/>
      <c r="G698" s="162"/>
    </row>
    <row r="699" spans="2:7" ht="16.5" customHeight="1">
      <c r="B699" s="162"/>
      <c r="E699" s="162"/>
      <c r="F699" s="162"/>
      <c r="G699" s="162"/>
    </row>
    <row r="700" spans="2:7" ht="16.5" customHeight="1">
      <c r="B700" s="162"/>
      <c r="E700" s="162"/>
      <c r="F700" s="162"/>
      <c r="G700" s="162"/>
    </row>
    <row r="701" spans="2:7" ht="16.5" customHeight="1">
      <c r="B701" s="162"/>
      <c r="E701" s="162"/>
      <c r="F701" s="162"/>
      <c r="G701" s="162"/>
    </row>
    <row r="702" spans="2:7" ht="16.5" customHeight="1">
      <c r="B702" s="162"/>
      <c r="E702" s="162"/>
      <c r="F702" s="162"/>
      <c r="G702" s="162"/>
    </row>
    <row r="703" spans="2:7" ht="16.5" customHeight="1">
      <c r="B703" s="162"/>
      <c r="E703" s="162"/>
      <c r="F703" s="162"/>
      <c r="G703" s="162"/>
    </row>
    <row r="704" spans="2:7" ht="16.5" customHeight="1">
      <c r="B704" s="162"/>
      <c r="E704" s="162"/>
      <c r="F704" s="162"/>
      <c r="G704" s="162"/>
    </row>
    <row r="705" spans="2:7" ht="16.5" customHeight="1">
      <c r="B705" s="162"/>
      <c r="E705" s="162"/>
      <c r="F705" s="162"/>
      <c r="G705" s="162"/>
    </row>
    <row r="706" spans="2:7" ht="16.5" customHeight="1">
      <c r="B706" s="162"/>
      <c r="E706" s="162"/>
      <c r="F706" s="162"/>
      <c r="G706" s="162"/>
    </row>
    <row r="707" spans="2:7" ht="16.5" customHeight="1">
      <c r="B707" s="162"/>
      <c r="E707" s="162"/>
      <c r="F707" s="162"/>
      <c r="G707" s="162"/>
    </row>
    <row r="708" spans="2:7" ht="16.5" customHeight="1">
      <c r="B708" s="162"/>
      <c r="E708" s="162"/>
      <c r="F708" s="162"/>
      <c r="G708" s="162"/>
    </row>
    <row r="709" spans="2:7" ht="16.5" customHeight="1">
      <c r="B709" s="162"/>
      <c r="E709" s="162"/>
      <c r="F709" s="162"/>
      <c r="G709" s="162"/>
    </row>
    <row r="710" spans="2:7" ht="16.5" customHeight="1">
      <c r="B710" s="162"/>
      <c r="E710" s="162"/>
      <c r="F710" s="162"/>
      <c r="G710" s="162"/>
    </row>
    <row r="711" spans="2:7" ht="16.5" customHeight="1">
      <c r="B711" s="162"/>
      <c r="E711" s="162"/>
      <c r="F711" s="162"/>
      <c r="G711" s="162"/>
    </row>
    <row r="712" spans="2:7" ht="16.5" customHeight="1">
      <c r="B712" s="162"/>
      <c r="E712" s="162"/>
      <c r="F712" s="162"/>
      <c r="G712" s="162"/>
    </row>
    <row r="713" spans="2:7" ht="16.5" customHeight="1">
      <c r="B713" s="162"/>
      <c r="E713" s="162"/>
      <c r="F713" s="162"/>
      <c r="G713" s="162"/>
    </row>
    <row r="714" spans="2:7" ht="16.5" customHeight="1">
      <c r="B714" s="162"/>
      <c r="E714" s="162"/>
      <c r="F714" s="162"/>
      <c r="G714" s="162"/>
    </row>
    <row r="715" spans="2:7" ht="16.5" customHeight="1">
      <c r="B715" s="162"/>
      <c r="E715" s="162"/>
      <c r="F715" s="162"/>
      <c r="G715" s="162"/>
    </row>
    <row r="716" spans="2:7" ht="16.5" customHeight="1">
      <c r="B716" s="162"/>
      <c r="E716" s="162"/>
      <c r="F716" s="162"/>
      <c r="G716" s="162"/>
    </row>
    <row r="717" spans="2:7" ht="16.5" customHeight="1">
      <c r="B717" s="162"/>
      <c r="E717" s="162"/>
      <c r="F717" s="162"/>
      <c r="G717" s="162"/>
    </row>
    <row r="718" spans="2:7" ht="16.5" customHeight="1">
      <c r="B718" s="162"/>
      <c r="E718" s="162"/>
      <c r="F718" s="162"/>
      <c r="G718" s="162"/>
    </row>
    <row r="719" spans="2:7" ht="16.5" customHeight="1">
      <c r="B719" s="162"/>
      <c r="E719" s="162"/>
      <c r="F719" s="162"/>
      <c r="G719" s="162"/>
    </row>
    <row r="720" spans="2:7" ht="16.5" customHeight="1">
      <c r="B720" s="162"/>
      <c r="E720" s="162"/>
      <c r="F720" s="162"/>
      <c r="G720" s="162"/>
    </row>
    <row r="721" spans="2:7" ht="16.5" customHeight="1">
      <c r="B721" s="162"/>
      <c r="E721" s="162"/>
      <c r="F721" s="162"/>
      <c r="G721" s="162"/>
    </row>
    <row r="722" spans="2:7" ht="16.5" customHeight="1">
      <c r="B722" s="162"/>
      <c r="E722" s="162"/>
      <c r="F722" s="162"/>
      <c r="G722" s="162"/>
    </row>
    <row r="723" spans="2:7" ht="16.5" customHeight="1">
      <c r="B723" s="162"/>
      <c r="E723" s="162"/>
      <c r="F723" s="162"/>
      <c r="G723" s="162"/>
    </row>
    <row r="724" spans="2:7" ht="16.5" customHeight="1">
      <c r="B724" s="162"/>
      <c r="E724" s="162"/>
      <c r="F724" s="162"/>
      <c r="G724" s="162"/>
    </row>
    <row r="725" spans="2:7" ht="16.5" customHeight="1">
      <c r="B725" s="162"/>
      <c r="E725" s="162"/>
      <c r="F725" s="162"/>
      <c r="G725" s="162"/>
    </row>
    <row r="726" spans="2:7" ht="16.5" customHeight="1">
      <c r="B726" s="162"/>
      <c r="E726" s="162"/>
      <c r="F726" s="162"/>
      <c r="G726" s="162"/>
    </row>
    <row r="727" spans="2:7" ht="16.5" customHeight="1">
      <c r="B727" s="162"/>
      <c r="E727" s="162"/>
      <c r="F727" s="162"/>
      <c r="G727" s="162"/>
    </row>
    <row r="728" spans="2:7" ht="16.5" customHeight="1">
      <c r="B728" s="162"/>
      <c r="E728" s="162"/>
      <c r="F728" s="162"/>
      <c r="G728" s="162"/>
    </row>
    <row r="729" spans="2:7" ht="16.5" customHeight="1">
      <c r="B729" s="162"/>
      <c r="E729" s="162"/>
      <c r="F729" s="162"/>
      <c r="G729" s="162"/>
    </row>
    <row r="730" spans="2:7" ht="16.5" customHeight="1">
      <c r="B730" s="162"/>
      <c r="E730" s="162"/>
      <c r="F730" s="162"/>
      <c r="G730" s="162"/>
    </row>
    <row r="731" spans="2:7" ht="16.5" customHeight="1">
      <c r="B731" s="162"/>
      <c r="E731" s="162"/>
      <c r="F731" s="162"/>
      <c r="G731" s="162"/>
    </row>
    <row r="732" spans="2:7" ht="16.5" customHeight="1">
      <c r="B732" s="162"/>
      <c r="E732" s="162"/>
      <c r="F732" s="162"/>
      <c r="G732" s="162"/>
    </row>
    <row r="733" spans="2:7" ht="16.5" customHeight="1">
      <c r="B733" s="162"/>
      <c r="E733" s="162"/>
      <c r="F733" s="162"/>
      <c r="G733" s="162"/>
    </row>
    <row r="734" spans="2:7" ht="16.5" customHeight="1">
      <c r="B734" s="162"/>
      <c r="E734" s="162"/>
      <c r="F734" s="162"/>
      <c r="G734" s="162"/>
    </row>
    <row r="735" spans="2:7" ht="16.5" customHeight="1">
      <c r="B735" s="162"/>
      <c r="E735" s="162"/>
      <c r="F735" s="162"/>
      <c r="G735" s="162"/>
    </row>
    <row r="736" spans="2:7" ht="16.5" customHeight="1">
      <c r="B736" s="162"/>
      <c r="E736" s="162"/>
      <c r="F736" s="162"/>
      <c r="G736" s="162"/>
    </row>
    <row r="737" spans="2:7" ht="16.5" customHeight="1">
      <c r="B737" s="162"/>
      <c r="E737" s="162"/>
      <c r="F737" s="162"/>
      <c r="G737" s="162"/>
    </row>
    <row r="738" spans="2:7" ht="16.5" customHeight="1">
      <c r="B738" s="162"/>
      <c r="E738" s="162"/>
      <c r="F738" s="162"/>
      <c r="G738" s="162"/>
    </row>
    <row r="739" spans="2:7" ht="16.5" customHeight="1">
      <c r="B739" s="162"/>
      <c r="E739" s="162"/>
      <c r="F739" s="162"/>
      <c r="G739" s="162"/>
    </row>
    <row r="740" spans="2:7" ht="16.5" customHeight="1">
      <c r="B740" s="162"/>
      <c r="E740" s="162"/>
      <c r="F740" s="162"/>
      <c r="G740" s="162"/>
    </row>
    <row r="741" spans="2:7" ht="16.5" customHeight="1">
      <c r="B741" s="162"/>
      <c r="E741" s="162"/>
      <c r="F741" s="162"/>
      <c r="G741" s="162"/>
    </row>
    <row r="742" spans="2:7" ht="16.5" customHeight="1">
      <c r="B742" s="162"/>
      <c r="E742" s="162"/>
      <c r="F742" s="162"/>
      <c r="G742" s="162"/>
    </row>
    <row r="743" spans="2:7" ht="16.5" customHeight="1">
      <c r="B743" s="162"/>
      <c r="E743" s="162"/>
      <c r="F743" s="162"/>
      <c r="G743" s="162"/>
    </row>
    <row r="744" spans="2:7" ht="16.5" customHeight="1">
      <c r="B744" s="162"/>
      <c r="E744" s="162"/>
      <c r="F744" s="162"/>
      <c r="G744" s="162"/>
    </row>
    <row r="745" spans="2:7" ht="16.5" customHeight="1">
      <c r="B745" s="162"/>
      <c r="E745" s="162"/>
      <c r="F745" s="162"/>
      <c r="G745" s="162"/>
    </row>
    <row r="746" spans="2:7" ht="16.5" customHeight="1">
      <c r="B746" s="162"/>
      <c r="E746" s="162"/>
      <c r="F746" s="162"/>
      <c r="G746" s="162"/>
    </row>
    <row r="747" spans="2:7" ht="16.5" customHeight="1">
      <c r="B747" s="162"/>
      <c r="E747" s="162"/>
      <c r="F747" s="162"/>
      <c r="G747" s="162"/>
    </row>
    <row r="748" spans="2:7" ht="16.5" customHeight="1">
      <c r="B748" s="162"/>
      <c r="E748" s="162"/>
      <c r="F748" s="162"/>
      <c r="G748" s="162"/>
    </row>
    <row r="749" spans="2:7" ht="16.5" customHeight="1">
      <c r="B749" s="162"/>
      <c r="E749" s="162"/>
      <c r="F749" s="162"/>
      <c r="G749" s="162"/>
    </row>
    <row r="750" spans="2:7" ht="16.5" customHeight="1">
      <c r="B750" s="162"/>
      <c r="E750" s="162"/>
      <c r="F750" s="162"/>
      <c r="G750" s="162"/>
    </row>
    <row r="751" spans="2:7" ht="16.5" customHeight="1">
      <c r="B751" s="162"/>
      <c r="E751" s="162"/>
      <c r="F751" s="162"/>
      <c r="G751" s="162"/>
    </row>
    <row r="752" spans="2:7" ht="16.5" customHeight="1">
      <c r="B752" s="162"/>
      <c r="E752" s="162"/>
      <c r="F752" s="162"/>
      <c r="G752" s="162"/>
    </row>
    <row r="753" spans="2:7" ht="16.5" customHeight="1">
      <c r="B753" s="162"/>
      <c r="E753" s="162"/>
      <c r="F753" s="162"/>
      <c r="G753" s="162"/>
    </row>
    <row r="754" spans="2:7" ht="16.5" customHeight="1">
      <c r="B754" s="162"/>
      <c r="E754" s="162"/>
      <c r="F754" s="162"/>
      <c r="G754" s="162"/>
    </row>
    <row r="755" spans="2:7" ht="16.5" customHeight="1">
      <c r="B755" s="162"/>
      <c r="E755" s="162"/>
      <c r="F755" s="162"/>
      <c r="G755" s="162"/>
    </row>
    <row r="756" spans="2:7" ht="16.5" customHeight="1">
      <c r="B756" s="162"/>
      <c r="E756" s="162"/>
      <c r="F756" s="162"/>
      <c r="G756" s="162"/>
    </row>
    <row r="757" spans="2:7" ht="16.5" customHeight="1">
      <c r="B757" s="162"/>
      <c r="E757" s="162"/>
      <c r="F757" s="162"/>
      <c r="G757" s="162"/>
    </row>
    <row r="758" spans="2:7" ht="16.5" customHeight="1">
      <c r="B758" s="162"/>
      <c r="E758" s="162"/>
      <c r="F758" s="162"/>
      <c r="G758" s="162"/>
    </row>
    <row r="759" spans="2:7" ht="16.5" customHeight="1">
      <c r="B759" s="162"/>
      <c r="E759" s="162"/>
      <c r="F759" s="162"/>
      <c r="G759" s="162"/>
    </row>
    <row r="760" spans="2:7" ht="16.5" customHeight="1">
      <c r="B760" s="162"/>
      <c r="E760" s="162"/>
      <c r="F760" s="162"/>
      <c r="G760" s="162"/>
    </row>
    <row r="761" spans="2:7" ht="16.5" customHeight="1">
      <c r="B761" s="162"/>
      <c r="E761" s="162"/>
      <c r="F761" s="162"/>
      <c r="G761" s="162"/>
    </row>
    <row r="762" spans="2:7" ht="16.5" customHeight="1">
      <c r="B762" s="162"/>
      <c r="E762" s="162"/>
      <c r="F762" s="162"/>
      <c r="G762" s="162"/>
    </row>
    <row r="763" spans="2:7" ht="16.5" customHeight="1">
      <c r="B763" s="162"/>
      <c r="E763" s="162"/>
      <c r="F763" s="162"/>
      <c r="G763" s="162"/>
    </row>
    <row r="764" spans="2:7" ht="16.5" customHeight="1">
      <c r="B764" s="162"/>
      <c r="E764" s="162"/>
      <c r="F764" s="162"/>
      <c r="G764" s="162"/>
    </row>
    <row r="765" spans="2:7" ht="16.5" customHeight="1">
      <c r="B765" s="162"/>
      <c r="E765" s="162"/>
      <c r="F765" s="162"/>
      <c r="G765" s="162"/>
    </row>
    <row r="766" spans="2:7" ht="16.5" customHeight="1">
      <c r="B766" s="162"/>
      <c r="E766" s="162"/>
      <c r="F766" s="162"/>
      <c r="G766" s="162"/>
    </row>
    <row r="767" spans="2:7" ht="16.5" customHeight="1">
      <c r="B767" s="162"/>
      <c r="E767" s="162"/>
      <c r="F767" s="162"/>
      <c r="G767" s="162"/>
    </row>
    <row r="768" spans="2:7" ht="16.5" customHeight="1">
      <c r="B768" s="162"/>
      <c r="E768" s="162"/>
      <c r="F768" s="162"/>
      <c r="G768" s="162"/>
    </row>
    <row r="769" spans="2:7" ht="16.5" customHeight="1">
      <c r="B769" s="162"/>
      <c r="E769" s="162"/>
      <c r="F769" s="162"/>
      <c r="G769" s="162"/>
    </row>
    <row r="770" spans="2:7" ht="16.5" customHeight="1">
      <c r="B770" s="162"/>
      <c r="E770" s="162"/>
      <c r="F770" s="162"/>
      <c r="G770" s="162"/>
    </row>
    <row r="771" spans="2:7" ht="16.5" customHeight="1">
      <c r="B771" s="162"/>
      <c r="E771" s="162"/>
      <c r="F771" s="162"/>
      <c r="G771" s="162"/>
    </row>
    <row r="772" spans="2:7" ht="16.5" customHeight="1">
      <c r="B772" s="162"/>
      <c r="E772" s="162"/>
      <c r="F772" s="162"/>
      <c r="G772" s="162"/>
    </row>
    <row r="773" spans="2:7" ht="16.5" customHeight="1">
      <c r="B773" s="162"/>
      <c r="E773" s="162"/>
      <c r="F773" s="162"/>
      <c r="G773" s="162"/>
    </row>
    <row r="774" spans="2:7" ht="16.5" customHeight="1">
      <c r="B774" s="162"/>
      <c r="E774" s="162"/>
      <c r="F774" s="162"/>
      <c r="G774" s="162"/>
    </row>
    <row r="775" spans="2:7" ht="16.5" customHeight="1">
      <c r="B775" s="162"/>
      <c r="E775" s="162"/>
      <c r="F775" s="162"/>
      <c r="G775" s="162"/>
    </row>
    <row r="776" spans="2:7" ht="16.5" customHeight="1">
      <c r="B776" s="162"/>
      <c r="E776" s="162"/>
      <c r="F776" s="162"/>
      <c r="G776" s="162"/>
    </row>
    <row r="777" spans="2:7" ht="16.5" customHeight="1">
      <c r="B777" s="162"/>
      <c r="E777" s="162"/>
      <c r="F777" s="162"/>
      <c r="G777" s="162"/>
    </row>
    <row r="778" spans="2:7" ht="16.5" customHeight="1">
      <c r="B778" s="162"/>
      <c r="E778" s="162"/>
      <c r="F778" s="162"/>
      <c r="G778" s="162"/>
    </row>
    <row r="779" spans="2:7" ht="16.5" customHeight="1">
      <c r="B779" s="162"/>
      <c r="E779" s="162"/>
      <c r="F779" s="162"/>
      <c r="G779" s="162"/>
    </row>
    <row r="780" spans="2:7" ht="16.5" customHeight="1">
      <c r="B780" s="162"/>
      <c r="E780" s="162"/>
      <c r="F780" s="162"/>
      <c r="G780" s="162"/>
    </row>
    <row r="781" spans="2:7" ht="16.5" customHeight="1">
      <c r="B781" s="162"/>
      <c r="E781" s="162"/>
      <c r="F781" s="162"/>
      <c r="G781" s="162"/>
    </row>
    <row r="782" spans="2:7" ht="16.5" customHeight="1">
      <c r="B782" s="162"/>
      <c r="E782" s="162"/>
      <c r="F782" s="162"/>
      <c r="G782" s="162"/>
    </row>
    <row r="783" spans="2:7" ht="16.5" customHeight="1">
      <c r="B783" s="162"/>
      <c r="E783" s="162"/>
      <c r="F783" s="162"/>
      <c r="G783" s="162"/>
    </row>
    <row r="784" spans="2:7" ht="16.5" customHeight="1">
      <c r="B784" s="162"/>
      <c r="E784" s="162"/>
      <c r="F784" s="162"/>
      <c r="G784" s="162"/>
    </row>
    <row r="785" spans="2:7" ht="16.5" customHeight="1">
      <c r="B785" s="162"/>
      <c r="E785" s="162"/>
      <c r="F785" s="162"/>
      <c r="G785" s="162"/>
    </row>
    <row r="786" spans="2:7" ht="16.5" customHeight="1">
      <c r="B786" s="162"/>
      <c r="E786" s="162"/>
      <c r="F786" s="162"/>
      <c r="G786" s="162"/>
    </row>
    <row r="787" spans="2:7" ht="16.5" customHeight="1">
      <c r="B787" s="162"/>
      <c r="E787" s="162"/>
      <c r="F787" s="162"/>
      <c r="G787" s="162"/>
    </row>
    <row r="788" spans="2:7" ht="16.5" customHeight="1">
      <c r="B788" s="162"/>
      <c r="E788" s="162"/>
      <c r="F788" s="162"/>
      <c r="G788" s="162"/>
    </row>
    <row r="789" spans="2:7" ht="16.5" customHeight="1">
      <c r="B789" s="162"/>
      <c r="E789" s="162"/>
      <c r="F789" s="162"/>
      <c r="G789" s="162"/>
    </row>
    <row r="790" spans="2:7" ht="16.5" customHeight="1">
      <c r="B790" s="162"/>
      <c r="E790" s="162"/>
      <c r="F790" s="162"/>
      <c r="G790" s="162"/>
    </row>
    <row r="791" spans="2:7" ht="16.5" customHeight="1">
      <c r="B791" s="162"/>
      <c r="E791" s="162"/>
      <c r="F791" s="162"/>
      <c r="G791" s="162"/>
    </row>
    <row r="792" spans="2:7" ht="16.5" customHeight="1">
      <c r="B792" s="162"/>
      <c r="E792" s="162"/>
      <c r="F792" s="162"/>
      <c r="G792" s="162"/>
    </row>
    <row r="793" spans="2:7" ht="16.5" customHeight="1">
      <c r="B793" s="162"/>
      <c r="E793" s="162"/>
      <c r="F793" s="162"/>
      <c r="G793" s="162"/>
    </row>
    <row r="794" spans="2:7" ht="16.5" customHeight="1">
      <c r="B794" s="162"/>
      <c r="E794" s="162"/>
      <c r="F794" s="162"/>
      <c r="G794" s="162"/>
    </row>
    <row r="795" spans="2:7" ht="16.5" customHeight="1">
      <c r="B795" s="162"/>
      <c r="E795" s="162"/>
      <c r="F795" s="162"/>
      <c r="G795" s="162"/>
    </row>
    <row r="796" spans="2:7" ht="16.5" customHeight="1">
      <c r="B796" s="162"/>
      <c r="E796" s="162"/>
      <c r="F796" s="162"/>
      <c r="G796" s="162"/>
    </row>
    <row r="797" spans="2:7" ht="16.5" customHeight="1">
      <c r="B797" s="162"/>
      <c r="E797" s="162"/>
      <c r="F797" s="162"/>
      <c r="G797" s="162"/>
    </row>
    <row r="798" spans="2:7" ht="16.5" customHeight="1">
      <c r="B798" s="162"/>
      <c r="E798" s="162"/>
      <c r="F798" s="162"/>
      <c r="G798" s="162"/>
    </row>
    <row r="799" spans="2:7" ht="16.5" customHeight="1">
      <c r="B799" s="162"/>
      <c r="E799" s="162"/>
      <c r="F799" s="162"/>
      <c r="G799" s="162"/>
    </row>
    <row r="800" spans="2:7" ht="16.5" customHeight="1">
      <c r="B800" s="162"/>
      <c r="E800" s="162"/>
      <c r="F800" s="162"/>
      <c r="G800" s="162"/>
    </row>
    <row r="801" spans="2:7" ht="16.5" customHeight="1">
      <c r="B801" s="162"/>
      <c r="E801" s="162"/>
      <c r="F801" s="162"/>
      <c r="G801" s="162"/>
    </row>
    <row r="802" spans="2:7" ht="16.5" customHeight="1">
      <c r="B802" s="162"/>
      <c r="E802" s="162"/>
      <c r="F802" s="162"/>
      <c r="G802" s="162"/>
    </row>
    <row r="803" spans="2:7" ht="16.5" customHeight="1">
      <c r="B803" s="162"/>
      <c r="E803" s="162"/>
      <c r="F803" s="162"/>
      <c r="G803" s="162"/>
    </row>
    <row r="804" spans="2:7" ht="16.5" customHeight="1">
      <c r="B804" s="162"/>
      <c r="E804" s="162"/>
      <c r="F804" s="162"/>
      <c r="G804" s="162"/>
    </row>
    <row r="805" spans="2:7" ht="16.5" customHeight="1">
      <c r="B805" s="162"/>
      <c r="E805" s="162"/>
      <c r="F805" s="162"/>
      <c r="G805" s="162"/>
    </row>
    <row r="806" spans="2:7" ht="16.5" customHeight="1">
      <c r="B806" s="162"/>
      <c r="E806" s="162"/>
      <c r="F806" s="162"/>
      <c r="G806" s="162"/>
    </row>
    <row r="807" spans="2:7" ht="16.5" customHeight="1">
      <c r="B807" s="162"/>
      <c r="E807" s="162"/>
      <c r="F807" s="162"/>
      <c r="G807" s="162"/>
    </row>
    <row r="808" spans="2:7" ht="16.5" customHeight="1">
      <c r="B808" s="162"/>
      <c r="E808" s="162"/>
      <c r="F808" s="162"/>
      <c r="G808" s="162"/>
    </row>
    <row r="809" spans="2:7" ht="16.5" customHeight="1">
      <c r="B809" s="162"/>
      <c r="E809" s="162"/>
      <c r="F809" s="162"/>
      <c r="G809" s="162"/>
    </row>
    <row r="810" spans="2:7" ht="16.5" customHeight="1">
      <c r="B810" s="162"/>
      <c r="E810" s="162"/>
      <c r="F810" s="162"/>
      <c r="G810" s="162"/>
    </row>
    <row r="811" spans="2:7" ht="16.5" customHeight="1">
      <c r="B811" s="162"/>
      <c r="E811" s="162"/>
      <c r="F811" s="162"/>
      <c r="G811" s="162"/>
    </row>
    <row r="812" spans="2:7" ht="16.5" customHeight="1">
      <c r="B812" s="162"/>
      <c r="E812" s="162"/>
      <c r="F812" s="162"/>
      <c r="G812" s="162"/>
    </row>
    <row r="813" spans="2:7" ht="16.5" customHeight="1">
      <c r="B813" s="162"/>
      <c r="E813" s="162"/>
      <c r="F813" s="162"/>
      <c r="G813" s="162"/>
    </row>
    <row r="814" spans="2:7" ht="16.5" customHeight="1">
      <c r="B814" s="162"/>
      <c r="E814" s="162"/>
      <c r="F814" s="162"/>
      <c r="G814" s="162"/>
    </row>
    <row r="815" spans="2:7" ht="16.5" customHeight="1">
      <c r="B815" s="162"/>
      <c r="E815" s="162"/>
      <c r="F815" s="162"/>
      <c r="G815" s="162"/>
    </row>
    <row r="816" spans="2:7" ht="16.5" customHeight="1">
      <c r="B816" s="162"/>
      <c r="E816" s="162"/>
      <c r="F816" s="162"/>
      <c r="G816" s="162"/>
    </row>
    <row r="817" spans="2:7" ht="16.5" customHeight="1">
      <c r="B817" s="162"/>
      <c r="E817" s="162"/>
      <c r="F817" s="162"/>
      <c r="G817" s="162"/>
    </row>
    <row r="818" spans="2:7" ht="16.5" customHeight="1">
      <c r="B818" s="162"/>
      <c r="E818" s="162"/>
      <c r="F818" s="162"/>
      <c r="G818" s="162"/>
    </row>
    <row r="819" spans="2:7" ht="16.5" customHeight="1">
      <c r="B819" s="162"/>
      <c r="E819" s="162"/>
      <c r="F819" s="162"/>
      <c r="G819" s="162"/>
    </row>
    <row r="820" spans="2:7" ht="16.5" customHeight="1">
      <c r="B820" s="162"/>
      <c r="E820" s="162"/>
      <c r="F820" s="162"/>
      <c r="G820" s="162"/>
    </row>
    <row r="821" spans="2:7" ht="16.5" customHeight="1">
      <c r="B821" s="162"/>
      <c r="E821" s="162"/>
      <c r="F821" s="162"/>
      <c r="G821" s="162"/>
    </row>
    <row r="822" spans="2:7" ht="16.5" customHeight="1">
      <c r="B822" s="162"/>
      <c r="E822" s="162"/>
      <c r="F822" s="162"/>
      <c r="G822" s="162"/>
    </row>
    <row r="823" spans="2:7" ht="16.5" customHeight="1">
      <c r="B823" s="162"/>
      <c r="E823" s="162"/>
      <c r="F823" s="162"/>
      <c r="G823" s="162"/>
    </row>
    <row r="824" spans="2:7" ht="16.5" customHeight="1">
      <c r="B824" s="162"/>
      <c r="E824" s="162"/>
      <c r="F824" s="162"/>
      <c r="G824" s="162"/>
    </row>
    <row r="825" spans="2:7" ht="16.5" customHeight="1">
      <c r="B825" s="162"/>
      <c r="E825" s="162"/>
      <c r="F825" s="162"/>
      <c r="G825" s="162"/>
    </row>
    <row r="826" spans="2:7" ht="16.5" customHeight="1">
      <c r="B826" s="162"/>
      <c r="E826" s="162"/>
      <c r="F826" s="162"/>
      <c r="G826" s="162"/>
    </row>
    <row r="827" spans="2:7" ht="16.5" customHeight="1">
      <c r="B827" s="162"/>
      <c r="E827" s="162"/>
      <c r="F827" s="162"/>
      <c r="G827" s="162"/>
    </row>
    <row r="828" spans="2:7" ht="16.5" customHeight="1">
      <c r="B828" s="162"/>
      <c r="E828" s="162"/>
      <c r="F828" s="162"/>
      <c r="G828" s="162"/>
    </row>
    <row r="829" spans="2:7" ht="16.5" customHeight="1">
      <c r="B829" s="162"/>
      <c r="E829" s="162"/>
      <c r="F829" s="162"/>
      <c r="G829" s="162"/>
    </row>
    <row r="830" spans="2:7" ht="16.5" customHeight="1">
      <c r="B830" s="162"/>
      <c r="E830" s="162"/>
      <c r="F830" s="162"/>
      <c r="G830" s="162"/>
    </row>
    <row r="831" spans="2:7" ht="16.5" customHeight="1">
      <c r="B831" s="162"/>
      <c r="E831" s="162"/>
      <c r="F831" s="162"/>
      <c r="G831" s="162"/>
    </row>
    <row r="832" spans="2:7" ht="16.5" customHeight="1">
      <c r="B832" s="162"/>
      <c r="E832" s="162"/>
      <c r="F832" s="162"/>
      <c r="G832" s="162"/>
    </row>
    <row r="833" spans="2:7" ht="16.5" customHeight="1">
      <c r="B833" s="162"/>
      <c r="E833" s="162"/>
      <c r="F833" s="162"/>
      <c r="G833" s="162"/>
    </row>
    <row r="834" spans="2:7" ht="16.5" customHeight="1">
      <c r="B834" s="162"/>
      <c r="E834" s="162"/>
      <c r="F834" s="162"/>
      <c r="G834" s="162"/>
    </row>
    <row r="835" spans="2:7" ht="16.5" customHeight="1">
      <c r="B835" s="162"/>
      <c r="E835" s="162"/>
      <c r="F835" s="162"/>
      <c r="G835" s="162"/>
    </row>
    <row r="836" spans="2:7" ht="16.5" customHeight="1">
      <c r="B836" s="162"/>
      <c r="E836" s="162"/>
      <c r="F836" s="162"/>
      <c r="G836" s="162"/>
    </row>
    <row r="837" spans="2:7" ht="16.5" customHeight="1">
      <c r="B837" s="162"/>
      <c r="E837" s="162"/>
      <c r="F837" s="162"/>
      <c r="G837" s="162"/>
    </row>
    <row r="838" spans="2:7" ht="16.5" customHeight="1">
      <c r="B838" s="162"/>
      <c r="E838" s="162"/>
      <c r="F838" s="162"/>
      <c r="G838" s="162"/>
    </row>
    <row r="839" spans="2:7" ht="16.5" customHeight="1">
      <c r="B839" s="162"/>
      <c r="E839" s="162"/>
      <c r="F839" s="162"/>
      <c r="G839" s="162"/>
    </row>
    <row r="840" spans="2:7" ht="16.5" customHeight="1">
      <c r="B840" s="162"/>
      <c r="E840" s="162"/>
      <c r="F840" s="162"/>
      <c r="G840" s="162"/>
    </row>
    <row r="841" spans="2:7" ht="16.5" customHeight="1">
      <c r="B841" s="162"/>
      <c r="E841" s="162"/>
      <c r="F841" s="162"/>
      <c r="G841" s="162"/>
    </row>
    <row r="842" spans="2:7" ht="16.5" customHeight="1">
      <c r="B842" s="162"/>
      <c r="E842" s="162"/>
      <c r="F842" s="162"/>
      <c r="G842" s="162"/>
    </row>
    <row r="843" spans="2:7" ht="16.5" customHeight="1">
      <c r="B843" s="162"/>
      <c r="E843" s="162"/>
      <c r="F843" s="162"/>
      <c r="G843" s="162"/>
    </row>
    <row r="844" spans="2:7" ht="16.5" customHeight="1">
      <c r="B844" s="162"/>
      <c r="E844" s="162"/>
      <c r="F844" s="162"/>
      <c r="G844" s="162"/>
    </row>
    <row r="845" spans="2:7" ht="16.5" customHeight="1">
      <c r="B845" s="162"/>
      <c r="E845" s="162"/>
      <c r="F845" s="162"/>
      <c r="G845" s="162"/>
    </row>
    <row r="846" spans="2:7" ht="16.5" customHeight="1">
      <c r="B846" s="162"/>
      <c r="E846" s="162"/>
      <c r="F846" s="162"/>
      <c r="G846" s="162"/>
    </row>
    <row r="847" spans="2:7" ht="16.5" customHeight="1">
      <c r="B847" s="162"/>
      <c r="E847" s="162"/>
      <c r="F847" s="162"/>
      <c r="G847" s="162"/>
    </row>
    <row r="848" spans="2:7" ht="16.5" customHeight="1">
      <c r="B848" s="162"/>
      <c r="E848" s="162"/>
      <c r="F848" s="162"/>
      <c r="G848" s="162"/>
    </row>
    <row r="849" spans="2:7" ht="16.5" customHeight="1">
      <c r="B849" s="162"/>
      <c r="E849" s="162"/>
      <c r="F849" s="162"/>
      <c r="G849" s="162"/>
    </row>
    <row r="850" spans="2:7" ht="16.5" customHeight="1">
      <c r="B850" s="162"/>
      <c r="E850" s="162"/>
      <c r="F850" s="162"/>
      <c r="G850" s="162"/>
    </row>
    <row r="851" spans="2:7" ht="16.5" customHeight="1">
      <c r="B851" s="162"/>
      <c r="E851" s="162"/>
      <c r="F851" s="162"/>
      <c r="G851" s="162"/>
    </row>
    <row r="852" spans="2:7" ht="16.5" customHeight="1">
      <c r="B852" s="162"/>
      <c r="E852" s="162"/>
      <c r="F852" s="162"/>
      <c r="G852" s="162"/>
    </row>
    <row r="853" spans="2:7" ht="16.5" customHeight="1">
      <c r="B853" s="162"/>
      <c r="E853" s="162"/>
      <c r="F853" s="162"/>
      <c r="G853" s="162"/>
    </row>
    <row r="854" spans="2:7" ht="16.5" customHeight="1">
      <c r="B854" s="162"/>
      <c r="E854" s="162"/>
      <c r="F854" s="162"/>
      <c r="G854" s="162"/>
    </row>
    <row r="855" spans="2:7" ht="16.5" customHeight="1">
      <c r="B855" s="162"/>
      <c r="E855" s="162"/>
      <c r="F855" s="162"/>
      <c r="G855" s="162"/>
    </row>
    <row r="856" spans="2:7" ht="16.5" customHeight="1">
      <c r="B856" s="162"/>
      <c r="E856" s="162"/>
      <c r="F856" s="162"/>
      <c r="G856" s="162"/>
    </row>
    <row r="857" spans="2:7" ht="16.5" customHeight="1">
      <c r="B857" s="162"/>
      <c r="E857" s="162"/>
      <c r="F857" s="162"/>
      <c r="G857" s="162"/>
    </row>
    <row r="858" spans="2:7" ht="16.5" customHeight="1">
      <c r="B858" s="162"/>
      <c r="E858" s="162"/>
      <c r="F858" s="162"/>
      <c r="G858" s="162"/>
    </row>
    <row r="859" spans="2:7" ht="16.5" customHeight="1">
      <c r="B859" s="162"/>
      <c r="E859" s="162"/>
      <c r="F859" s="162"/>
      <c r="G859" s="162"/>
    </row>
    <row r="860" spans="2:7" ht="16.5" customHeight="1">
      <c r="B860" s="162"/>
      <c r="E860" s="162"/>
      <c r="F860" s="162"/>
      <c r="G860" s="162"/>
    </row>
    <row r="861" spans="2:7" ht="16.5" customHeight="1">
      <c r="B861" s="162"/>
      <c r="E861" s="162"/>
      <c r="F861" s="162"/>
      <c r="G861" s="162"/>
    </row>
    <row r="862" spans="2:7" ht="16.5" customHeight="1">
      <c r="B862" s="162"/>
      <c r="E862" s="162"/>
      <c r="F862" s="162"/>
      <c r="G862" s="162"/>
    </row>
    <row r="863" spans="2:7" ht="16.5" customHeight="1">
      <c r="B863" s="162"/>
      <c r="E863" s="162"/>
      <c r="F863" s="162"/>
      <c r="G863" s="162"/>
    </row>
    <row r="864" spans="2:7" ht="16.5" customHeight="1">
      <c r="B864" s="162"/>
      <c r="E864" s="162"/>
      <c r="F864" s="162"/>
      <c r="G864" s="162"/>
    </row>
    <row r="865" spans="2:7" ht="16.5" customHeight="1">
      <c r="B865" s="162"/>
      <c r="E865" s="162"/>
      <c r="F865" s="162"/>
      <c r="G865" s="162"/>
    </row>
    <row r="866" spans="2:7" ht="16.5" customHeight="1">
      <c r="B866" s="162"/>
      <c r="E866" s="162"/>
      <c r="F866" s="162"/>
      <c r="G866" s="162"/>
    </row>
    <row r="867" spans="2:7" ht="16.5" customHeight="1">
      <c r="B867" s="162"/>
      <c r="E867" s="162"/>
      <c r="F867" s="162"/>
      <c r="G867" s="162"/>
    </row>
    <row r="868" spans="2:7" ht="16.5" customHeight="1">
      <c r="B868" s="162"/>
      <c r="E868" s="162"/>
      <c r="F868" s="162"/>
      <c r="G868" s="162"/>
    </row>
    <row r="869" spans="2:7" ht="16.5" customHeight="1">
      <c r="B869" s="162"/>
      <c r="E869" s="162"/>
      <c r="F869" s="162"/>
      <c r="G869" s="162"/>
    </row>
    <row r="870" spans="2:7" ht="16.5" customHeight="1">
      <c r="B870" s="162"/>
      <c r="E870" s="162"/>
      <c r="F870" s="162"/>
      <c r="G870" s="162"/>
    </row>
    <row r="871" spans="2:7" ht="16.5" customHeight="1">
      <c r="B871" s="162"/>
      <c r="E871" s="162"/>
      <c r="F871" s="162"/>
      <c r="G871" s="162"/>
    </row>
    <row r="872" spans="2:7" ht="16.5" customHeight="1">
      <c r="B872" s="162"/>
      <c r="E872" s="162"/>
      <c r="F872" s="162"/>
      <c r="G872" s="162"/>
    </row>
    <row r="873" spans="2:7" ht="16.5" customHeight="1">
      <c r="B873" s="162"/>
      <c r="E873" s="162"/>
      <c r="F873" s="162"/>
      <c r="G873" s="162"/>
    </row>
    <row r="874" spans="2:7" ht="16.5" customHeight="1">
      <c r="B874" s="162"/>
      <c r="E874" s="162"/>
      <c r="F874" s="162"/>
      <c r="G874" s="162"/>
    </row>
    <row r="875" spans="2:7" ht="16.5" customHeight="1">
      <c r="B875" s="162"/>
      <c r="E875" s="162"/>
      <c r="F875" s="162"/>
      <c r="G875" s="162"/>
    </row>
    <row r="876" spans="2:7" ht="16.5" customHeight="1">
      <c r="B876" s="162"/>
      <c r="E876" s="162"/>
      <c r="F876" s="162"/>
      <c r="G876" s="162"/>
    </row>
    <row r="877" spans="2:7" ht="16.5" customHeight="1">
      <c r="B877" s="162"/>
      <c r="E877" s="162"/>
      <c r="F877" s="162"/>
      <c r="G877" s="162"/>
    </row>
    <row r="878" spans="2:7" ht="16.5" customHeight="1">
      <c r="B878" s="162"/>
      <c r="E878" s="162"/>
      <c r="F878" s="162"/>
      <c r="G878" s="162"/>
    </row>
    <row r="879" spans="2:7" ht="16.5" customHeight="1">
      <c r="B879" s="162"/>
      <c r="E879" s="162"/>
      <c r="F879" s="162"/>
      <c r="G879" s="162"/>
    </row>
    <row r="880" spans="2:7" ht="16.5" customHeight="1">
      <c r="B880" s="162"/>
      <c r="E880" s="162"/>
      <c r="F880" s="162"/>
      <c r="G880" s="162"/>
    </row>
    <row r="881" spans="2:7" ht="16.5" customHeight="1">
      <c r="B881" s="162"/>
      <c r="E881" s="162"/>
      <c r="F881" s="162"/>
      <c r="G881" s="162"/>
    </row>
    <row r="882" spans="2:7" ht="16.5" customHeight="1">
      <c r="B882" s="162"/>
      <c r="E882" s="162"/>
      <c r="F882" s="162"/>
      <c r="G882" s="162"/>
    </row>
    <row r="883" spans="2:7" ht="16.5" customHeight="1">
      <c r="B883" s="162"/>
      <c r="E883" s="162"/>
      <c r="F883" s="162"/>
      <c r="G883" s="162"/>
    </row>
    <row r="884" spans="2:7" ht="16.5" customHeight="1">
      <c r="B884" s="162"/>
      <c r="E884" s="162"/>
      <c r="F884" s="162"/>
      <c r="G884" s="162"/>
    </row>
    <row r="885" spans="2:7" ht="16.5" customHeight="1">
      <c r="B885" s="162"/>
      <c r="E885" s="162"/>
      <c r="F885" s="162"/>
      <c r="G885" s="162"/>
    </row>
    <row r="886" spans="2:7" ht="16.5" customHeight="1">
      <c r="B886" s="162"/>
      <c r="E886" s="162"/>
      <c r="F886" s="162"/>
      <c r="G886" s="162"/>
    </row>
    <row r="887" spans="2:7" ht="16.5" customHeight="1">
      <c r="B887" s="162"/>
      <c r="E887" s="162"/>
      <c r="F887" s="162"/>
      <c r="G887" s="162"/>
    </row>
    <row r="888" spans="2:7" ht="16.5" customHeight="1">
      <c r="B888" s="162"/>
      <c r="E888" s="162"/>
      <c r="F888" s="162"/>
      <c r="G888" s="162"/>
    </row>
    <row r="889" spans="2:7" ht="16.5" customHeight="1">
      <c r="B889" s="162"/>
      <c r="E889" s="162"/>
      <c r="F889" s="162"/>
      <c r="G889" s="162"/>
    </row>
    <row r="890" spans="2:7" ht="16.5" customHeight="1">
      <c r="B890" s="162"/>
      <c r="E890" s="162"/>
      <c r="F890" s="162"/>
      <c r="G890" s="162"/>
    </row>
    <row r="891" spans="2:7" ht="16.5" customHeight="1">
      <c r="B891" s="162"/>
      <c r="E891" s="162"/>
      <c r="F891" s="162"/>
      <c r="G891" s="162"/>
    </row>
    <row r="892" spans="2:7" ht="16.5" customHeight="1">
      <c r="B892" s="162"/>
      <c r="E892" s="162"/>
      <c r="F892" s="162"/>
      <c r="G892" s="162"/>
    </row>
    <row r="893" spans="2:7" ht="16.5" customHeight="1">
      <c r="B893" s="162"/>
      <c r="E893" s="162"/>
      <c r="F893" s="162"/>
      <c r="G893" s="162"/>
    </row>
    <row r="894" spans="2:7" ht="16.5" customHeight="1">
      <c r="B894" s="162"/>
      <c r="E894" s="162"/>
      <c r="F894" s="162"/>
      <c r="G894" s="162"/>
    </row>
    <row r="895" spans="2:7" ht="16.5" customHeight="1">
      <c r="B895" s="162"/>
      <c r="E895" s="162"/>
      <c r="F895" s="162"/>
      <c r="G895" s="162"/>
    </row>
    <row r="896" spans="2:7" ht="16.5" customHeight="1">
      <c r="B896" s="162"/>
      <c r="E896" s="162"/>
      <c r="F896" s="162"/>
      <c r="G896" s="162"/>
    </row>
    <row r="897" spans="2:7" ht="16.5" customHeight="1">
      <c r="B897" s="162"/>
      <c r="E897" s="162"/>
      <c r="F897" s="162"/>
      <c r="G897" s="162"/>
    </row>
    <row r="898" spans="2:7" ht="16.5" customHeight="1">
      <c r="B898" s="162"/>
      <c r="E898" s="162"/>
      <c r="F898" s="162"/>
      <c r="G898" s="162"/>
    </row>
    <row r="899" spans="2:7" ht="16.5" customHeight="1">
      <c r="B899" s="162"/>
      <c r="E899" s="162"/>
      <c r="F899" s="162"/>
      <c r="G899" s="162"/>
    </row>
    <row r="900" spans="2:7" ht="16.5" customHeight="1">
      <c r="B900" s="162"/>
      <c r="E900" s="162"/>
      <c r="F900" s="162"/>
      <c r="G900" s="162"/>
    </row>
    <row r="901" spans="2:7" ht="16.5" customHeight="1">
      <c r="B901" s="162"/>
      <c r="E901" s="162"/>
      <c r="F901" s="162"/>
      <c r="G901" s="162"/>
    </row>
    <row r="902" spans="2:7" ht="16.5" customHeight="1">
      <c r="B902" s="162"/>
      <c r="E902" s="162"/>
      <c r="F902" s="162"/>
      <c r="G902" s="162"/>
    </row>
    <row r="903" spans="2:7" ht="16.5" customHeight="1">
      <c r="B903" s="162"/>
      <c r="E903" s="162"/>
      <c r="F903" s="162"/>
      <c r="G903" s="162"/>
    </row>
    <row r="904" spans="2:7" ht="16.5" customHeight="1">
      <c r="B904" s="162"/>
      <c r="E904" s="162"/>
      <c r="F904" s="162"/>
      <c r="G904" s="162"/>
    </row>
    <row r="905" spans="2:7" ht="16.5" customHeight="1">
      <c r="B905" s="162"/>
      <c r="E905" s="162"/>
      <c r="F905" s="162"/>
      <c r="G905" s="162"/>
    </row>
    <row r="906" spans="2:7" ht="16.5" customHeight="1">
      <c r="B906" s="162"/>
      <c r="E906" s="162"/>
      <c r="F906" s="162"/>
      <c r="G906" s="162"/>
    </row>
    <row r="907" spans="2:7" ht="16.5" customHeight="1">
      <c r="B907" s="162"/>
      <c r="E907" s="162"/>
      <c r="F907" s="162"/>
      <c r="G907" s="162"/>
    </row>
    <row r="908" spans="2:7" ht="16.5" customHeight="1">
      <c r="B908" s="162"/>
      <c r="E908" s="162"/>
      <c r="F908" s="162"/>
      <c r="G908" s="162"/>
    </row>
    <row r="909" spans="2:7" ht="16.5" customHeight="1">
      <c r="B909" s="162"/>
      <c r="E909" s="162"/>
      <c r="F909" s="162"/>
      <c r="G909" s="162"/>
    </row>
    <row r="910" spans="2:7" ht="16.5" customHeight="1">
      <c r="B910" s="162"/>
      <c r="E910" s="162"/>
      <c r="F910" s="162"/>
      <c r="G910" s="162"/>
    </row>
    <row r="911" spans="2:7" ht="16.5" customHeight="1">
      <c r="B911" s="162"/>
      <c r="E911" s="162"/>
      <c r="F911" s="162"/>
      <c r="G911" s="162"/>
    </row>
    <row r="912" spans="2:7" ht="16.5" customHeight="1">
      <c r="B912" s="162"/>
      <c r="E912" s="162"/>
      <c r="F912" s="162"/>
      <c r="G912" s="162"/>
    </row>
    <row r="913" spans="2:7" ht="16.5" customHeight="1">
      <c r="B913" s="162"/>
      <c r="E913" s="162"/>
      <c r="F913" s="162"/>
      <c r="G913" s="162"/>
    </row>
    <row r="914" spans="2:7" ht="16.5" customHeight="1">
      <c r="B914" s="162"/>
      <c r="E914" s="162"/>
      <c r="F914" s="162"/>
      <c r="G914" s="162"/>
    </row>
    <row r="915" spans="2:7" ht="16.5" customHeight="1">
      <c r="B915" s="162"/>
      <c r="E915" s="162"/>
      <c r="F915" s="162"/>
      <c r="G915" s="162"/>
    </row>
    <row r="916" spans="2:7" ht="16.5" customHeight="1">
      <c r="B916" s="162"/>
      <c r="E916" s="162"/>
      <c r="F916" s="162"/>
      <c r="G916" s="162"/>
    </row>
    <row r="917" spans="2:7" ht="16.5" customHeight="1">
      <c r="B917" s="162"/>
      <c r="E917" s="162"/>
      <c r="F917" s="162"/>
      <c r="G917" s="162"/>
    </row>
    <row r="918" spans="2:7" ht="16.5" customHeight="1">
      <c r="B918" s="162"/>
      <c r="E918" s="162"/>
      <c r="F918" s="162"/>
      <c r="G918" s="162"/>
    </row>
    <row r="919" spans="2:7" ht="16.5" customHeight="1">
      <c r="B919" s="162"/>
      <c r="E919" s="162"/>
      <c r="F919" s="162"/>
      <c r="G919" s="162"/>
    </row>
    <row r="920" spans="2:7" ht="16.5" customHeight="1">
      <c r="B920" s="162"/>
      <c r="E920" s="162"/>
      <c r="F920" s="162"/>
      <c r="G920" s="162"/>
    </row>
    <row r="921" spans="2:7" ht="16.5" customHeight="1">
      <c r="B921" s="162"/>
      <c r="E921" s="162"/>
      <c r="F921" s="162"/>
      <c r="G921" s="162"/>
    </row>
    <row r="922" spans="2:7" ht="16.5" customHeight="1">
      <c r="B922" s="162"/>
      <c r="E922" s="162"/>
      <c r="F922" s="162"/>
      <c r="G922" s="162"/>
    </row>
    <row r="923" spans="2:7" ht="16.5" customHeight="1">
      <c r="B923" s="162"/>
      <c r="E923" s="162"/>
      <c r="F923" s="162"/>
      <c r="G923" s="162"/>
    </row>
    <row r="924" spans="2:7" ht="16.5" customHeight="1">
      <c r="B924" s="162"/>
      <c r="E924" s="162"/>
      <c r="F924" s="162"/>
      <c r="G924" s="162"/>
    </row>
    <row r="925" spans="2:7" ht="16.5" customHeight="1">
      <c r="B925" s="162"/>
      <c r="E925" s="162"/>
      <c r="F925" s="162"/>
      <c r="G925" s="162"/>
    </row>
    <row r="926" spans="2:7" ht="16.5" customHeight="1">
      <c r="B926" s="162"/>
      <c r="E926" s="162"/>
      <c r="F926" s="162"/>
      <c r="G926" s="162"/>
    </row>
    <row r="927" spans="2:7" ht="16.5" customHeight="1">
      <c r="B927" s="162"/>
      <c r="E927" s="162"/>
      <c r="F927" s="162"/>
      <c r="G927" s="162"/>
    </row>
    <row r="928" spans="2:7" ht="16.5" customHeight="1">
      <c r="B928" s="162"/>
      <c r="E928" s="162"/>
      <c r="F928" s="162"/>
      <c r="G928" s="162"/>
    </row>
    <row r="929" spans="2:7" ht="16.5" customHeight="1">
      <c r="B929" s="162"/>
      <c r="E929" s="162"/>
      <c r="F929" s="162"/>
      <c r="G929" s="162"/>
    </row>
    <row r="930" spans="2:7" ht="16.5" customHeight="1">
      <c r="B930" s="162"/>
      <c r="E930" s="162"/>
      <c r="F930" s="162"/>
      <c r="G930" s="162"/>
    </row>
    <row r="931" spans="2:7" ht="16.5" customHeight="1">
      <c r="B931" s="162"/>
      <c r="E931" s="162"/>
      <c r="F931" s="162"/>
      <c r="G931" s="162"/>
    </row>
    <row r="932" spans="2:7" ht="16.5" customHeight="1">
      <c r="B932" s="162"/>
      <c r="E932" s="162"/>
      <c r="F932" s="162"/>
      <c r="G932" s="162"/>
    </row>
    <row r="933" spans="2:7" ht="16.5" customHeight="1">
      <c r="B933" s="162"/>
      <c r="E933" s="162"/>
      <c r="F933" s="162"/>
      <c r="G933" s="162"/>
    </row>
    <row r="934" spans="2:7" ht="16.5" customHeight="1">
      <c r="B934" s="162"/>
      <c r="E934" s="162"/>
      <c r="F934" s="162"/>
      <c r="G934" s="162"/>
    </row>
    <row r="935" spans="2:7" ht="16.5" customHeight="1">
      <c r="B935" s="162"/>
      <c r="E935" s="162"/>
      <c r="F935" s="162"/>
      <c r="G935" s="162"/>
    </row>
    <row r="936" spans="2:7" ht="16.5" customHeight="1">
      <c r="B936" s="162"/>
      <c r="E936" s="162"/>
      <c r="F936" s="162"/>
      <c r="G936" s="162"/>
    </row>
    <row r="937" spans="2:7" ht="16.5" customHeight="1">
      <c r="B937" s="162"/>
      <c r="E937" s="162"/>
      <c r="F937" s="162"/>
      <c r="G937" s="162"/>
    </row>
    <row r="938" spans="2:7" ht="16.5" customHeight="1">
      <c r="B938" s="162"/>
      <c r="E938" s="162"/>
      <c r="F938" s="162"/>
      <c r="G938" s="162"/>
    </row>
    <row r="939" spans="2:7" ht="16.5" customHeight="1">
      <c r="B939" s="162"/>
      <c r="E939" s="162"/>
      <c r="F939" s="162"/>
      <c r="G939" s="162"/>
    </row>
    <row r="940" spans="2:7" ht="16.5" customHeight="1">
      <c r="B940" s="162"/>
      <c r="E940" s="162"/>
      <c r="F940" s="162"/>
      <c r="G940" s="162"/>
    </row>
    <row r="941" spans="2:7" ht="16.5" customHeight="1">
      <c r="B941" s="162"/>
      <c r="E941" s="162"/>
      <c r="F941" s="162"/>
      <c r="G941" s="162"/>
    </row>
    <row r="942" spans="2:7" ht="16.5" customHeight="1">
      <c r="B942" s="162"/>
      <c r="E942" s="162"/>
      <c r="F942" s="162"/>
      <c r="G942" s="162"/>
    </row>
    <row r="943" spans="2:7" ht="16.5" customHeight="1">
      <c r="B943" s="162"/>
      <c r="E943" s="162"/>
      <c r="F943" s="162"/>
      <c r="G943" s="162"/>
    </row>
    <row r="944" spans="2:7" ht="16.5" customHeight="1">
      <c r="B944" s="162"/>
      <c r="E944" s="162"/>
      <c r="F944" s="162"/>
      <c r="G944" s="162"/>
    </row>
    <row r="945" spans="2:7" ht="16.5" customHeight="1">
      <c r="B945" s="162"/>
      <c r="E945" s="162"/>
      <c r="F945" s="162"/>
      <c r="G945" s="162"/>
    </row>
    <row r="946" spans="2:7" ht="16.5" customHeight="1">
      <c r="B946" s="162"/>
      <c r="E946" s="162"/>
      <c r="F946" s="162"/>
      <c r="G946" s="162"/>
    </row>
    <row r="947" spans="2:7" ht="16.5" customHeight="1">
      <c r="B947" s="162"/>
      <c r="E947" s="162"/>
      <c r="F947" s="162"/>
      <c r="G947" s="162"/>
    </row>
    <row r="948" spans="2:7" ht="16.5" customHeight="1">
      <c r="B948" s="162"/>
      <c r="E948" s="162"/>
      <c r="F948" s="162"/>
      <c r="G948" s="162"/>
    </row>
    <row r="949" spans="2:7" ht="16.5" customHeight="1">
      <c r="B949" s="162"/>
      <c r="E949" s="162"/>
      <c r="F949" s="162"/>
      <c r="G949" s="162"/>
    </row>
    <row r="950" spans="2:7" ht="16.5" customHeight="1">
      <c r="B950" s="162"/>
      <c r="E950" s="162"/>
      <c r="F950" s="162"/>
      <c r="G950" s="162"/>
    </row>
    <row r="951" spans="2:7" ht="16.5" customHeight="1">
      <c r="B951" s="162"/>
      <c r="E951" s="162"/>
      <c r="F951" s="162"/>
      <c r="G951" s="162"/>
    </row>
    <row r="952" spans="2:7" ht="16.5" customHeight="1">
      <c r="B952" s="162"/>
      <c r="E952" s="162"/>
      <c r="F952" s="162"/>
      <c r="G952" s="162"/>
    </row>
    <row r="953" spans="2:7" ht="16.5" customHeight="1">
      <c r="B953" s="162"/>
      <c r="E953" s="162"/>
      <c r="F953" s="162"/>
      <c r="G953" s="162"/>
    </row>
    <row r="954" spans="2:7" ht="16.5" customHeight="1">
      <c r="B954" s="162"/>
      <c r="E954" s="162"/>
      <c r="F954" s="162"/>
      <c r="G954" s="162"/>
    </row>
    <row r="955" spans="2:7" ht="16.5" customHeight="1">
      <c r="B955" s="162"/>
      <c r="E955" s="162"/>
      <c r="F955" s="162"/>
      <c r="G955" s="162"/>
    </row>
    <row r="956" spans="2:7" ht="16.5" customHeight="1">
      <c r="B956" s="162"/>
      <c r="E956" s="162"/>
      <c r="F956" s="162"/>
      <c r="G956" s="162"/>
    </row>
    <row r="957" spans="2:7" ht="16.5" customHeight="1">
      <c r="B957" s="162"/>
      <c r="E957" s="162"/>
      <c r="F957" s="162"/>
      <c r="G957" s="162"/>
    </row>
    <row r="958" spans="2:7" ht="16.5" customHeight="1">
      <c r="B958" s="162"/>
      <c r="E958" s="162"/>
      <c r="F958" s="162"/>
      <c r="G958" s="162"/>
    </row>
    <row r="959" spans="2:7" ht="16.5" customHeight="1">
      <c r="B959" s="162"/>
      <c r="E959" s="162"/>
      <c r="F959" s="162"/>
      <c r="G959" s="162"/>
    </row>
    <row r="960" spans="2:7" ht="16.5" customHeight="1">
      <c r="B960" s="162"/>
      <c r="E960" s="162"/>
      <c r="F960" s="162"/>
      <c r="G960" s="162"/>
    </row>
    <row r="961" spans="2:7" ht="16.5" customHeight="1">
      <c r="B961" s="162"/>
      <c r="E961" s="162"/>
      <c r="F961" s="162"/>
      <c r="G961" s="162"/>
    </row>
    <row r="962" spans="2:7" ht="16.5" customHeight="1">
      <c r="B962" s="162"/>
      <c r="E962" s="162"/>
      <c r="F962" s="162"/>
      <c r="G962" s="162"/>
    </row>
    <row r="963" spans="2:7" ht="16.5" customHeight="1">
      <c r="B963" s="162"/>
      <c r="E963" s="162"/>
      <c r="F963" s="162"/>
      <c r="G963" s="162"/>
    </row>
    <row r="964" spans="2:7" ht="16.5" customHeight="1">
      <c r="B964" s="162"/>
      <c r="E964" s="162"/>
      <c r="F964" s="162"/>
      <c r="G964" s="162"/>
    </row>
    <row r="965" spans="2:7" ht="16.5" customHeight="1">
      <c r="B965" s="162"/>
      <c r="E965" s="162"/>
      <c r="F965" s="162"/>
      <c r="G965" s="162"/>
    </row>
    <row r="966" spans="2:7" ht="16.5" customHeight="1">
      <c r="B966" s="162"/>
      <c r="E966" s="162"/>
      <c r="F966" s="162"/>
      <c r="G966" s="162"/>
    </row>
    <row r="967" spans="2:7" ht="16.5" customHeight="1">
      <c r="B967" s="162"/>
      <c r="E967" s="162"/>
      <c r="F967" s="162"/>
      <c r="G967" s="162"/>
    </row>
    <row r="968" spans="2:7" ht="16.5" customHeight="1">
      <c r="B968" s="162"/>
      <c r="E968" s="162"/>
      <c r="F968" s="162"/>
      <c r="G968" s="162"/>
    </row>
    <row r="969" spans="2:7" ht="16.5" customHeight="1">
      <c r="B969" s="162"/>
      <c r="E969" s="162"/>
      <c r="F969" s="162"/>
      <c r="G969" s="162"/>
    </row>
    <row r="970" spans="2:7" ht="16.5" customHeight="1">
      <c r="B970" s="162"/>
      <c r="E970" s="162"/>
      <c r="F970" s="162"/>
      <c r="G970" s="162"/>
    </row>
    <row r="971" spans="2:7" ht="16.5" customHeight="1">
      <c r="B971" s="162"/>
      <c r="E971" s="162"/>
      <c r="F971" s="162"/>
      <c r="G971" s="162"/>
    </row>
    <row r="972" spans="2:7" ht="16.5" customHeight="1">
      <c r="B972" s="162"/>
      <c r="E972" s="162"/>
      <c r="F972" s="162"/>
      <c r="G972" s="162"/>
    </row>
    <row r="973" spans="2:7" ht="16.5" customHeight="1">
      <c r="B973" s="162"/>
      <c r="E973" s="162"/>
      <c r="F973" s="162"/>
      <c r="G973" s="162"/>
    </row>
    <row r="974" spans="2:7" ht="16.5" customHeight="1">
      <c r="B974" s="162"/>
      <c r="E974" s="162"/>
      <c r="F974" s="162"/>
      <c r="G974" s="162"/>
    </row>
    <row r="975" spans="2:7" ht="16.5" customHeight="1">
      <c r="B975" s="162"/>
      <c r="E975" s="162"/>
      <c r="F975" s="162"/>
      <c r="G975" s="162"/>
    </row>
    <row r="976" spans="2:7" ht="16.5" customHeight="1">
      <c r="B976" s="162"/>
      <c r="E976" s="162"/>
      <c r="F976" s="162"/>
      <c r="G976" s="162"/>
    </row>
    <row r="977" spans="2:7" ht="16.5" customHeight="1">
      <c r="B977" s="162"/>
      <c r="E977" s="162"/>
      <c r="F977" s="162"/>
      <c r="G977" s="162"/>
    </row>
    <row r="978" spans="2:7" ht="16.5" customHeight="1">
      <c r="B978" s="162"/>
      <c r="E978" s="162"/>
      <c r="F978" s="162"/>
      <c r="G978" s="162"/>
    </row>
    <row r="979" spans="2:7" ht="16.5" customHeight="1">
      <c r="B979" s="162"/>
      <c r="E979" s="162"/>
      <c r="F979" s="162"/>
      <c r="G979" s="162"/>
    </row>
    <row r="980" spans="2:7" ht="16.5" customHeight="1">
      <c r="B980" s="162"/>
      <c r="E980" s="162"/>
      <c r="F980" s="162"/>
      <c r="G980" s="162"/>
    </row>
    <row r="981" spans="2:7" ht="16.5" customHeight="1">
      <c r="B981" s="162"/>
      <c r="E981" s="162"/>
      <c r="F981" s="162"/>
      <c r="G981" s="162"/>
    </row>
    <row r="982" spans="2:7" ht="16.5" customHeight="1">
      <c r="B982" s="162"/>
      <c r="E982" s="162"/>
      <c r="F982" s="162"/>
      <c r="G982" s="162"/>
    </row>
    <row r="983" spans="2:7" ht="16.5" customHeight="1">
      <c r="B983" s="162"/>
      <c r="E983" s="162"/>
      <c r="F983" s="162"/>
      <c r="G983" s="162"/>
    </row>
    <row r="984" spans="2:7" ht="16.5" customHeight="1">
      <c r="B984" s="162"/>
      <c r="E984" s="162"/>
      <c r="F984" s="162"/>
      <c r="G984" s="162"/>
    </row>
    <row r="985" spans="2:7" ht="16.5" customHeight="1">
      <c r="B985" s="162"/>
      <c r="E985" s="162"/>
      <c r="F985" s="162"/>
      <c r="G985" s="162"/>
    </row>
    <row r="986" spans="2:7" ht="16.5" customHeight="1">
      <c r="B986" s="162"/>
      <c r="E986" s="162"/>
      <c r="F986" s="162"/>
      <c r="G986" s="162"/>
    </row>
    <row r="987" spans="2:7" ht="16.5" customHeight="1">
      <c r="B987" s="162"/>
      <c r="E987" s="162"/>
      <c r="F987" s="162"/>
      <c r="G987" s="162"/>
    </row>
    <row r="988" spans="2:7" ht="16.5" customHeight="1">
      <c r="B988" s="162"/>
      <c r="E988" s="162"/>
      <c r="F988" s="162"/>
      <c r="G988" s="162"/>
    </row>
    <row r="989" spans="2:7" ht="16.5" customHeight="1">
      <c r="B989" s="162"/>
      <c r="E989" s="162"/>
      <c r="F989" s="162"/>
      <c r="G989" s="162"/>
    </row>
    <row r="990" spans="2:7" ht="16.5" customHeight="1">
      <c r="B990" s="162"/>
      <c r="E990" s="162"/>
      <c r="F990" s="162"/>
      <c r="G990" s="162"/>
    </row>
    <row r="991" spans="2:7" ht="16.5" customHeight="1">
      <c r="B991" s="162"/>
      <c r="E991" s="162"/>
      <c r="F991" s="162"/>
      <c r="G991" s="162"/>
    </row>
    <row r="992" spans="2:7" ht="16.5" customHeight="1">
      <c r="B992" s="162"/>
      <c r="E992" s="162"/>
      <c r="F992" s="162"/>
      <c r="G992" s="162"/>
    </row>
    <row r="993" spans="2:7" ht="16.5" customHeight="1">
      <c r="B993" s="162"/>
      <c r="E993" s="162"/>
      <c r="F993" s="162"/>
      <c r="G993" s="162"/>
    </row>
    <row r="994" spans="2:7" ht="16.5" customHeight="1">
      <c r="B994" s="162"/>
      <c r="E994" s="162"/>
      <c r="F994" s="162"/>
      <c r="G994" s="162"/>
    </row>
    <row r="995" spans="2:7" ht="16.5" customHeight="1">
      <c r="B995" s="162"/>
      <c r="E995" s="162"/>
      <c r="F995" s="162"/>
      <c r="G995" s="162"/>
    </row>
    <row r="996" spans="2:7" ht="16.5" customHeight="1">
      <c r="B996" s="162"/>
      <c r="E996" s="162"/>
      <c r="F996" s="162"/>
      <c r="G996" s="162"/>
    </row>
    <row r="997" spans="2:7" ht="16.5" customHeight="1">
      <c r="B997" s="162"/>
      <c r="E997" s="162"/>
      <c r="F997" s="162"/>
      <c r="G997" s="162"/>
    </row>
    <row r="998" spans="2:7" ht="16.5" customHeight="1">
      <c r="B998" s="162"/>
      <c r="E998" s="162"/>
      <c r="F998" s="162"/>
      <c r="G998" s="162"/>
    </row>
    <row r="999" spans="2:7" ht="16.5" customHeight="1">
      <c r="B999" s="162"/>
      <c r="E999" s="162"/>
      <c r="F999" s="162"/>
      <c r="G999" s="162"/>
    </row>
    <row r="1000" spans="2:7" ht="16.5" customHeight="1">
      <c r="B1000" s="162"/>
      <c r="E1000" s="162"/>
      <c r="F1000" s="162"/>
      <c r="G1000" s="162"/>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BF9E8-8433-438B-9ADB-E3114D926E56}">
  <dimension ref="A1:AF123"/>
  <sheetViews>
    <sheetView topLeftCell="A53" workbookViewId="0">
      <selection activeCell="D59" sqref="D59"/>
    </sheetView>
  </sheetViews>
  <sheetFormatPr defaultColWidth="3.25" defaultRowHeight="18.75"/>
  <cols>
    <col min="29" max="32" width="3.25" style="20"/>
  </cols>
  <sheetData>
    <row r="1" spans="1:28">
      <c r="A1" s="251" t="s">
        <v>0</v>
      </c>
      <c r="B1" s="251"/>
      <c r="C1" s="251"/>
      <c r="D1" s="251"/>
      <c r="E1" s="251"/>
      <c r="F1" s="251"/>
      <c r="G1" s="251"/>
      <c r="H1" s="251" t="s">
        <v>36</v>
      </c>
      <c r="I1" s="251"/>
      <c r="J1" s="251"/>
      <c r="K1" s="251"/>
      <c r="L1" s="251"/>
      <c r="M1" s="251"/>
      <c r="N1" s="251"/>
      <c r="O1" s="251"/>
      <c r="P1" s="251"/>
      <c r="Q1" s="251"/>
      <c r="R1" s="251"/>
      <c r="S1" s="251"/>
      <c r="T1" s="251"/>
      <c r="U1" s="251"/>
      <c r="V1" s="251"/>
      <c r="W1" s="251"/>
      <c r="X1" s="251"/>
      <c r="Y1" s="251"/>
      <c r="Z1" s="251"/>
      <c r="AA1" s="251"/>
    </row>
    <row r="2" spans="1:28">
      <c r="A2" s="251"/>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row>
    <row r="3" spans="1:28">
      <c r="A3" s="252" t="s">
        <v>1</v>
      </c>
      <c r="B3" s="252"/>
      <c r="C3" s="252"/>
      <c r="D3" s="252"/>
      <c r="E3" s="252"/>
      <c r="F3" s="252"/>
      <c r="G3" s="252"/>
      <c r="H3" s="252" t="s">
        <v>37</v>
      </c>
      <c r="I3" s="252"/>
      <c r="J3" s="252"/>
      <c r="K3" s="252"/>
      <c r="L3" s="252"/>
      <c r="M3" s="252"/>
      <c r="N3" s="252"/>
      <c r="O3" s="252"/>
      <c r="P3" s="252"/>
      <c r="Q3" s="252"/>
      <c r="R3" s="252"/>
      <c r="S3" s="252"/>
      <c r="T3" s="252"/>
      <c r="U3" s="252"/>
      <c r="V3" s="252"/>
      <c r="W3" s="252"/>
      <c r="X3" s="252"/>
      <c r="Y3" s="252"/>
      <c r="Z3" s="252"/>
      <c r="AA3" s="252"/>
    </row>
    <row r="4" spans="1:28">
      <c r="A4" s="252"/>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row>
    <row r="5" spans="1:28">
      <c r="A5" s="253" t="s">
        <v>2</v>
      </c>
      <c r="B5" s="253"/>
      <c r="C5" s="253"/>
      <c r="D5" s="254" t="s">
        <v>73</v>
      </c>
      <c r="E5" s="253"/>
      <c r="F5" s="253"/>
      <c r="G5" s="253"/>
      <c r="H5" s="253" t="s">
        <v>3</v>
      </c>
      <c r="I5" s="253"/>
      <c r="J5" s="253"/>
      <c r="K5" s="255">
        <v>45749</v>
      </c>
      <c r="L5" s="253"/>
      <c r="M5" s="253"/>
      <c r="N5" s="253"/>
      <c r="O5" s="253" t="s">
        <v>4</v>
      </c>
      <c r="P5" s="253"/>
      <c r="Q5" s="253"/>
      <c r="R5" s="253"/>
      <c r="S5" s="253"/>
      <c r="T5" s="253"/>
      <c r="U5" s="253"/>
      <c r="V5" s="253" t="s">
        <v>5</v>
      </c>
      <c r="W5" s="253"/>
      <c r="X5" s="253"/>
      <c r="Y5" s="253"/>
      <c r="Z5" s="253"/>
      <c r="AA5" s="253"/>
      <c r="AB5" s="1"/>
    </row>
    <row r="6" spans="1:28">
      <c r="A6" s="2"/>
      <c r="AA6" s="3"/>
    </row>
    <row r="7" spans="1:28">
      <c r="A7" s="2"/>
      <c r="B7" t="s">
        <v>6</v>
      </c>
      <c r="AA7" s="3"/>
    </row>
    <row r="8" spans="1:28">
      <c r="A8" s="2"/>
      <c r="B8" s="4" t="s">
        <v>7</v>
      </c>
      <c r="C8" s="258" t="s">
        <v>8</v>
      </c>
      <c r="D8" s="259"/>
      <c r="E8" s="259"/>
      <c r="F8" s="260"/>
      <c r="G8" s="261" t="s">
        <v>9</v>
      </c>
      <c r="H8" s="261"/>
      <c r="I8" s="261"/>
      <c r="J8" s="261"/>
      <c r="K8" s="4"/>
      <c r="L8" s="4" t="s">
        <v>10</v>
      </c>
      <c r="M8" s="4"/>
      <c r="N8" s="262" t="s">
        <v>11</v>
      </c>
      <c r="O8" s="263"/>
      <c r="P8" s="264"/>
      <c r="Q8" s="261" t="s">
        <v>12</v>
      </c>
      <c r="R8" s="261"/>
      <c r="S8" s="261" t="s">
        <v>13</v>
      </c>
      <c r="T8" s="261"/>
      <c r="U8" s="261"/>
      <c r="V8" s="261"/>
      <c r="W8" s="261"/>
      <c r="X8" s="261"/>
      <c r="Y8" s="261"/>
      <c r="Z8" s="261"/>
      <c r="AA8" s="3"/>
    </row>
    <row r="9" spans="1:28" ht="80.099999999999994" customHeight="1">
      <c r="A9" s="2"/>
      <c r="B9" s="4">
        <v>1</v>
      </c>
      <c r="C9" s="258"/>
      <c r="D9" s="259"/>
      <c r="E9" s="259"/>
      <c r="F9" s="260"/>
      <c r="G9" s="261"/>
      <c r="H9" s="261"/>
      <c r="I9" s="261"/>
      <c r="J9" s="261"/>
      <c r="K9" s="261"/>
      <c r="L9" s="261"/>
      <c r="M9" s="261"/>
      <c r="N9" s="265"/>
      <c r="O9" s="265"/>
      <c r="P9" s="265"/>
      <c r="Q9" s="261"/>
      <c r="R9" s="261"/>
      <c r="S9" s="256"/>
      <c r="T9" s="257"/>
      <c r="U9" s="257"/>
      <c r="V9" s="257"/>
      <c r="W9" s="257"/>
      <c r="X9" s="257"/>
      <c r="Y9" s="257"/>
      <c r="Z9" s="257"/>
      <c r="AA9" s="3"/>
    </row>
    <row r="10" spans="1:28" hidden="1">
      <c r="A10" s="2"/>
      <c r="B10" s="261">
        <v>3</v>
      </c>
      <c r="C10" s="261"/>
      <c r="D10" s="261"/>
      <c r="E10" s="261"/>
      <c r="F10" s="261"/>
      <c r="G10" s="261"/>
      <c r="H10" s="261"/>
      <c r="I10" s="261"/>
      <c r="J10" s="261"/>
      <c r="K10" s="261"/>
      <c r="L10" s="261"/>
      <c r="M10" s="261"/>
      <c r="N10" s="261"/>
      <c r="O10" s="261"/>
      <c r="P10" s="261"/>
      <c r="Q10" s="261"/>
      <c r="R10" s="261"/>
      <c r="S10" s="261"/>
      <c r="T10" s="261"/>
      <c r="U10" s="261"/>
      <c r="V10" s="261"/>
      <c r="W10" s="261"/>
      <c r="X10" s="261"/>
      <c r="Y10" s="261"/>
      <c r="Z10" s="261"/>
      <c r="AA10" s="3"/>
    </row>
    <row r="11" spans="1:28" hidden="1">
      <c r="A11" s="2"/>
      <c r="B11" s="261">
        <v>4</v>
      </c>
      <c r="C11" s="261"/>
      <c r="D11" s="261"/>
      <c r="E11" s="261"/>
      <c r="F11" s="261"/>
      <c r="G11" s="261"/>
      <c r="H11" s="261"/>
      <c r="I11" s="261"/>
      <c r="J11" s="261"/>
      <c r="K11" s="261"/>
      <c r="L11" s="261"/>
      <c r="M11" s="261"/>
      <c r="N11" s="261"/>
      <c r="O11" s="261"/>
      <c r="P11" s="261"/>
      <c r="Q11" s="261"/>
      <c r="R11" s="261"/>
      <c r="S11" s="261"/>
      <c r="T11" s="261"/>
      <c r="U11" s="261"/>
      <c r="V11" s="261"/>
      <c r="W11" s="261"/>
      <c r="X11" s="261"/>
      <c r="Y11" s="261"/>
      <c r="Z11" s="261"/>
      <c r="AA11" s="3"/>
    </row>
    <row r="12" spans="1:28" hidden="1">
      <c r="A12" s="2"/>
      <c r="B12" s="261">
        <v>5</v>
      </c>
      <c r="C12" s="261"/>
      <c r="D12" s="261"/>
      <c r="E12" s="261"/>
      <c r="F12" s="261"/>
      <c r="G12" s="261"/>
      <c r="H12" s="261"/>
      <c r="I12" s="261"/>
      <c r="J12" s="261"/>
      <c r="K12" s="261"/>
      <c r="L12" s="261"/>
      <c r="M12" s="261"/>
      <c r="N12" s="261"/>
      <c r="O12" s="261"/>
      <c r="P12" s="261"/>
      <c r="Q12" s="261"/>
      <c r="R12" s="261"/>
      <c r="S12" s="261"/>
      <c r="T12" s="261"/>
      <c r="U12" s="261"/>
      <c r="V12" s="261"/>
      <c r="W12" s="261"/>
      <c r="X12" s="261"/>
      <c r="Y12" s="261"/>
      <c r="Z12" s="261"/>
      <c r="AA12" s="3"/>
    </row>
    <row r="13" spans="1:28" hidden="1">
      <c r="A13" s="2"/>
      <c r="B13" s="261">
        <v>6</v>
      </c>
      <c r="C13" s="261"/>
      <c r="D13" s="261"/>
      <c r="E13" s="261"/>
      <c r="F13" s="261"/>
      <c r="G13" s="261"/>
      <c r="H13" s="261"/>
      <c r="I13" s="261"/>
      <c r="J13" s="261"/>
      <c r="K13" s="261"/>
      <c r="L13" s="261"/>
      <c r="M13" s="261"/>
      <c r="N13" s="261"/>
      <c r="O13" s="261"/>
      <c r="P13" s="261"/>
      <c r="Q13" s="261"/>
      <c r="R13" s="261"/>
      <c r="S13" s="261"/>
      <c r="T13" s="261"/>
      <c r="U13" s="261"/>
      <c r="V13" s="261"/>
      <c r="W13" s="261"/>
      <c r="X13" s="261"/>
      <c r="Y13" s="261"/>
      <c r="Z13" s="261"/>
      <c r="AA13" s="3"/>
    </row>
    <row r="14" spans="1:28" hidden="1">
      <c r="A14" s="2"/>
      <c r="B14" s="261">
        <v>7</v>
      </c>
      <c r="C14" s="261"/>
      <c r="D14" s="261"/>
      <c r="E14" s="261"/>
      <c r="F14" s="261"/>
      <c r="G14" s="261"/>
      <c r="H14" s="261"/>
      <c r="I14" s="261"/>
      <c r="J14" s="261"/>
      <c r="K14" s="261"/>
      <c r="L14" s="261"/>
      <c r="M14" s="261"/>
      <c r="N14" s="261"/>
      <c r="O14" s="261"/>
      <c r="P14" s="261"/>
      <c r="Q14" s="261"/>
      <c r="R14" s="261"/>
      <c r="S14" s="261"/>
      <c r="T14" s="261"/>
      <c r="U14" s="261"/>
      <c r="V14" s="261"/>
      <c r="W14" s="261"/>
      <c r="X14" s="261"/>
      <c r="Y14" s="261"/>
      <c r="Z14" s="261"/>
      <c r="AA14" s="3"/>
    </row>
    <row r="15" spans="1:28" hidden="1">
      <c r="A15" s="2"/>
      <c r="B15" s="261">
        <v>8</v>
      </c>
      <c r="C15" s="261"/>
      <c r="D15" s="261"/>
      <c r="E15" s="261"/>
      <c r="F15" s="261"/>
      <c r="G15" s="261"/>
      <c r="H15" s="261"/>
      <c r="I15" s="261"/>
      <c r="J15" s="261"/>
      <c r="K15" s="261"/>
      <c r="L15" s="261"/>
      <c r="M15" s="261"/>
      <c r="N15" s="261"/>
      <c r="O15" s="261"/>
      <c r="P15" s="261"/>
      <c r="Q15" s="261"/>
      <c r="R15" s="261"/>
      <c r="S15" s="261"/>
      <c r="T15" s="261"/>
      <c r="U15" s="261"/>
      <c r="V15" s="261"/>
      <c r="W15" s="261"/>
      <c r="X15" s="261"/>
      <c r="Y15" s="261"/>
      <c r="Z15" s="261"/>
      <c r="AA15" s="3"/>
    </row>
    <row r="16" spans="1:28" hidden="1">
      <c r="A16" s="2"/>
      <c r="B16" s="261">
        <v>9</v>
      </c>
      <c r="C16" s="261"/>
      <c r="D16" s="261"/>
      <c r="E16" s="261"/>
      <c r="F16" s="261"/>
      <c r="G16" s="261"/>
      <c r="H16" s="261"/>
      <c r="I16" s="261"/>
      <c r="J16" s="261"/>
      <c r="K16" s="261"/>
      <c r="L16" s="261"/>
      <c r="M16" s="261"/>
      <c r="N16" s="261"/>
      <c r="O16" s="261"/>
      <c r="P16" s="261"/>
      <c r="Q16" s="261"/>
      <c r="R16" s="261"/>
      <c r="S16" s="261"/>
      <c r="T16" s="261"/>
      <c r="U16" s="261"/>
      <c r="V16" s="261"/>
      <c r="W16" s="261"/>
      <c r="X16" s="261"/>
      <c r="Y16" s="261"/>
      <c r="Z16" s="261"/>
      <c r="AA16" s="3"/>
    </row>
    <row r="17" spans="1:31" hidden="1">
      <c r="A17" s="2"/>
      <c r="B17" s="261">
        <v>10</v>
      </c>
      <c r="C17" s="261"/>
      <c r="D17" s="261"/>
      <c r="E17" s="261"/>
      <c r="F17" s="261"/>
      <c r="G17" s="261"/>
      <c r="H17" s="261"/>
      <c r="I17" s="261"/>
      <c r="J17" s="261"/>
      <c r="K17" s="261"/>
      <c r="L17" s="261"/>
      <c r="M17" s="261"/>
      <c r="N17" s="261"/>
      <c r="O17" s="261"/>
      <c r="P17" s="261"/>
      <c r="Q17" s="261"/>
      <c r="R17" s="261"/>
      <c r="S17" s="261"/>
      <c r="T17" s="261"/>
      <c r="U17" s="261"/>
      <c r="V17" s="261"/>
      <c r="W17" s="261"/>
      <c r="X17" s="261"/>
      <c r="Y17" s="261"/>
      <c r="Z17" s="261"/>
      <c r="AA17" s="3"/>
    </row>
    <row r="18" spans="1:31" hidden="1">
      <c r="A18" s="2"/>
      <c r="B18" s="261">
        <v>11</v>
      </c>
      <c r="C18" s="261"/>
      <c r="D18" s="261"/>
      <c r="E18" s="261"/>
      <c r="F18" s="261"/>
      <c r="G18" s="261"/>
      <c r="H18" s="261"/>
      <c r="I18" s="261"/>
      <c r="J18" s="261"/>
      <c r="K18" s="261"/>
      <c r="L18" s="261"/>
      <c r="M18" s="261"/>
      <c r="N18" s="261"/>
      <c r="O18" s="261"/>
      <c r="P18" s="261"/>
      <c r="Q18" s="261"/>
      <c r="R18" s="261"/>
      <c r="S18" s="261"/>
      <c r="T18" s="261"/>
      <c r="U18" s="261"/>
      <c r="V18" s="261"/>
      <c r="W18" s="261"/>
      <c r="X18" s="261"/>
      <c r="Y18" s="261"/>
      <c r="Z18" s="261"/>
      <c r="AA18" s="3"/>
    </row>
    <row r="19" spans="1:31" hidden="1">
      <c r="A19" s="2"/>
      <c r="B19" s="261">
        <v>12</v>
      </c>
      <c r="C19" s="261"/>
      <c r="D19" s="261"/>
      <c r="E19" s="261"/>
      <c r="F19" s="261"/>
      <c r="G19" s="261"/>
      <c r="H19" s="261"/>
      <c r="I19" s="261"/>
      <c r="J19" s="261"/>
      <c r="K19" s="261"/>
      <c r="L19" s="261"/>
      <c r="M19" s="261"/>
      <c r="N19" s="261"/>
      <c r="O19" s="261"/>
      <c r="P19" s="261"/>
      <c r="Q19" s="261"/>
      <c r="R19" s="261"/>
      <c r="S19" s="261"/>
      <c r="T19" s="261"/>
      <c r="U19" s="261"/>
      <c r="V19" s="261"/>
      <c r="W19" s="261"/>
      <c r="X19" s="261"/>
      <c r="Y19" s="261"/>
      <c r="Z19" s="261"/>
      <c r="AA19" s="3"/>
    </row>
    <row r="20" spans="1:31">
      <c r="A20" s="5"/>
      <c r="B20" s="6"/>
      <c r="C20" s="6"/>
      <c r="D20" s="6"/>
      <c r="E20" s="6"/>
      <c r="F20" s="6"/>
      <c r="G20" s="6"/>
      <c r="H20" s="6"/>
      <c r="I20" s="6"/>
      <c r="J20" s="6"/>
      <c r="K20" s="6"/>
      <c r="L20" s="6"/>
      <c r="M20" s="6"/>
      <c r="N20" s="6"/>
      <c r="O20" s="6"/>
      <c r="P20" s="6"/>
      <c r="Q20" s="6"/>
      <c r="R20" s="6"/>
      <c r="S20" s="6"/>
      <c r="T20" s="6"/>
      <c r="U20" s="6"/>
      <c r="V20" s="6"/>
      <c r="W20" s="6"/>
      <c r="X20" s="6"/>
      <c r="Y20" s="6"/>
      <c r="Z20" s="6"/>
      <c r="AA20" s="7"/>
    </row>
    <row r="21" spans="1:31">
      <c r="A21" s="2"/>
      <c r="B21" t="s">
        <v>14</v>
      </c>
      <c r="AA21" s="3"/>
    </row>
    <row r="22" spans="1:31">
      <c r="A22" s="2"/>
      <c r="B22" s="8" t="s">
        <v>38</v>
      </c>
      <c r="AA22" s="3"/>
    </row>
    <row r="23" spans="1:31">
      <c r="A23" s="2"/>
      <c r="C23" s="9" t="s">
        <v>29</v>
      </c>
      <c r="D23" s="8" t="s">
        <v>39</v>
      </c>
      <c r="AA23" s="3"/>
    </row>
    <row r="24" spans="1:31" ht="54" customHeight="1">
      <c r="A24" s="2"/>
      <c r="C24" s="266" t="s">
        <v>35</v>
      </c>
      <c r="D24" s="266"/>
      <c r="E24" s="266"/>
      <c r="F24" s="266"/>
      <c r="G24" s="256" t="s">
        <v>299</v>
      </c>
      <c r="H24" s="257"/>
      <c r="I24" s="257"/>
      <c r="J24" s="257"/>
      <c r="K24" s="257"/>
      <c r="L24" s="257"/>
      <c r="M24" s="257"/>
      <c r="N24" s="257"/>
      <c r="O24" s="257"/>
      <c r="P24" s="257"/>
      <c r="Q24" s="257"/>
      <c r="R24" s="257"/>
      <c r="S24" s="257"/>
      <c r="T24" s="257"/>
      <c r="U24" s="257"/>
      <c r="V24" s="257"/>
      <c r="W24" s="257"/>
      <c r="X24" s="257"/>
      <c r="Y24" s="257"/>
      <c r="Z24" s="257"/>
      <c r="AA24" s="3"/>
    </row>
    <row r="25" spans="1:31">
      <c r="A25" s="2"/>
      <c r="C25" s="1"/>
      <c r="D25" s="1"/>
      <c r="E25" s="1"/>
      <c r="F25" s="1"/>
      <c r="G25" s="1"/>
      <c r="H25" s="1"/>
      <c r="I25" s="1"/>
      <c r="J25" s="1"/>
      <c r="K25" s="1"/>
      <c r="L25" s="1"/>
      <c r="M25" s="1"/>
      <c r="N25" s="1"/>
      <c r="O25" s="1"/>
      <c r="P25" s="1"/>
      <c r="Q25" s="1"/>
      <c r="R25" s="1"/>
      <c r="S25" s="1"/>
      <c r="T25" s="1"/>
      <c r="U25" s="1"/>
      <c r="V25" s="1"/>
      <c r="W25" s="1"/>
      <c r="X25" s="1"/>
      <c r="Y25" s="1"/>
      <c r="Z25" s="1"/>
      <c r="AA25" s="3"/>
    </row>
    <row r="26" spans="1:31">
      <c r="A26" s="2"/>
      <c r="C26" s="9" t="s">
        <v>52</v>
      </c>
      <c r="D26" s="8"/>
      <c r="AA26" s="3"/>
    </row>
    <row r="27" spans="1:31">
      <c r="A27" s="2"/>
      <c r="C27" s="267" t="s">
        <v>7</v>
      </c>
      <c r="D27" s="267"/>
      <c r="E27" s="267" t="s">
        <v>9</v>
      </c>
      <c r="F27" s="267"/>
      <c r="G27" s="267"/>
      <c r="H27" s="267"/>
      <c r="I27" s="267"/>
      <c r="J27" s="268" t="s">
        <v>18</v>
      </c>
      <c r="K27" s="269"/>
      <c r="L27" s="269"/>
      <c r="M27" s="269"/>
      <c r="N27" s="269"/>
      <c r="O27" s="269"/>
      <c r="P27" s="269"/>
      <c r="Q27" s="269"/>
      <c r="R27" s="269"/>
      <c r="S27" s="269"/>
      <c r="T27" s="269"/>
      <c r="U27" s="269"/>
      <c r="V27" s="269"/>
      <c r="W27" s="269"/>
      <c r="X27" s="269"/>
      <c r="Y27" s="269"/>
      <c r="Z27" s="270"/>
      <c r="AA27" s="3"/>
    </row>
    <row r="28" spans="1:31">
      <c r="A28" s="2"/>
      <c r="C28" s="261">
        <v>1</v>
      </c>
      <c r="D28" s="261"/>
      <c r="E28" s="271" t="s">
        <v>98</v>
      </c>
      <c r="F28" s="271"/>
      <c r="G28" s="271"/>
      <c r="H28" s="271"/>
      <c r="I28" s="271"/>
      <c r="J28" s="15"/>
      <c r="K28" s="10"/>
      <c r="L28" s="10"/>
      <c r="M28" s="10"/>
      <c r="N28" s="10"/>
      <c r="O28" s="10"/>
      <c r="P28" s="22"/>
      <c r="Q28" s="10"/>
      <c r="R28" s="10"/>
      <c r="S28" s="10"/>
      <c r="T28" s="10"/>
      <c r="U28" s="10"/>
      <c r="V28" s="10"/>
      <c r="W28" s="10"/>
      <c r="X28" s="10"/>
      <c r="Y28" s="10"/>
      <c r="Z28" s="11"/>
      <c r="AA28" s="3"/>
    </row>
    <row r="29" spans="1:31">
      <c r="A29" s="2"/>
      <c r="C29" s="261">
        <v>2</v>
      </c>
      <c r="D29" s="261"/>
      <c r="E29" s="15"/>
      <c r="F29" s="16" t="s">
        <v>80</v>
      </c>
      <c r="G29" s="16"/>
      <c r="H29" s="16"/>
      <c r="I29" s="17"/>
      <c r="J29" s="15" t="s">
        <v>304</v>
      </c>
      <c r="K29" s="10"/>
      <c r="L29" s="10"/>
      <c r="M29" s="10"/>
      <c r="N29" s="10"/>
      <c r="O29" s="10"/>
      <c r="P29" s="22"/>
      <c r="Q29" s="10"/>
      <c r="R29" s="10"/>
      <c r="S29" s="10"/>
      <c r="T29" s="10"/>
      <c r="U29" s="10"/>
      <c r="V29" s="10"/>
      <c r="W29" s="10"/>
      <c r="X29" s="10"/>
      <c r="Y29" s="10"/>
      <c r="Z29" s="11"/>
      <c r="AA29" s="3"/>
      <c r="AC29" s="20" t="str">
        <f>""""&amp;J29&amp;""""</f>
        <v>"1.項目コード"</v>
      </c>
      <c r="AD29" s="20" t="str">
        <f>""""&amp;"example"&amp;J29&amp;""""</f>
        <v>"example1.項目コード"</v>
      </c>
      <c r="AE29" s="20" t="str">
        <f>AC29&amp;": "&amp;AD29&amp;","</f>
        <v>"1.項目コード": "example1.項目コード",</v>
      </c>
    </row>
    <row r="30" spans="1:31">
      <c r="A30" s="2"/>
      <c r="C30" s="261">
        <v>3</v>
      </c>
      <c r="D30" s="261"/>
      <c r="E30" s="15"/>
      <c r="F30" s="16" t="s">
        <v>81</v>
      </c>
      <c r="G30" s="16"/>
      <c r="H30" s="16"/>
      <c r="I30" s="17"/>
      <c r="J30" s="15" t="s">
        <v>305</v>
      </c>
      <c r="K30" s="10"/>
      <c r="L30" s="10"/>
      <c r="M30" s="10"/>
      <c r="N30" s="10"/>
      <c r="O30" s="10"/>
      <c r="P30" s="22"/>
      <c r="Q30" s="10"/>
      <c r="R30" s="10"/>
      <c r="S30" s="10"/>
      <c r="T30" s="10"/>
      <c r="U30" s="10"/>
      <c r="V30" s="10"/>
      <c r="W30" s="10"/>
      <c r="X30" s="10"/>
      <c r="Y30" s="10"/>
      <c r="Z30" s="11"/>
      <c r="AA30" s="3"/>
      <c r="AC30" s="20" t="str">
        <f t="shared" ref="AC30:AC49" si="0">""""&amp;J30&amp;""""</f>
        <v>"1.項目内容"</v>
      </c>
      <c r="AD30" s="20" t="str">
        <f t="shared" ref="AD30:AD49" si="1">""""&amp;"example"&amp;J30&amp;""""</f>
        <v>"example1.項目内容"</v>
      </c>
      <c r="AE30" s="20" t="str">
        <f t="shared" ref="AE30:AE49" si="2">AC30&amp;": "&amp;AD30&amp;","</f>
        <v>"1.項目内容": "example1.項目内容",</v>
      </c>
    </row>
    <row r="31" spans="1:31">
      <c r="A31" s="2"/>
      <c r="C31" s="1"/>
      <c r="D31" s="1"/>
      <c r="E31" s="1"/>
      <c r="F31" s="8"/>
      <c r="J31" s="8"/>
      <c r="P31" s="8"/>
      <c r="AA31" s="3"/>
      <c r="AC31" s="20" t="str">
        <f t="shared" si="0"/>
        <v>""</v>
      </c>
      <c r="AD31" s="20" t="str">
        <f t="shared" si="1"/>
        <v>"example"</v>
      </c>
      <c r="AE31" s="20" t="str">
        <f t="shared" si="2"/>
        <v>"": "example",</v>
      </c>
    </row>
    <row r="32" spans="1:31">
      <c r="A32" s="2"/>
      <c r="C32" s="9" t="s">
        <v>30</v>
      </c>
      <c r="D32" s="8" t="s">
        <v>106</v>
      </c>
      <c r="AA32" s="3"/>
      <c r="AC32" s="20" t="str">
        <f t="shared" si="0"/>
        <v>""</v>
      </c>
      <c r="AD32" s="20" t="str">
        <f t="shared" si="1"/>
        <v>"example"</v>
      </c>
      <c r="AE32" s="20" t="str">
        <f t="shared" si="2"/>
        <v>"": "example",</v>
      </c>
    </row>
    <row r="33" spans="1:31" ht="53.45" customHeight="1">
      <c r="A33" s="2"/>
      <c r="C33" s="266" t="s">
        <v>35</v>
      </c>
      <c r="D33" s="266"/>
      <c r="E33" s="266"/>
      <c r="F33" s="266"/>
      <c r="G33" s="256" t="s">
        <v>301</v>
      </c>
      <c r="H33" s="257"/>
      <c r="I33" s="257"/>
      <c r="J33" s="257"/>
      <c r="K33" s="257"/>
      <c r="L33" s="257"/>
      <c r="M33" s="257"/>
      <c r="N33" s="257"/>
      <c r="O33" s="257"/>
      <c r="P33" s="257"/>
      <c r="Q33" s="257"/>
      <c r="R33" s="257"/>
      <c r="S33" s="257"/>
      <c r="T33" s="257"/>
      <c r="U33" s="257"/>
      <c r="V33" s="257"/>
      <c r="W33" s="257"/>
      <c r="X33" s="257"/>
      <c r="Y33" s="257"/>
      <c r="Z33" s="257"/>
      <c r="AA33" s="3"/>
      <c r="AC33" s="20" t="str">
        <f t="shared" si="0"/>
        <v>""</v>
      </c>
      <c r="AD33" s="20" t="str">
        <f t="shared" si="1"/>
        <v>"example"</v>
      </c>
      <c r="AE33" s="20" t="str">
        <f t="shared" si="2"/>
        <v>"": "example",</v>
      </c>
    </row>
    <row r="34" spans="1:31">
      <c r="A34" s="2"/>
      <c r="C34" s="1"/>
      <c r="D34" s="1"/>
      <c r="E34" s="1"/>
      <c r="F34" s="1"/>
      <c r="G34" s="1"/>
      <c r="H34" s="1"/>
      <c r="I34" s="1"/>
      <c r="J34" s="1"/>
      <c r="K34" s="1"/>
      <c r="L34" s="1"/>
      <c r="M34" s="1"/>
      <c r="N34" s="1"/>
      <c r="O34" s="1"/>
      <c r="P34" s="1"/>
      <c r="Q34" s="1"/>
      <c r="R34" s="1"/>
      <c r="S34" s="1"/>
      <c r="T34" s="1"/>
      <c r="U34" s="1"/>
      <c r="V34" s="1"/>
      <c r="W34" s="1"/>
      <c r="X34" s="1"/>
      <c r="Y34" s="1"/>
      <c r="Z34" s="1"/>
      <c r="AA34" s="3"/>
      <c r="AC34" s="20" t="str">
        <f t="shared" si="0"/>
        <v>""</v>
      </c>
      <c r="AD34" s="20" t="str">
        <f t="shared" si="1"/>
        <v>"example"</v>
      </c>
      <c r="AE34" s="20" t="str">
        <f t="shared" si="2"/>
        <v>"": "example",</v>
      </c>
    </row>
    <row r="35" spans="1:31">
      <c r="A35" s="2"/>
      <c r="C35" s="9" t="s">
        <v>53</v>
      </c>
      <c r="D35" s="8"/>
      <c r="AA35" s="3"/>
      <c r="AC35" s="20" t="str">
        <f t="shared" si="0"/>
        <v>""</v>
      </c>
      <c r="AD35" s="20" t="str">
        <f t="shared" si="1"/>
        <v>"example"</v>
      </c>
      <c r="AE35" s="20" t="str">
        <f t="shared" si="2"/>
        <v>"": "example",</v>
      </c>
    </row>
    <row r="36" spans="1:31">
      <c r="A36" s="2"/>
      <c r="C36" s="267" t="s">
        <v>7</v>
      </c>
      <c r="D36" s="267"/>
      <c r="E36" s="267" t="s">
        <v>9</v>
      </c>
      <c r="F36" s="267"/>
      <c r="G36" s="267"/>
      <c r="H36" s="267"/>
      <c r="I36" s="267"/>
      <c r="J36" s="268" t="s">
        <v>18</v>
      </c>
      <c r="K36" s="269"/>
      <c r="L36" s="269"/>
      <c r="M36" s="269"/>
      <c r="N36" s="269"/>
      <c r="O36" s="269"/>
      <c r="P36" s="269"/>
      <c r="Q36" s="269"/>
      <c r="R36" s="269"/>
      <c r="S36" s="269"/>
      <c r="T36" s="269"/>
      <c r="U36" s="269"/>
      <c r="V36" s="269"/>
      <c r="W36" s="269"/>
      <c r="X36" s="269"/>
      <c r="Y36" s="269"/>
      <c r="Z36" s="270"/>
      <c r="AA36" s="3"/>
      <c r="AC36" s="20" t="str">
        <f t="shared" si="0"/>
        <v>"取得元データ"</v>
      </c>
      <c r="AD36" s="20" t="str">
        <f t="shared" si="1"/>
        <v>"example取得元データ"</v>
      </c>
      <c r="AE36" s="20" t="str">
        <f t="shared" si="2"/>
        <v>"取得元データ": "example取得元データ",</v>
      </c>
    </row>
    <row r="37" spans="1:31">
      <c r="A37" s="2"/>
      <c r="C37" s="261">
        <v>1</v>
      </c>
      <c r="D37" s="261"/>
      <c r="E37" s="18" t="s">
        <v>99</v>
      </c>
      <c r="F37" s="16"/>
      <c r="G37" s="16"/>
      <c r="H37" s="16"/>
      <c r="I37" s="17"/>
      <c r="J37" s="15"/>
      <c r="K37" s="10"/>
      <c r="L37" s="10"/>
      <c r="M37" s="10"/>
      <c r="N37" s="10"/>
      <c r="O37" s="10"/>
      <c r="P37" s="22"/>
      <c r="Q37" s="10"/>
      <c r="R37" s="10"/>
      <c r="S37" s="10"/>
      <c r="T37" s="10"/>
      <c r="U37" s="10"/>
      <c r="V37" s="10"/>
      <c r="W37" s="10"/>
      <c r="X37" s="10"/>
      <c r="Y37" s="10"/>
      <c r="Z37" s="11"/>
      <c r="AA37" s="3"/>
      <c r="AC37" s="20" t="str">
        <f t="shared" si="0"/>
        <v>""</v>
      </c>
      <c r="AD37" s="20" t="str">
        <f t="shared" si="1"/>
        <v>"example"</v>
      </c>
      <c r="AE37" s="20" t="str">
        <f t="shared" si="2"/>
        <v>"": "example",</v>
      </c>
    </row>
    <row r="38" spans="1:31">
      <c r="A38" s="2"/>
      <c r="C38" s="261">
        <v>2</v>
      </c>
      <c r="D38" s="261"/>
      <c r="E38" s="19"/>
      <c r="F38" s="16" t="s">
        <v>104</v>
      </c>
      <c r="G38" s="16"/>
      <c r="H38" s="16"/>
      <c r="I38" s="17"/>
      <c r="J38" s="15" t="s">
        <v>306</v>
      </c>
      <c r="K38" s="10"/>
      <c r="L38" s="10"/>
      <c r="M38" s="10"/>
      <c r="N38" s="10"/>
      <c r="O38" s="10"/>
      <c r="P38" s="22"/>
      <c r="Q38" s="10"/>
      <c r="R38" s="10"/>
      <c r="S38" s="10"/>
      <c r="T38" s="10"/>
      <c r="U38" s="10"/>
      <c r="V38" s="10"/>
      <c r="W38" s="10"/>
      <c r="X38" s="10"/>
      <c r="Y38" s="10"/>
      <c r="Z38" s="11"/>
      <c r="AA38" s="3"/>
      <c r="AC38" s="20" t="str">
        <f t="shared" si="0"/>
        <v>"2.項目コード"</v>
      </c>
      <c r="AD38" s="20" t="str">
        <f t="shared" si="1"/>
        <v>"example2.項目コード"</v>
      </c>
      <c r="AE38" s="20" t="str">
        <f t="shared" si="2"/>
        <v>"2.項目コード": "example2.項目コード",</v>
      </c>
    </row>
    <row r="39" spans="1:31">
      <c r="A39" s="2"/>
      <c r="C39" s="261">
        <v>3</v>
      </c>
      <c r="D39" s="261"/>
      <c r="E39" s="19"/>
      <c r="F39" s="16" t="s">
        <v>105</v>
      </c>
      <c r="G39" s="16"/>
      <c r="H39" s="16"/>
      <c r="I39" s="17"/>
      <c r="J39" s="15" t="s">
        <v>307</v>
      </c>
      <c r="K39" s="10"/>
      <c r="L39" s="10"/>
      <c r="M39" s="10"/>
      <c r="N39" s="10"/>
      <c r="O39" s="10"/>
      <c r="P39" s="22"/>
      <c r="Q39" s="10"/>
      <c r="R39" s="10"/>
      <c r="S39" s="10"/>
      <c r="T39" s="10"/>
      <c r="U39" s="10"/>
      <c r="V39" s="10"/>
      <c r="W39" s="10"/>
      <c r="X39" s="10"/>
      <c r="Y39" s="10"/>
      <c r="Z39" s="11"/>
      <c r="AA39" s="3"/>
      <c r="AC39" s="20" t="str">
        <f t="shared" si="0"/>
        <v>"2.項目内容"</v>
      </c>
      <c r="AD39" s="20" t="str">
        <f t="shared" si="1"/>
        <v>"example2.項目内容"</v>
      </c>
      <c r="AE39" s="20" t="str">
        <f t="shared" si="2"/>
        <v>"2.項目内容": "example2.項目内容",</v>
      </c>
    </row>
    <row r="40" spans="1:31">
      <c r="A40" s="2"/>
      <c r="C40" s="1"/>
      <c r="D40" s="1"/>
      <c r="E40" s="1"/>
      <c r="F40" s="8"/>
      <c r="J40" s="8"/>
      <c r="P40" s="8"/>
      <c r="AA40" s="3"/>
      <c r="AC40" s="20" t="str">
        <f t="shared" si="0"/>
        <v>""</v>
      </c>
      <c r="AD40" s="20" t="str">
        <f t="shared" si="1"/>
        <v>"example"</v>
      </c>
      <c r="AE40" s="20" t="str">
        <f t="shared" si="2"/>
        <v>"": "example",</v>
      </c>
    </row>
    <row r="41" spans="1:31">
      <c r="A41" s="2"/>
      <c r="C41" s="9" t="s">
        <v>31</v>
      </c>
      <c r="D41" s="8" t="s">
        <v>100</v>
      </c>
      <c r="AA41" s="3"/>
      <c r="AC41" s="20" t="str">
        <f t="shared" si="0"/>
        <v>""</v>
      </c>
      <c r="AD41" s="20" t="str">
        <f t="shared" si="1"/>
        <v>"example"</v>
      </c>
      <c r="AE41" s="20" t="str">
        <f t="shared" si="2"/>
        <v>"": "example",</v>
      </c>
    </row>
    <row r="42" spans="1:31" ht="51.6" customHeight="1">
      <c r="A42" s="2"/>
      <c r="C42" s="266" t="s">
        <v>35</v>
      </c>
      <c r="D42" s="266"/>
      <c r="E42" s="266"/>
      <c r="F42" s="266"/>
      <c r="G42" s="256" t="s">
        <v>300</v>
      </c>
      <c r="H42" s="257"/>
      <c r="I42" s="257"/>
      <c r="J42" s="257"/>
      <c r="K42" s="257"/>
      <c r="L42" s="257"/>
      <c r="M42" s="257"/>
      <c r="N42" s="257"/>
      <c r="O42" s="257"/>
      <c r="P42" s="257"/>
      <c r="Q42" s="257"/>
      <c r="R42" s="257"/>
      <c r="S42" s="257"/>
      <c r="T42" s="257"/>
      <c r="U42" s="257"/>
      <c r="V42" s="257"/>
      <c r="W42" s="257"/>
      <c r="X42" s="257"/>
      <c r="Y42" s="257"/>
      <c r="Z42" s="257"/>
      <c r="AA42" s="3"/>
      <c r="AC42" s="20" t="str">
        <f t="shared" si="0"/>
        <v>""</v>
      </c>
      <c r="AD42" s="20" t="str">
        <f t="shared" si="1"/>
        <v>"example"</v>
      </c>
      <c r="AE42" s="20" t="str">
        <f t="shared" si="2"/>
        <v>"": "example",</v>
      </c>
    </row>
    <row r="43" spans="1:31">
      <c r="A43" s="2"/>
      <c r="C43" s="1"/>
      <c r="D43" s="1"/>
      <c r="E43" s="1"/>
      <c r="F43" s="1"/>
      <c r="G43" s="1"/>
      <c r="H43" s="1"/>
      <c r="I43" s="1"/>
      <c r="J43" s="1"/>
      <c r="K43" s="1"/>
      <c r="L43" s="1"/>
      <c r="M43" s="1"/>
      <c r="N43" s="1"/>
      <c r="O43" s="1"/>
      <c r="P43" s="1"/>
      <c r="Q43" s="1"/>
      <c r="R43" s="1"/>
      <c r="S43" s="1"/>
      <c r="T43" s="1"/>
      <c r="U43" s="1"/>
      <c r="V43" s="1"/>
      <c r="W43" s="1"/>
      <c r="X43" s="1"/>
      <c r="Y43" s="1"/>
      <c r="Z43" s="1"/>
      <c r="AA43" s="3"/>
      <c r="AC43" s="20" t="str">
        <f t="shared" si="0"/>
        <v>""</v>
      </c>
      <c r="AD43" s="20" t="str">
        <f t="shared" si="1"/>
        <v>"example"</v>
      </c>
      <c r="AE43" s="20" t="str">
        <f t="shared" si="2"/>
        <v>"": "example",</v>
      </c>
    </row>
    <row r="44" spans="1:31">
      <c r="A44" s="2"/>
      <c r="C44" s="9" t="s">
        <v>54</v>
      </c>
      <c r="D44" s="8"/>
      <c r="AA44" s="3"/>
      <c r="AC44" s="20" t="str">
        <f t="shared" si="0"/>
        <v>""</v>
      </c>
      <c r="AD44" s="20" t="str">
        <f t="shared" si="1"/>
        <v>"example"</v>
      </c>
      <c r="AE44" s="20" t="str">
        <f t="shared" si="2"/>
        <v>"": "example",</v>
      </c>
    </row>
    <row r="45" spans="1:31">
      <c r="A45" s="2"/>
      <c r="C45" s="267" t="s">
        <v>7</v>
      </c>
      <c r="D45" s="267"/>
      <c r="E45" s="267" t="s">
        <v>9</v>
      </c>
      <c r="F45" s="267"/>
      <c r="G45" s="267"/>
      <c r="H45" s="267"/>
      <c r="I45" s="267"/>
      <c r="J45" s="268" t="s">
        <v>18</v>
      </c>
      <c r="K45" s="269"/>
      <c r="L45" s="269"/>
      <c r="M45" s="269"/>
      <c r="N45" s="269"/>
      <c r="O45" s="269"/>
      <c r="P45" s="269"/>
      <c r="Q45" s="269"/>
      <c r="R45" s="269"/>
      <c r="S45" s="269"/>
      <c r="T45" s="269"/>
      <c r="U45" s="269"/>
      <c r="V45" s="269"/>
      <c r="W45" s="269"/>
      <c r="X45" s="269"/>
      <c r="Y45" s="269"/>
      <c r="Z45" s="270"/>
      <c r="AA45" s="3"/>
      <c r="AC45" s="20" t="str">
        <f t="shared" si="0"/>
        <v>"取得元データ"</v>
      </c>
      <c r="AD45" s="20" t="str">
        <f t="shared" si="1"/>
        <v>"example取得元データ"</v>
      </c>
      <c r="AE45" s="20" t="str">
        <f t="shared" si="2"/>
        <v>"取得元データ": "example取得元データ",</v>
      </c>
    </row>
    <row r="46" spans="1:31">
      <c r="A46" s="2"/>
      <c r="C46" s="261">
        <v>1</v>
      </c>
      <c r="D46" s="261"/>
      <c r="E46" s="18" t="s">
        <v>101</v>
      </c>
      <c r="F46" s="16"/>
      <c r="G46" s="16"/>
      <c r="H46" s="16"/>
      <c r="I46" s="17"/>
      <c r="J46" s="15"/>
      <c r="K46" s="10"/>
      <c r="L46" s="10"/>
      <c r="M46" s="10"/>
      <c r="N46" s="10"/>
      <c r="O46" s="10"/>
      <c r="P46" s="22"/>
      <c r="Q46" s="10"/>
      <c r="R46" s="10"/>
      <c r="S46" s="10"/>
      <c r="T46" s="10"/>
      <c r="U46" s="10"/>
      <c r="V46" s="10"/>
      <c r="W46" s="10"/>
      <c r="X46" s="10"/>
      <c r="Y46" s="10"/>
      <c r="Z46" s="11"/>
      <c r="AA46" s="3"/>
      <c r="AC46" s="20" t="str">
        <f t="shared" si="0"/>
        <v>""</v>
      </c>
      <c r="AD46" s="20" t="str">
        <f t="shared" si="1"/>
        <v>"example"</v>
      </c>
      <c r="AE46" s="20" t="str">
        <f t="shared" si="2"/>
        <v>"": "example",</v>
      </c>
    </row>
    <row r="47" spans="1:31">
      <c r="A47" s="2"/>
      <c r="C47" s="261">
        <v>2</v>
      </c>
      <c r="D47" s="261"/>
      <c r="E47" s="15"/>
      <c r="F47" s="16" t="s">
        <v>102</v>
      </c>
      <c r="G47" s="16"/>
      <c r="H47" s="16"/>
      <c r="I47" s="17"/>
      <c r="J47" s="15" t="s">
        <v>308</v>
      </c>
      <c r="K47" s="10"/>
      <c r="L47" s="10"/>
      <c r="M47" s="10"/>
      <c r="N47" s="10"/>
      <c r="O47" s="10"/>
      <c r="P47" s="22"/>
      <c r="Q47" s="10"/>
      <c r="R47" s="10"/>
      <c r="S47" s="10"/>
      <c r="T47" s="10"/>
      <c r="U47" s="10"/>
      <c r="V47" s="10"/>
      <c r="W47" s="10"/>
      <c r="X47" s="10"/>
      <c r="Y47" s="10"/>
      <c r="Z47" s="11"/>
      <c r="AA47" s="3"/>
      <c r="AC47" s="20" t="str">
        <f t="shared" si="0"/>
        <v>"3.項目コード"</v>
      </c>
      <c r="AD47" s="20" t="str">
        <f t="shared" si="1"/>
        <v>"example3.項目コード"</v>
      </c>
      <c r="AE47" s="20" t="str">
        <f t="shared" si="2"/>
        <v>"3.項目コード": "example3.項目コード",</v>
      </c>
    </row>
    <row r="48" spans="1:31">
      <c r="A48" s="2"/>
      <c r="C48" s="261">
        <v>3</v>
      </c>
      <c r="D48" s="261"/>
      <c r="E48" s="19"/>
      <c r="F48" s="16" t="s">
        <v>103</v>
      </c>
      <c r="G48" s="16"/>
      <c r="H48" s="16"/>
      <c r="I48" s="17"/>
      <c r="J48" s="15" t="s">
        <v>309</v>
      </c>
      <c r="K48" s="10"/>
      <c r="L48" s="10"/>
      <c r="M48" s="10"/>
      <c r="N48" s="10"/>
      <c r="O48" s="10"/>
      <c r="P48" s="22"/>
      <c r="Q48" s="10"/>
      <c r="R48" s="10"/>
      <c r="S48" s="10"/>
      <c r="T48" s="10"/>
      <c r="U48" s="10"/>
      <c r="V48" s="10"/>
      <c r="W48" s="10"/>
      <c r="X48" s="10"/>
      <c r="Y48" s="10"/>
      <c r="Z48" s="11"/>
      <c r="AA48" s="3"/>
      <c r="AC48" s="20" t="str">
        <f t="shared" si="0"/>
        <v>"3.項目内容"</v>
      </c>
      <c r="AD48" s="20" t="str">
        <f t="shared" si="1"/>
        <v>"example3.項目内容"</v>
      </c>
      <c r="AE48" s="20" t="str">
        <f t="shared" si="2"/>
        <v>"3.項目内容": "example3.項目内容",</v>
      </c>
    </row>
    <row r="49" spans="1:31">
      <c r="A49" s="2"/>
      <c r="C49" s="1"/>
      <c r="D49" s="1"/>
      <c r="E49" s="1"/>
      <c r="F49" s="8"/>
      <c r="J49" s="8"/>
      <c r="P49" s="8"/>
      <c r="AA49" s="3"/>
      <c r="AC49" s="20" t="str">
        <f t="shared" si="0"/>
        <v>""</v>
      </c>
      <c r="AD49" s="20" t="str">
        <f t="shared" si="1"/>
        <v>"example"</v>
      </c>
      <c r="AE49" s="20" t="str">
        <f t="shared" si="2"/>
        <v>"": "example",</v>
      </c>
    </row>
    <row r="50" spans="1:31">
      <c r="A50" s="2"/>
      <c r="C50" s="9" t="s">
        <v>107</v>
      </c>
      <c r="D50" s="8" t="s">
        <v>108</v>
      </c>
      <c r="AA50" s="3"/>
    </row>
    <row r="51" spans="1:31" ht="54.6" customHeight="1">
      <c r="A51" s="2"/>
      <c r="C51" s="266" t="s">
        <v>35</v>
      </c>
      <c r="D51" s="266"/>
      <c r="E51" s="266"/>
      <c r="F51" s="266"/>
      <c r="G51" s="256" t="s">
        <v>302</v>
      </c>
      <c r="H51" s="257"/>
      <c r="I51" s="257"/>
      <c r="J51" s="257"/>
      <c r="K51" s="257"/>
      <c r="L51" s="257"/>
      <c r="M51" s="257"/>
      <c r="N51" s="257"/>
      <c r="O51" s="257"/>
      <c r="P51" s="257"/>
      <c r="Q51" s="257"/>
      <c r="R51" s="257"/>
      <c r="S51" s="257"/>
      <c r="T51" s="257"/>
      <c r="U51" s="257"/>
      <c r="V51" s="257"/>
      <c r="W51" s="257"/>
      <c r="X51" s="257"/>
      <c r="Y51" s="257"/>
      <c r="Z51" s="257"/>
      <c r="AA51" s="3"/>
    </row>
    <row r="52" spans="1:31">
      <c r="A52" s="2"/>
      <c r="C52" s="1"/>
      <c r="D52" s="1"/>
      <c r="E52" s="1"/>
      <c r="F52" s="1"/>
      <c r="G52" s="1"/>
      <c r="H52" s="1"/>
      <c r="I52" s="1"/>
      <c r="J52" s="1"/>
      <c r="K52" s="1"/>
      <c r="L52" s="1"/>
      <c r="M52" s="1"/>
      <c r="N52" s="1"/>
      <c r="O52" s="1"/>
      <c r="P52" s="1"/>
      <c r="Q52" s="1"/>
      <c r="R52" s="1"/>
      <c r="S52" s="1"/>
      <c r="T52" s="1"/>
      <c r="U52" s="1"/>
      <c r="V52" s="1"/>
      <c r="W52" s="1"/>
      <c r="X52" s="1"/>
      <c r="Y52" s="1"/>
      <c r="Z52" s="1"/>
      <c r="AA52" s="3"/>
    </row>
    <row r="53" spans="1:31">
      <c r="A53" s="2"/>
      <c r="C53" s="9" t="s">
        <v>115</v>
      </c>
      <c r="D53" s="8"/>
      <c r="AA53" s="3"/>
    </row>
    <row r="54" spans="1:31">
      <c r="A54" s="2"/>
      <c r="C54" s="267" t="s">
        <v>7</v>
      </c>
      <c r="D54" s="267"/>
      <c r="E54" s="267" t="s">
        <v>9</v>
      </c>
      <c r="F54" s="267"/>
      <c r="G54" s="267"/>
      <c r="H54" s="267"/>
      <c r="I54" s="267"/>
      <c r="J54" s="268" t="s">
        <v>18</v>
      </c>
      <c r="K54" s="269"/>
      <c r="L54" s="269"/>
      <c r="M54" s="269"/>
      <c r="N54" s="269"/>
      <c r="O54" s="269"/>
      <c r="P54" s="269"/>
      <c r="Q54" s="269"/>
      <c r="R54" s="269"/>
      <c r="S54" s="269"/>
      <c r="T54" s="269"/>
      <c r="U54" s="269"/>
      <c r="V54" s="269"/>
      <c r="W54" s="269"/>
      <c r="X54" s="269"/>
      <c r="Y54" s="269"/>
      <c r="Z54" s="270"/>
      <c r="AA54" s="3"/>
      <c r="AC54" s="20" t="str">
        <f t="shared" ref="AC54:AC57" si="3">""""&amp;J54&amp;""""</f>
        <v>"取得元データ"</v>
      </c>
      <c r="AD54" s="20" t="str">
        <f t="shared" ref="AD54:AD57" si="4">""""&amp;"example"&amp;J54&amp;""""</f>
        <v>"example取得元データ"</v>
      </c>
      <c r="AE54" s="20" t="str">
        <f t="shared" ref="AE54:AE57" si="5">AC54&amp;": "&amp;AD54&amp;","</f>
        <v>"取得元データ": "example取得元データ",</v>
      </c>
    </row>
    <row r="55" spans="1:31">
      <c r="A55" s="2"/>
      <c r="C55" s="261">
        <v>1</v>
      </c>
      <c r="D55" s="261"/>
      <c r="E55" s="18" t="s">
        <v>109</v>
      </c>
      <c r="F55" s="16"/>
      <c r="G55" s="16"/>
      <c r="H55" s="16"/>
      <c r="I55" s="17"/>
      <c r="J55" s="15"/>
      <c r="K55" s="10"/>
      <c r="L55" s="10"/>
      <c r="M55" s="10"/>
      <c r="N55" s="10"/>
      <c r="O55" s="10"/>
      <c r="P55" s="22"/>
      <c r="Q55" s="10"/>
      <c r="R55" s="10"/>
      <c r="S55" s="10"/>
      <c r="T55" s="10"/>
      <c r="U55" s="10"/>
      <c r="V55" s="10"/>
      <c r="W55" s="10"/>
      <c r="X55" s="10"/>
      <c r="Y55" s="10"/>
      <c r="Z55" s="11"/>
      <c r="AA55" s="3"/>
      <c r="AC55" s="20" t="str">
        <f t="shared" si="3"/>
        <v>""</v>
      </c>
      <c r="AD55" s="20" t="str">
        <f t="shared" si="4"/>
        <v>"example"</v>
      </c>
      <c r="AE55" s="20" t="str">
        <f t="shared" si="5"/>
        <v>"": "example",</v>
      </c>
    </row>
    <row r="56" spans="1:31">
      <c r="A56" s="2"/>
      <c r="C56" s="261">
        <v>2</v>
      </c>
      <c r="D56" s="261"/>
      <c r="E56" s="15"/>
      <c r="F56" s="16" t="s">
        <v>110</v>
      </c>
      <c r="G56" s="16"/>
      <c r="H56" s="16"/>
      <c r="I56" s="17"/>
      <c r="J56" s="15" t="s">
        <v>310</v>
      </c>
      <c r="K56" s="10"/>
      <c r="L56" s="10"/>
      <c r="M56" s="10"/>
      <c r="N56" s="10"/>
      <c r="O56" s="10"/>
      <c r="P56" s="22"/>
      <c r="Q56" s="10"/>
      <c r="R56" s="10"/>
      <c r="S56" s="10"/>
      <c r="T56" s="10"/>
      <c r="U56" s="10"/>
      <c r="V56" s="10"/>
      <c r="W56" s="10"/>
      <c r="X56" s="10"/>
      <c r="Y56" s="10"/>
      <c r="Z56" s="11"/>
      <c r="AA56" s="3"/>
      <c r="AC56" s="20" t="str">
        <f t="shared" si="3"/>
        <v>"4.項目コード"</v>
      </c>
      <c r="AD56" s="20" t="str">
        <f t="shared" si="4"/>
        <v>"example4.項目コード"</v>
      </c>
      <c r="AE56" s="20" t="str">
        <f t="shared" si="5"/>
        <v>"4.項目コード": "example4.項目コード",</v>
      </c>
    </row>
    <row r="57" spans="1:31">
      <c r="A57" s="2"/>
      <c r="C57" s="261">
        <v>3</v>
      </c>
      <c r="D57" s="261"/>
      <c r="E57" s="19"/>
      <c r="F57" s="16" t="s">
        <v>111</v>
      </c>
      <c r="G57" s="16"/>
      <c r="H57" s="16"/>
      <c r="I57" s="17"/>
      <c r="J57" s="15" t="s">
        <v>311</v>
      </c>
      <c r="K57" s="10"/>
      <c r="L57" s="10"/>
      <c r="M57" s="10"/>
      <c r="N57" s="10"/>
      <c r="O57" s="10"/>
      <c r="P57" s="22"/>
      <c r="Q57" s="10"/>
      <c r="R57" s="10"/>
      <c r="S57" s="10"/>
      <c r="T57" s="10"/>
      <c r="U57" s="10"/>
      <c r="V57" s="10"/>
      <c r="W57" s="10"/>
      <c r="X57" s="10"/>
      <c r="Y57" s="10"/>
      <c r="Z57" s="11"/>
      <c r="AA57" s="3"/>
      <c r="AC57" s="20" t="str">
        <f t="shared" si="3"/>
        <v>"4.項目内容"</v>
      </c>
      <c r="AD57" s="20" t="str">
        <f t="shared" si="4"/>
        <v>"example4.項目内容"</v>
      </c>
      <c r="AE57" s="20" t="str">
        <f t="shared" si="5"/>
        <v>"4.項目内容": "example4.項目内容",</v>
      </c>
    </row>
    <row r="58" spans="1:31">
      <c r="A58" s="2"/>
      <c r="C58" s="1"/>
      <c r="D58" s="1"/>
      <c r="E58" s="1"/>
      <c r="F58" s="8"/>
      <c r="J58" s="8"/>
      <c r="P58" s="8"/>
      <c r="AA58" s="3"/>
      <c r="AC58" s="20" t="str">
        <f t="shared" ref="AC58:AC84" si="6">""""&amp;J58&amp;""""</f>
        <v>""</v>
      </c>
      <c r="AD58" s="20" t="str">
        <f t="shared" ref="AD58:AD84" si="7">""""&amp;"example"&amp;J58&amp;""""</f>
        <v>"example"</v>
      </c>
      <c r="AE58" s="20" t="str">
        <f t="shared" ref="AE58:AE84" si="8">AC58&amp;": "&amp;AD58&amp;","</f>
        <v>"": "example",</v>
      </c>
    </row>
    <row r="59" spans="1:31">
      <c r="A59" s="2"/>
      <c r="C59" s="9" t="s">
        <v>112</v>
      </c>
      <c r="D59" s="8" t="s">
        <v>113</v>
      </c>
      <c r="AA59" s="3"/>
      <c r="AC59" s="20" t="str">
        <f t="shared" si="6"/>
        <v>""</v>
      </c>
      <c r="AD59" s="20" t="str">
        <f t="shared" si="7"/>
        <v>"example"</v>
      </c>
      <c r="AE59" s="20" t="str">
        <f t="shared" si="8"/>
        <v>"": "example",</v>
      </c>
    </row>
    <row r="60" spans="1:31">
      <c r="A60" s="2"/>
      <c r="C60" s="266" t="s">
        <v>35</v>
      </c>
      <c r="D60" s="266"/>
      <c r="E60" s="266"/>
      <c r="F60" s="266"/>
      <c r="G60" s="272" t="s">
        <v>114</v>
      </c>
      <c r="H60" s="257"/>
      <c r="I60" s="257"/>
      <c r="J60" s="257"/>
      <c r="K60" s="257"/>
      <c r="L60" s="257"/>
      <c r="M60" s="257"/>
      <c r="N60" s="257"/>
      <c r="O60" s="257"/>
      <c r="P60" s="257"/>
      <c r="Q60" s="257"/>
      <c r="R60" s="257"/>
      <c r="S60" s="257"/>
      <c r="T60" s="257"/>
      <c r="U60" s="257"/>
      <c r="V60" s="257"/>
      <c r="W60" s="257"/>
      <c r="X60" s="257"/>
      <c r="Y60" s="257"/>
      <c r="Z60" s="257"/>
      <c r="AA60" s="3"/>
      <c r="AC60" s="20" t="str">
        <f t="shared" si="6"/>
        <v>""</v>
      </c>
      <c r="AD60" s="20" t="str">
        <f t="shared" si="7"/>
        <v>"example"</v>
      </c>
      <c r="AE60" s="20" t="str">
        <f t="shared" si="8"/>
        <v>"": "example",</v>
      </c>
    </row>
    <row r="61" spans="1:31">
      <c r="A61" s="2"/>
      <c r="C61" s="1"/>
      <c r="D61" s="1"/>
      <c r="E61" s="1"/>
      <c r="F61" s="1"/>
      <c r="G61" s="1"/>
      <c r="H61" s="1"/>
      <c r="I61" s="1"/>
      <c r="J61" s="1"/>
      <c r="K61" s="1"/>
      <c r="L61" s="1"/>
      <c r="M61" s="1"/>
      <c r="N61" s="1"/>
      <c r="O61" s="1"/>
      <c r="P61" s="1"/>
      <c r="Q61" s="1"/>
      <c r="R61" s="1"/>
      <c r="S61" s="1"/>
      <c r="T61" s="1"/>
      <c r="U61" s="1"/>
      <c r="V61" s="1"/>
      <c r="W61" s="1"/>
      <c r="X61" s="1"/>
      <c r="Y61" s="1"/>
      <c r="Z61" s="1"/>
      <c r="AA61" s="3"/>
      <c r="AC61" s="20" t="str">
        <f t="shared" si="6"/>
        <v>""</v>
      </c>
      <c r="AD61" s="20" t="str">
        <f t="shared" si="7"/>
        <v>"example"</v>
      </c>
      <c r="AE61" s="20" t="str">
        <f t="shared" si="8"/>
        <v>"": "example",</v>
      </c>
    </row>
    <row r="62" spans="1:31">
      <c r="A62" s="2"/>
      <c r="C62" s="9" t="s">
        <v>116</v>
      </c>
      <c r="D62" s="8"/>
      <c r="AA62" s="3"/>
      <c r="AC62" s="20" t="str">
        <f t="shared" si="6"/>
        <v>""</v>
      </c>
      <c r="AD62" s="20" t="str">
        <f t="shared" si="7"/>
        <v>"example"</v>
      </c>
      <c r="AE62" s="20" t="str">
        <f t="shared" si="8"/>
        <v>"": "example",</v>
      </c>
    </row>
    <row r="63" spans="1:31">
      <c r="A63" s="2"/>
      <c r="C63" s="267" t="s">
        <v>7</v>
      </c>
      <c r="D63" s="267"/>
      <c r="E63" s="267" t="s">
        <v>9</v>
      </c>
      <c r="F63" s="267"/>
      <c r="G63" s="267"/>
      <c r="H63" s="267"/>
      <c r="I63" s="267"/>
      <c r="J63" s="268" t="s">
        <v>18</v>
      </c>
      <c r="K63" s="269"/>
      <c r="L63" s="269"/>
      <c r="M63" s="269"/>
      <c r="N63" s="269"/>
      <c r="O63" s="269"/>
      <c r="P63" s="269"/>
      <c r="Q63" s="269"/>
      <c r="R63" s="269"/>
      <c r="S63" s="269"/>
      <c r="T63" s="269"/>
      <c r="U63" s="269"/>
      <c r="V63" s="269"/>
      <c r="W63" s="269"/>
      <c r="X63" s="269"/>
      <c r="Y63" s="269"/>
      <c r="Z63" s="270"/>
      <c r="AA63" s="3"/>
      <c r="AC63" s="20" t="str">
        <f t="shared" si="6"/>
        <v>"取得元データ"</v>
      </c>
      <c r="AD63" s="20" t="str">
        <f t="shared" si="7"/>
        <v>"example取得元データ"</v>
      </c>
      <c r="AE63" s="20" t="str">
        <f t="shared" si="8"/>
        <v>"取得元データ": "example取得元データ",</v>
      </c>
    </row>
    <row r="64" spans="1:31">
      <c r="A64" s="2"/>
      <c r="C64" s="261">
        <v>1</v>
      </c>
      <c r="D64" s="261"/>
      <c r="E64" s="18" t="s">
        <v>117</v>
      </c>
      <c r="F64" s="16"/>
      <c r="G64" s="16"/>
      <c r="H64" s="16"/>
      <c r="I64" s="17"/>
      <c r="J64" s="15"/>
      <c r="K64" s="10"/>
      <c r="L64" s="10"/>
      <c r="M64" s="10"/>
      <c r="N64" s="10"/>
      <c r="O64" s="10"/>
      <c r="P64" s="22"/>
      <c r="Q64" s="10"/>
      <c r="R64" s="10"/>
      <c r="S64" s="10"/>
      <c r="T64" s="10"/>
      <c r="U64" s="10"/>
      <c r="V64" s="10"/>
      <c r="W64" s="10"/>
      <c r="X64" s="10"/>
      <c r="Y64" s="10"/>
      <c r="Z64" s="11"/>
      <c r="AA64" s="3"/>
      <c r="AC64" s="20" t="str">
        <f t="shared" si="6"/>
        <v>""</v>
      </c>
      <c r="AD64" s="20" t="str">
        <f t="shared" si="7"/>
        <v>"example"</v>
      </c>
      <c r="AE64" s="20" t="str">
        <f t="shared" si="8"/>
        <v>"": "example",</v>
      </c>
    </row>
    <row r="65" spans="1:31">
      <c r="A65" s="2"/>
      <c r="C65" s="261">
        <v>2</v>
      </c>
      <c r="D65" s="261"/>
      <c r="E65" s="19"/>
      <c r="F65" s="16" t="s">
        <v>118</v>
      </c>
      <c r="G65" s="16"/>
      <c r="H65" s="16"/>
      <c r="I65" s="17"/>
      <c r="J65" s="15" t="s">
        <v>312</v>
      </c>
      <c r="K65" s="10"/>
      <c r="L65" s="10"/>
      <c r="M65" s="10"/>
      <c r="N65" s="10"/>
      <c r="O65" s="10"/>
      <c r="P65" s="22"/>
      <c r="Q65" s="10"/>
      <c r="R65" s="10"/>
      <c r="S65" s="10"/>
      <c r="T65" s="10"/>
      <c r="U65" s="10"/>
      <c r="V65" s="10"/>
      <c r="W65" s="10"/>
      <c r="X65" s="10"/>
      <c r="Y65" s="10"/>
      <c r="Z65" s="11"/>
      <c r="AA65" s="3"/>
      <c r="AC65" s="20" t="str">
        <f t="shared" si="6"/>
        <v>"5.項目コード"</v>
      </c>
      <c r="AD65" s="20" t="str">
        <f t="shared" si="7"/>
        <v>"example5.項目コード"</v>
      </c>
      <c r="AE65" s="20" t="str">
        <f t="shared" si="8"/>
        <v>"5.項目コード": "example5.項目コード",</v>
      </c>
    </row>
    <row r="66" spans="1:31">
      <c r="A66" s="2"/>
      <c r="C66" s="261">
        <v>3</v>
      </c>
      <c r="D66" s="261"/>
      <c r="E66" s="19"/>
      <c r="F66" s="16" t="s">
        <v>119</v>
      </c>
      <c r="G66" s="16"/>
      <c r="H66" s="16"/>
      <c r="I66" s="17"/>
      <c r="J66" s="15" t="s">
        <v>313</v>
      </c>
      <c r="K66" s="10"/>
      <c r="L66" s="10"/>
      <c r="M66" s="10"/>
      <c r="N66" s="10"/>
      <c r="O66" s="10"/>
      <c r="P66" s="22"/>
      <c r="Q66" s="10"/>
      <c r="R66" s="10"/>
      <c r="S66" s="10"/>
      <c r="T66" s="10"/>
      <c r="U66" s="10"/>
      <c r="V66" s="10"/>
      <c r="W66" s="10"/>
      <c r="X66" s="10"/>
      <c r="Y66" s="10"/>
      <c r="Z66" s="11"/>
      <c r="AA66" s="3"/>
      <c r="AC66" s="20" t="str">
        <f t="shared" si="6"/>
        <v>"5.項目内容"</v>
      </c>
      <c r="AD66" s="20" t="str">
        <f t="shared" si="7"/>
        <v>"example5.項目内容"</v>
      </c>
      <c r="AE66" s="20" t="str">
        <f t="shared" si="8"/>
        <v>"5.項目内容": "example5.項目内容",</v>
      </c>
    </row>
    <row r="67" spans="1:31">
      <c r="A67" s="2"/>
      <c r="C67" s="1"/>
      <c r="D67" s="1"/>
      <c r="E67" s="1"/>
      <c r="F67" s="8"/>
      <c r="J67" s="8"/>
      <c r="P67" s="8"/>
      <c r="AA67" s="3"/>
      <c r="AC67" s="20" t="str">
        <f t="shared" si="6"/>
        <v>""</v>
      </c>
      <c r="AD67" s="20" t="str">
        <f t="shared" si="7"/>
        <v>"example"</v>
      </c>
      <c r="AE67" s="20" t="str">
        <f t="shared" si="8"/>
        <v>"": "example",</v>
      </c>
    </row>
    <row r="68" spans="1:31">
      <c r="A68" s="2"/>
      <c r="C68" s="9" t="s">
        <v>46</v>
      </c>
      <c r="D68" s="8" t="s">
        <v>82</v>
      </c>
      <c r="AA68" s="3"/>
      <c r="AC68" s="20" t="str">
        <f t="shared" si="6"/>
        <v>""</v>
      </c>
      <c r="AD68" s="20" t="str">
        <f t="shared" si="7"/>
        <v>"example"</v>
      </c>
      <c r="AE68" s="20" t="str">
        <f t="shared" si="8"/>
        <v>"": "example",</v>
      </c>
    </row>
    <row r="69" spans="1:31" ht="54" customHeight="1">
      <c r="A69" s="2"/>
      <c r="C69" s="266" t="s">
        <v>35</v>
      </c>
      <c r="D69" s="266"/>
      <c r="E69" s="266"/>
      <c r="F69" s="266"/>
      <c r="G69" s="256" t="s">
        <v>303</v>
      </c>
      <c r="H69" s="257"/>
      <c r="I69" s="257"/>
      <c r="J69" s="257"/>
      <c r="K69" s="257"/>
      <c r="L69" s="257"/>
      <c r="M69" s="257"/>
      <c r="N69" s="257"/>
      <c r="O69" s="257"/>
      <c r="P69" s="257"/>
      <c r="Q69" s="257"/>
      <c r="R69" s="257"/>
      <c r="S69" s="257"/>
      <c r="T69" s="257"/>
      <c r="U69" s="257"/>
      <c r="V69" s="257"/>
      <c r="W69" s="257"/>
      <c r="X69" s="257"/>
      <c r="Y69" s="257"/>
      <c r="Z69" s="257"/>
      <c r="AA69" s="3"/>
      <c r="AC69" s="20" t="str">
        <f t="shared" si="6"/>
        <v>""</v>
      </c>
      <c r="AD69" s="20" t="str">
        <f t="shared" si="7"/>
        <v>"example"</v>
      </c>
      <c r="AE69" s="20" t="str">
        <f t="shared" si="8"/>
        <v>"": "example",</v>
      </c>
    </row>
    <row r="70" spans="1:31">
      <c r="A70" s="2"/>
      <c r="C70" s="1"/>
      <c r="D70" s="1"/>
      <c r="E70" s="1"/>
      <c r="F70" s="1"/>
      <c r="G70" s="1"/>
      <c r="H70" s="1"/>
      <c r="I70" s="1"/>
      <c r="J70" s="1"/>
      <c r="K70" s="1"/>
      <c r="L70" s="1"/>
      <c r="M70" s="1"/>
      <c r="N70" s="1"/>
      <c r="O70" s="1"/>
      <c r="P70" s="1"/>
      <c r="Q70" s="1"/>
      <c r="R70" s="1"/>
      <c r="S70" s="1"/>
      <c r="T70" s="1"/>
      <c r="U70" s="1"/>
      <c r="V70" s="1"/>
      <c r="W70" s="1"/>
      <c r="X70" s="1"/>
      <c r="Y70" s="1"/>
      <c r="Z70" s="1"/>
      <c r="AA70" s="3"/>
      <c r="AC70" s="20" t="str">
        <f t="shared" si="6"/>
        <v>""</v>
      </c>
      <c r="AD70" s="20" t="str">
        <f t="shared" si="7"/>
        <v>"example"</v>
      </c>
      <c r="AE70" s="20" t="str">
        <f t="shared" si="8"/>
        <v>"": "example",</v>
      </c>
    </row>
    <row r="71" spans="1:31">
      <c r="A71" s="2"/>
      <c r="C71" s="9" t="s">
        <v>120</v>
      </c>
      <c r="D71" s="8"/>
      <c r="AA71" s="3"/>
      <c r="AC71" s="20" t="str">
        <f t="shared" si="6"/>
        <v>""</v>
      </c>
      <c r="AD71" s="20" t="str">
        <f t="shared" si="7"/>
        <v>"example"</v>
      </c>
      <c r="AE71" s="20" t="str">
        <f t="shared" si="8"/>
        <v>"": "example",</v>
      </c>
    </row>
    <row r="72" spans="1:31">
      <c r="A72" s="2"/>
      <c r="C72" s="267" t="s">
        <v>7</v>
      </c>
      <c r="D72" s="267"/>
      <c r="E72" s="267" t="s">
        <v>9</v>
      </c>
      <c r="F72" s="267"/>
      <c r="G72" s="267"/>
      <c r="H72" s="267"/>
      <c r="I72" s="267"/>
      <c r="J72" s="268" t="s">
        <v>18</v>
      </c>
      <c r="K72" s="269"/>
      <c r="L72" s="269"/>
      <c r="M72" s="269"/>
      <c r="N72" s="269"/>
      <c r="O72" s="269"/>
      <c r="P72" s="269"/>
      <c r="Q72" s="269"/>
      <c r="R72" s="269"/>
      <c r="S72" s="269"/>
      <c r="T72" s="269"/>
      <c r="U72" s="269"/>
      <c r="V72" s="269"/>
      <c r="W72" s="269"/>
      <c r="X72" s="269"/>
      <c r="Y72" s="269"/>
      <c r="Z72" s="270"/>
      <c r="AA72" s="3"/>
      <c r="AC72" s="20" t="str">
        <f t="shared" si="6"/>
        <v>"取得元データ"</v>
      </c>
      <c r="AD72" s="20" t="str">
        <f t="shared" si="7"/>
        <v>"example取得元データ"</v>
      </c>
      <c r="AE72" s="20" t="str">
        <f t="shared" si="8"/>
        <v>"取得元データ": "example取得元データ",</v>
      </c>
    </row>
    <row r="73" spans="1:31">
      <c r="A73" s="2"/>
      <c r="C73" s="261">
        <v>1</v>
      </c>
      <c r="D73" s="261"/>
      <c r="E73" s="18" t="s">
        <v>83</v>
      </c>
      <c r="F73" s="16"/>
      <c r="G73" s="16"/>
      <c r="H73" s="16"/>
      <c r="I73" s="17"/>
      <c r="J73" s="15"/>
      <c r="K73" s="10"/>
      <c r="L73" s="10"/>
      <c r="M73" s="10"/>
      <c r="N73" s="10"/>
      <c r="O73" s="10"/>
      <c r="P73" s="22"/>
      <c r="Q73" s="10"/>
      <c r="R73" s="10"/>
      <c r="S73" s="10"/>
      <c r="T73" s="10"/>
      <c r="U73" s="10"/>
      <c r="V73" s="10"/>
      <c r="W73" s="10"/>
      <c r="X73" s="10"/>
      <c r="Y73" s="10"/>
      <c r="Z73" s="11"/>
      <c r="AA73" s="3"/>
      <c r="AC73" s="20" t="str">
        <f t="shared" si="6"/>
        <v>""</v>
      </c>
      <c r="AD73" s="20" t="str">
        <f t="shared" si="7"/>
        <v>"example"</v>
      </c>
      <c r="AE73" s="20" t="str">
        <f t="shared" si="8"/>
        <v>"": "example",</v>
      </c>
    </row>
    <row r="74" spans="1:31">
      <c r="A74" s="2"/>
      <c r="C74" s="261">
        <v>2</v>
      </c>
      <c r="D74" s="261"/>
      <c r="E74" s="15"/>
      <c r="F74" s="16" t="s">
        <v>84</v>
      </c>
      <c r="G74" s="16"/>
      <c r="H74" s="16"/>
      <c r="I74" s="17"/>
      <c r="J74" s="15" t="s">
        <v>312</v>
      </c>
      <c r="K74" s="10"/>
      <c r="L74" s="10"/>
      <c r="M74" s="10"/>
      <c r="N74" s="10"/>
      <c r="O74" s="10"/>
      <c r="P74" s="22"/>
      <c r="Q74" s="10"/>
      <c r="R74" s="10"/>
      <c r="S74" s="10"/>
      <c r="T74" s="10"/>
      <c r="U74" s="10"/>
      <c r="V74" s="10"/>
      <c r="W74" s="10"/>
      <c r="X74" s="10"/>
      <c r="Y74" s="10"/>
      <c r="Z74" s="11"/>
      <c r="AA74" s="3"/>
      <c r="AC74" s="20" t="str">
        <f t="shared" si="6"/>
        <v>"5.項目コード"</v>
      </c>
      <c r="AD74" s="20" t="str">
        <f t="shared" si="7"/>
        <v>"example5.項目コード"</v>
      </c>
      <c r="AE74" s="20" t="str">
        <f t="shared" si="8"/>
        <v>"5.項目コード": "example5.項目コード",</v>
      </c>
    </row>
    <row r="75" spans="1:31">
      <c r="A75" s="2"/>
      <c r="C75" s="261">
        <v>3</v>
      </c>
      <c r="D75" s="261"/>
      <c r="E75" s="19"/>
      <c r="F75" s="16" t="s">
        <v>85</v>
      </c>
      <c r="G75" s="16"/>
      <c r="H75" s="16"/>
      <c r="I75" s="17"/>
      <c r="J75" s="15" t="s">
        <v>313</v>
      </c>
      <c r="K75" s="10"/>
      <c r="L75" s="10"/>
      <c r="M75" s="10"/>
      <c r="N75" s="10"/>
      <c r="O75" s="10"/>
      <c r="P75" s="22"/>
      <c r="Q75" s="10"/>
      <c r="R75" s="10"/>
      <c r="S75" s="10"/>
      <c r="T75" s="10"/>
      <c r="U75" s="10"/>
      <c r="V75" s="10"/>
      <c r="W75" s="10"/>
      <c r="X75" s="10"/>
      <c r="Y75" s="10"/>
      <c r="Z75" s="11"/>
      <c r="AA75" s="3"/>
      <c r="AC75" s="20" t="str">
        <f t="shared" si="6"/>
        <v>"5.項目内容"</v>
      </c>
      <c r="AD75" s="20" t="str">
        <f t="shared" si="7"/>
        <v>"example5.項目内容"</v>
      </c>
      <c r="AE75" s="20" t="str">
        <f t="shared" si="8"/>
        <v>"5.項目内容": "example5.項目内容",</v>
      </c>
    </row>
    <row r="76" spans="1:31">
      <c r="A76" s="2"/>
      <c r="C76" s="1"/>
      <c r="D76" s="1"/>
      <c r="E76" s="1"/>
      <c r="F76" s="8"/>
      <c r="J76" s="8"/>
      <c r="P76" s="8"/>
      <c r="AA76" s="3"/>
      <c r="AC76" s="20" t="str">
        <f t="shared" si="6"/>
        <v>""</v>
      </c>
      <c r="AD76" s="20" t="str">
        <f t="shared" si="7"/>
        <v>"example"</v>
      </c>
      <c r="AE76" s="20" t="str">
        <f t="shared" si="8"/>
        <v>"": "example",</v>
      </c>
    </row>
    <row r="77" spans="1:31">
      <c r="A77" s="2"/>
      <c r="C77" s="9" t="s">
        <v>47</v>
      </c>
      <c r="D77" s="8" t="s">
        <v>48</v>
      </c>
      <c r="AA77" s="3"/>
      <c r="AC77" s="20" t="str">
        <f t="shared" si="6"/>
        <v>""</v>
      </c>
      <c r="AD77" s="20" t="str">
        <f t="shared" si="7"/>
        <v>"example"</v>
      </c>
      <c r="AE77" s="20" t="str">
        <f t="shared" si="8"/>
        <v>"": "example",</v>
      </c>
    </row>
    <row r="78" spans="1:31">
      <c r="A78" s="2"/>
      <c r="C78" s="267" t="s">
        <v>7</v>
      </c>
      <c r="D78" s="267"/>
      <c r="E78" s="23" t="s">
        <v>9</v>
      </c>
      <c r="F78" s="24"/>
      <c r="G78" s="24"/>
      <c r="H78" s="24"/>
      <c r="I78" s="25"/>
      <c r="J78" s="268" t="s">
        <v>18</v>
      </c>
      <c r="K78" s="269"/>
      <c r="L78" s="269"/>
      <c r="M78" s="269"/>
      <c r="N78" s="269"/>
      <c r="O78" s="269"/>
      <c r="P78" s="269"/>
      <c r="Q78" s="269"/>
      <c r="R78" s="269"/>
      <c r="S78" s="269"/>
      <c r="T78" s="269"/>
      <c r="U78" s="269"/>
      <c r="V78" s="269"/>
      <c r="W78" s="269"/>
      <c r="X78" s="269"/>
      <c r="Y78" s="269"/>
      <c r="Z78" s="270"/>
      <c r="AA78" s="3"/>
    </row>
    <row r="79" spans="1:31">
      <c r="A79" s="2"/>
      <c r="C79" s="21">
        <v>1</v>
      </c>
      <c r="D79" s="21"/>
      <c r="E79" s="15" t="s">
        <v>98</v>
      </c>
      <c r="F79" s="16"/>
      <c r="G79" s="16"/>
      <c r="H79" s="16"/>
      <c r="I79" s="17"/>
      <c r="J79" s="16"/>
      <c r="K79" s="16"/>
      <c r="L79" s="16"/>
      <c r="M79" s="16"/>
      <c r="N79" s="16"/>
      <c r="O79" s="16"/>
      <c r="P79" s="16"/>
      <c r="Q79" s="16"/>
      <c r="R79" s="10"/>
      <c r="S79" s="10"/>
      <c r="T79" s="10"/>
      <c r="U79" s="10"/>
      <c r="V79" s="10"/>
      <c r="W79" s="10"/>
      <c r="X79" s="10"/>
      <c r="Y79" s="10"/>
      <c r="Z79" s="11"/>
      <c r="AA79" s="3"/>
      <c r="AC79" s="20" t="str">
        <f t="shared" ref="AC79:AC83" si="9">""""&amp;J79&amp;""""</f>
        <v>""</v>
      </c>
      <c r="AD79" s="20" t="str">
        <f t="shared" ref="AD79:AD83" si="10">""""&amp;"example"&amp;J79&amp;""""</f>
        <v>"example"</v>
      </c>
      <c r="AE79" s="20" t="str">
        <f t="shared" ref="AE79:AE83" si="11">AC79&amp;": "&amp;AD79&amp;","</f>
        <v>"": "example",</v>
      </c>
    </row>
    <row r="80" spans="1:31">
      <c r="A80" s="2"/>
      <c r="C80" s="21">
        <v>2</v>
      </c>
      <c r="D80" s="21"/>
      <c r="E80" s="15" t="s">
        <v>99</v>
      </c>
      <c r="F80" s="16"/>
      <c r="G80" s="16"/>
      <c r="H80" s="16"/>
      <c r="I80" s="17"/>
      <c r="J80" s="16"/>
      <c r="K80" s="16"/>
      <c r="L80" s="16"/>
      <c r="M80" s="16"/>
      <c r="N80" s="16"/>
      <c r="O80" s="16"/>
      <c r="P80" s="16"/>
      <c r="Q80" s="16"/>
      <c r="R80" s="16"/>
      <c r="S80" s="10"/>
      <c r="T80" s="10"/>
      <c r="U80" s="10"/>
      <c r="V80" s="10"/>
      <c r="W80" s="10"/>
      <c r="X80" s="10"/>
      <c r="Y80" s="10"/>
      <c r="Z80" s="11"/>
      <c r="AA80" s="3"/>
      <c r="AC80" s="20" t="str">
        <f t="shared" si="9"/>
        <v>""</v>
      </c>
      <c r="AD80" s="20" t="str">
        <f t="shared" si="10"/>
        <v>"example"</v>
      </c>
      <c r="AE80" s="20" t="str">
        <f t="shared" si="11"/>
        <v>"": "example",</v>
      </c>
    </row>
    <row r="81" spans="1:31">
      <c r="A81" s="2"/>
      <c r="C81" s="21">
        <v>3</v>
      </c>
      <c r="D81" s="21"/>
      <c r="E81" s="15" t="s">
        <v>101</v>
      </c>
      <c r="F81" s="16"/>
      <c r="G81" s="16"/>
      <c r="H81" s="16"/>
      <c r="I81" s="17"/>
      <c r="J81" s="16"/>
      <c r="K81" s="16"/>
      <c r="L81" s="16"/>
      <c r="M81" s="16"/>
      <c r="N81" s="16"/>
      <c r="O81" s="16"/>
      <c r="P81" s="16"/>
      <c r="Q81" s="16"/>
      <c r="R81" s="10"/>
      <c r="S81" s="10"/>
      <c r="T81" s="10"/>
      <c r="U81" s="10"/>
      <c r="V81" s="10"/>
      <c r="W81" s="10"/>
      <c r="X81" s="10"/>
      <c r="Y81" s="10"/>
      <c r="Z81" s="11"/>
      <c r="AA81" s="3"/>
      <c r="AC81" s="20" t="str">
        <f t="shared" si="9"/>
        <v>""</v>
      </c>
      <c r="AD81" s="20" t="str">
        <f t="shared" si="10"/>
        <v>"example"</v>
      </c>
      <c r="AE81" s="20" t="str">
        <f t="shared" si="11"/>
        <v>"": "example",</v>
      </c>
    </row>
    <row r="82" spans="1:31">
      <c r="A82" s="2"/>
      <c r="C82" s="21">
        <v>4</v>
      </c>
      <c r="D82" s="21"/>
      <c r="E82" s="15" t="s">
        <v>109</v>
      </c>
      <c r="F82" s="16"/>
      <c r="G82" s="16"/>
      <c r="H82" s="16"/>
      <c r="I82" s="17"/>
      <c r="J82" s="16"/>
      <c r="K82" s="16"/>
      <c r="L82" s="16"/>
      <c r="M82" s="16"/>
      <c r="N82" s="16"/>
      <c r="O82" s="16"/>
      <c r="P82" s="16"/>
      <c r="Q82" s="16"/>
      <c r="R82" s="10"/>
      <c r="S82" s="10"/>
      <c r="T82" s="10"/>
      <c r="U82" s="10"/>
      <c r="V82" s="10"/>
      <c r="W82" s="10"/>
      <c r="X82" s="10"/>
      <c r="Y82" s="10"/>
      <c r="Z82" s="11"/>
      <c r="AA82" s="3"/>
      <c r="AC82" s="20" t="str">
        <f t="shared" si="9"/>
        <v>""</v>
      </c>
      <c r="AD82" s="20" t="str">
        <f t="shared" si="10"/>
        <v>"example"</v>
      </c>
      <c r="AE82" s="20" t="str">
        <f t="shared" si="11"/>
        <v>"": "example",</v>
      </c>
    </row>
    <row r="83" spans="1:31">
      <c r="A83" s="2"/>
      <c r="C83" s="21">
        <v>5</v>
      </c>
      <c r="D83" s="21"/>
      <c r="E83" s="15" t="s">
        <v>365</v>
      </c>
      <c r="F83" s="16"/>
      <c r="G83" s="16"/>
      <c r="H83" s="16"/>
      <c r="I83" s="17"/>
      <c r="J83" s="16"/>
      <c r="K83" s="16"/>
      <c r="L83" s="16"/>
      <c r="M83" s="16"/>
      <c r="N83" s="16"/>
      <c r="O83" s="16"/>
      <c r="P83" s="16"/>
      <c r="Q83" s="16"/>
      <c r="R83" s="10"/>
      <c r="S83" s="10"/>
      <c r="T83" s="10"/>
      <c r="U83" s="10"/>
      <c r="V83" s="10"/>
      <c r="W83" s="10"/>
      <c r="X83" s="10"/>
      <c r="Y83" s="10"/>
      <c r="Z83" s="11"/>
      <c r="AA83" s="3"/>
      <c r="AC83" s="20" t="str">
        <f t="shared" si="9"/>
        <v>""</v>
      </c>
      <c r="AD83" s="20" t="str">
        <f t="shared" si="10"/>
        <v>"example"</v>
      </c>
      <c r="AE83" s="20" t="str">
        <f t="shared" si="11"/>
        <v>"": "example",</v>
      </c>
    </row>
    <row r="84" spans="1:31">
      <c r="A84" s="2"/>
      <c r="C84" s="21">
        <v>6</v>
      </c>
      <c r="D84" s="21"/>
      <c r="E84" s="15" t="s">
        <v>83</v>
      </c>
      <c r="F84" s="16"/>
      <c r="G84" s="16"/>
      <c r="H84" s="16"/>
      <c r="I84" s="17"/>
      <c r="J84" s="16"/>
      <c r="K84" s="16"/>
      <c r="L84" s="16"/>
      <c r="M84" s="16"/>
      <c r="N84" s="16"/>
      <c r="O84" s="16"/>
      <c r="P84" s="16"/>
      <c r="Q84" s="16"/>
      <c r="R84" s="10"/>
      <c r="S84" s="10"/>
      <c r="T84" s="10"/>
      <c r="U84" s="10"/>
      <c r="V84" s="10"/>
      <c r="W84" s="10"/>
      <c r="X84" s="10"/>
      <c r="Y84" s="10"/>
      <c r="Z84" s="11"/>
      <c r="AA84" s="3"/>
      <c r="AC84" s="20" t="str">
        <f t="shared" si="6"/>
        <v>""</v>
      </c>
      <c r="AD84" s="20" t="str">
        <f t="shared" si="7"/>
        <v>"example"</v>
      </c>
      <c r="AE84" s="20" t="str">
        <f t="shared" si="8"/>
        <v>"": "example",</v>
      </c>
    </row>
    <row r="85" spans="1:31">
      <c r="A85" s="2"/>
      <c r="C85" s="267" t="s">
        <v>16</v>
      </c>
      <c r="D85" s="267"/>
      <c r="E85" s="267"/>
      <c r="F85" s="267"/>
      <c r="G85" s="257">
        <v>200</v>
      </c>
      <c r="H85" s="257"/>
      <c r="I85" s="257"/>
      <c r="J85" s="257"/>
      <c r="K85" s="257"/>
      <c r="L85" s="257"/>
      <c r="M85" s="257"/>
      <c r="N85" s="257"/>
      <c r="O85" s="257"/>
      <c r="P85" s="257"/>
      <c r="Q85" s="257"/>
      <c r="R85" s="257"/>
      <c r="S85" s="257"/>
      <c r="T85" s="257"/>
      <c r="U85" s="257"/>
      <c r="V85" s="257"/>
      <c r="W85" s="257"/>
      <c r="X85" s="257"/>
      <c r="Y85" s="257"/>
      <c r="Z85" s="257"/>
      <c r="AA85" s="3"/>
    </row>
    <row r="86" spans="1:31">
      <c r="A86" s="1"/>
      <c r="B86" s="1"/>
      <c r="C86" s="1"/>
      <c r="D86" s="1"/>
      <c r="E86" s="1"/>
      <c r="F86" s="1"/>
      <c r="G86" s="1"/>
      <c r="H86" s="1"/>
      <c r="I86" s="1"/>
      <c r="J86" s="1"/>
      <c r="K86" s="1"/>
      <c r="L86" s="1"/>
      <c r="M86" s="1"/>
      <c r="N86" s="1"/>
      <c r="O86" s="1"/>
      <c r="P86" s="1"/>
      <c r="Q86" s="1"/>
      <c r="R86" s="1"/>
      <c r="S86" s="1"/>
      <c r="T86" s="1"/>
      <c r="U86" s="1"/>
      <c r="V86" s="1"/>
      <c r="W86" s="1"/>
      <c r="X86" s="1"/>
      <c r="Y86" s="1"/>
      <c r="Z86" s="1"/>
      <c r="AA86" s="3"/>
    </row>
    <row r="87" spans="1:31">
      <c r="A87" s="5"/>
      <c r="B87" s="6"/>
      <c r="C87" s="6"/>
      <c r="D87" s="6"/>
      <c r="E87" s="6"/>
      <c r="F87" s="6"/>
      <c r="G87" s="6"/>
      <c r="H87" s="6"/>
      <c r="I87" s="6"/>
      <c r="J87" s="6"/>
      <c r="K87" s="6"/>
      <c r="L87" s="6"/>
      <c r="M87" s="6"/>
      <c r="N87" s="6"/>
      <c r="O87" s="6"/>
      <c r="P87" s="6"/>
      <c r="Q87" s="6"/>
      <c r="R87" s="6"/>
      <c r="S87" s="6"/>
      <c r="T87" s="6"/>
      <c r="U87" s="6"/>
      <c r="V87" s="6"/>
      <c r="W87" s="6"/>
      <c r="X87" s="6"/>
      <c r="Y87" s="6"/>
      <c r="Z87" s="6"/>
      <c r="AA87" s="7"/>
    </row>
    <row r="88" spans="1:31">
      <c r="A88" s="12"/>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4"/>
    </row>
    <row r="89" spans="1:31">
      <c r="A89" s="2"/>
      <c r="B89" t="s">
        <v>19</v>
      </c>
      <c r="AA89" s="3"/>
    </row>
    <row r="90" spans="1:31">
      <c r="A90" s="2"/>
      <c r="AA90" s="3"/>
    </row>
    <row r="91" spans="1:31">
      <c r="A91" s="2"/>
      <c r="B91" s="12"/>
      <c r="C91" s="13" t="s">
        <v>20</v>
      </c>
      <c r="D91" s="13"/>
      <c r="E91" s="13"/>
      <c r="F91" s="13"/>
      <c r="G91" s="13"/>
      <c r="H91" s="13"/>
      <c r="I91" s="13"/>
      <c r="J91" s="13"/>
      <c r="K91" s="13"/>
      <c r="L91" s="13"/>
      <c r="M91" s="13"/>
      <c r="N91" s="13"/>
      <c r="O91" s="13"/>
      <c r="P91" s="13"/>
      <c r="Q91" s="13"/>
      <c r="R91" s="13"/>
      <c r="S91" s="13"/>
      <c r="T91" s="13"/>
      <c r="U91" s="13"/>
      <c r="V91" s="13"/>
      <c r="W91" s="13"/>
      <c r="X91" s="13"/>
      <c r="Y91" s="13"/>
      <c r="Z91" s="14"/>
      <c r="AA91" s="3"/>
    </row>
    <row r="92" spans="1:31">
      <c r="A92" s="2"/>
      <c r="B92" s="2"/>
      <c r="C92" t="s">
        <v>21</v>
      </c>
      <c r="Z92" s="3"/>
      <c r="AA92" s="3"/>
    </row>
    <row r="93" spans="1:31">
      <c r="A93" s="2"/>
      <c r="B93" s="2"/>
      <c r="C93" t="s">
        <v>22</v>
      </c>
      <c r="Z93" s="3"/>
      <c r="AA93" s="3"/>
    </row>
    <row r="94" spans="1:31">
      <c r="A94" s="2"/>
      <c r="B94" s="2"/>
      <c r="C94" t="s">
        <v>23</v>
      </c>
      <c r="Z94" s="3"/>
      <c r="AA94" s="3"/>
    </row>
    <row r="95" spans="1:31">
      <c r="A95" s="2"/>
      <c r="B95" s="2"/>
      <c r="C95" t="s">
        <v>24</v>
      </c>
      <c r="Z95" s="3"/>
      <c r="AA95" s="3"/>
    </row>
    <row r="96" spans="1:31">
      <c r="A96" s="2"/>
      <c r="B96" s="2"/>
      <c r="C96" t="s">
        <v>86</v>
      </c>
      <c r="Z96" s="3"/>
      <c r="AA96" s="3"/>
    </row>
    <row r="97" spans="1:27">
      <c r="A97" s="2"/>
      <c r="B97" s="2"/>
      <c r="E97" s="8" t="s">
        <v>87</v>
      </c>
      <c r="Z97" s="3"/>
      <c r="AA97" s="3"/>
    </row>
    <row r="98" spans="1:27">
      <c r="A98" s="2"/>
      <c r="B98" s="2"/>
      <c r="E98" s="8" t="s">
        <v>76</v>
      </c>
      <c r="Z98" s="3"/>
      <c r="AA98" s="3"/>
    </row>
    <row r="99" spans="1:27">
      <c r="A99" s="2"/>
      <c r="B99" s="2"/>
      <c r="E99" s="8" t="s">
        <v>77</v>
      </c>
      <c r="Z99" s="3"/>
      <c r="AA99" s="3"/>
    </row>
    <row r="100" spans="1:27">
      <c r="A100" s="2"/>
      <c r="B100" s="2"/>
      <c r="E100" s="8" t="s">
        <v>78</v>
      </c>
      <c r="Z100" s="3"/>
      <c r="AA100" s="3"/>
    </row>
    <row r="101" spans="1:27">
      <c r="A101" s="2"/>
      <c r="B101" s="2"/>
      <c r="E101" t="s">
        <v>79</v>
      </c>
      <c r="Z101" s="3"/>
      <c r="AA101" s="3"/>
    </row>
    <row r="102" spans="1:27">
      <c r="A102" s="2"/>
      <c r="B102" s="2"/>
      <c r="E102" t="s">
        <v>88</v>
      </c>
      <c r="Z102" s="3"/>
      <c r="AA102" s="3"/>
    </row>
    <row r="103" spans="1:27">
      <c r="A103" s="2"/>
      <c r="B103" s="2"/>
      <c r="E103" s="8" t="s">
        <v>50</v>
      </c>
      <c r="Z103" s="3"/>
      <c r="AA103" s="3"/>
    </row>
    <row r="104" spans="1:27">
      <c r="A104" s="2"/>
      <c r="B104" s="2"/>
      <c r="D104" t="s">
        <v>89</v>
      </c>
      <c r="E104" s="8"/>
      <c r="Z104" s="3"/>
      <c r="AA104" s="3"/>
    </row>
    <row r="105" spans="1:27">
      <c r="A105" s="2"/>
      <c r="B105" s="2"/>
      <c r="E105" s="8" t="s">
        <v>92</v>
      </c>
      <c r="Z105" s="3"/>
      <c r="AA105" s="3"/>
    </row>
    <row r="106" spans="1:27">
      <c r="A106" s="2"/>
      <c r="B106" s="2"/>
      <c r="E106" s="8" t="s">
        <v>90</v>
      </c>
      <c r="Z106" s="3"/>
      <c r="AA106" s="3"/>
    </row>
    <row r="107" spans="1:27">
      <c r="A107" s="2"/>
      <c r="B107" s="2"/>
      <c r="E107" t="s">
        <v>91</v>
      </c>
      <c r="Z107" s="3"/>
      <c r="AA107" s="3"/>
    </row>
    <row r="108" spans="1:27">
      <c r="A108" s="2"/>
      <c r="B108" s="2"/>
      <c r="E108" t="s">
        <v>93</v>
      </c>
      <c r="Z108" s="3"/>
      <c r="AA108" s="3"/>
    </row>
    <row r="109" spans="1:27">
      <c r="A109" s="2"/>
      <c r="B109" s="2"/>
      <c r="E109" s="8" t="s">
        <v>50</v>
      </c>
      <c r="Z109" s="3"/>
      <c r="AA109" s="3"/>
    </row>
    <row r="110" spans="1:27">
      <c r="A110" s="2"/>
      <c r="B110" s="2"/>
      <c r="D110" t="s">
        <v>94</v>
      </c>
      <c r="E110" s="8"/>
      <c r="Z110" s="3"/>
      <c r="AA110" s="3"/>
    </row>
    <row r="111" spans="1:27">
      <c r="A111" s="2"/>
      <c r="B111" s="2"/>
      <c r="E111" s="8" t="s">
        <v>95</v>
      </c>
      <c r="Z111" s="3"/>
      <c r="AA111" s="3"/>
    </row>
    <row r="112" spans="1:27">
      <c r="A112" s="2"/>
      <c r="B112" s="2"/>
      <c r="E112" s="8" t="s">
        <v>96</v>
      </c>
      <c r="Z112" s="3"/>
      <c r="AA112" s="3"/>
    </row>
    <row r="113" spans="1:27">
      <c r="A113" s="2"/>
      <c r="B113" s="2"/>
      <c r="E113" t="s">
        <v>50</v>
      </c>
      <c r="Z113" s="3"/>
      <c r="AA113" s="3"/>
    </row>
    <row r="114" spans="1:27">
      <c r="A114" s="2"/>
      <c r="B114" s="2"/>
      <c r="D114" t="s">
        <v>72</v>
      </c>
      <c r="Z114" s="3"/>
      <c r="AA114" s="3"/>
    </row>
    <row r="115" spans="1:27">
      <c r="A115" s="2"/>
      <c r="B115" s="2"/>
      <c r="C115" t="s">
        <v>72</v>
      </c>
      <c r="E115" s="8"/>
      <c r="Z115" s="3"/>
      <c r="AA115" s="3"/>
    </row>
    <row r="116" spans="1:27">
      <c r="A116" s="2"/>
      <c r="B116" s="2"/>
      <c r="Z116" s="3"/>
      <c r="AA116" s="3"/>
    </row>
    <row r="117" spans="1:27">
      <c r="A117" s="2"/>
      <c r="B117" s="2"/>
      <c r="C117" t="s">
        <v>27</v>
      </c>
      <c r="Z117" s="3"/>
      <c r="AA117" s="3"/>
    </row>
    <row r="118" spans="1:27">
      <c r="A118" s="2"/>
      <c r="B118" s="2"/>
      <c r="C118" t="s">
        <v>21</v>
      </c>
      <c r="Z118" s="3"/>
      <c r="AA118" s="3"/>
    </row>
    <row r="119" spans="1:27">
      <c r="A119" s="2"/>
      <c r="B119" s="2"/>
      <c r="C119" s="8" t="s">
        <v>40</v>
      </c>
      <c r="Z119" s="3"/>
      <c r="AA119" s="3"/>
    </row>
    <row r="120" spans="1:27">
      <c r="A120" s="2"/>
      <c r="B120" s="2"/>
      <c r="C120" t="s">
        <v>28</v>
      </c>
      <c r="Z120" s="3"/>
      <c r="AA120" s="3"/>
    </row>
    <row r="121" spans="1:27">
      <c r="A121" s="2"/>
      <c r="B121" s="2"/>
      <c r="C121" t="s">
        <v>26</v>
      </c>
      <c r="Z121" s="3"/>
      <c r="AA121" s="3"/>
    </row>
    <row r="122" spans="1:27">
      <c r="A122" s="2"/>
      <c r="B122" s="5"/>
      <c r="C122" s="6"/>
      <c r="D122" s="6"/>
      <c r="E122" s="6"/>
      <c r="F122" s="6"/>
      <c r="G122" s="6"/>
      <c r="H122" s="6"/>
      <c r="I122" s="6"/>
      <c r="J122" s="6"/>
      <c r="K122" s="6"/>
      <c r="L122" s="6"/>
      <c r="M122" s="6"/>
      <c r="N122" s="6"/>
      <c r="O122" s="6"/>
      <c r="P122" s="6"/>
      <c r="Q122" s="6"/>
      <c r="R122" s="6"/>
      <c r="S122" s="6"/>
      <c r="T122" s="6"/>
      <c r="U122" s="6"/>
      <c r="V122" s="6"/>
      <c r="W122" s="6"/>
      <c r="X122" s="6"/>
      <c r="Y122" s="6"/>
      <c r="Z122" s="7"/>
      <c r="AA122" s="3"/>
    </row>
    <row r="123" spans="1:27">
      <c r="A123" s="5"/>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7"/>
    </row>
  </sheetData>
  <mergeCells count="126">
    <mergeCell ref="C64:D64"/>
    <mergeCell ref="C65:D65"/>
    <mergeCell ref="C66:D66"/>
    <mergeCell ref="C63:D63"/>
    <mergeCell ref="C60:F60"/>
    <mergeCell ref="G60:Z60"/>
    <mergeCell ref="C56:D56"/>
    <mergeCell ref="C57:D57"/>
    <mergeCell ref="C46:D46"/>
    <mergeCell ref="C47:D47"/>
    <mergeCell ref="C48:D48"/>
    <mergeCell ref="C54:D54"/>
    <mergeCell ref="E54:I54"/>
    <mergeCell ref="C55:D55"/>
    <mergeCell ref="C51:F51"/>
    <mergeCell ref="G51:Z51"/>
    <mergeCell ref="C24:F24"/>
    <mergeCell ref="G24:Z24"/>
    <mergeCell ref="C27:D27"/>
    <mergeCell ref="E27:I27"/>
    <mergeCell ref="C28:D28"/>
    <mergeCell ref="E28:I28"/>
    <mergeCell ref="C29:D29"/>
    <mergeCell ref="J27:Z27"/>
    <mergeCell ref="E63:I63"/>
    <mergeCell ref="C39:D39"/>
    <mergeCell ref="C42:F42"/>
    <mergeCell ref="G42:Z42"/>
    <mergeCell ref="C45:D45"/>
    <mergeCell ref="E45:I45"/>
    <mergeCell ref="J36:Z36"/>
    <mergeCell ref="J45:Z45"/>
    <mergeCell ref="J54:Z54"/>
    <mergeCell ref="J63:Z63"/>
    <mergeCell ref="C30:D30"/>
    <mergeCell ref="C33:F33"/>
    <mergeCell ref="G33:Z33"/>
    <mergeCell ref="C36:D36"/>
    <mergeCell ref="E36:I36"/>
    <mergeCell ref="C85:F85"/>
    <mergeCell ref="G85:Z85"/>
    <mergeCell ref="C78:D78"/>
    <mergeCell ref="C72:D72"/>
    <mergeCell ref="E72:I72"/>
    <mergeCell ref="C73:D73"/>
    <mergeCell ref="C74:D74"/>
    <mergeCell ref="C75:D75"/>
    <mergeCell ref="J72:Z72"/>
    <mergeCell ref="J78:Z78"/>
    <mergeCell ref="C69:F69"/>
    <mergeCell ref="G69:Z69"/>
    <mergeCell ref="B16:C16"/>
    <mergeCell ref="D16:I16"/>
    <mergeCell ref="J16:P16"/>
    <mergeCell ref="Q16:R16"/>
    <mergeCell ref="S16:Z16"/>
    <mergeCell ref="B17:C17"/>
    <mergeCell ref="D17:I17"/>
    <mergeCell ref="J17:P17"/>
    <mergeCell ref="Q17:R17"/>
    <mergeCell ref="S17:Z17"/>
    <mergeCell ref="B18:C18"/>
    <mergeCell ref="D18:I18"/>
    <mergeCell ref="J18:P18"/>
    <mergeCell ref="Q18:R18"/>
    <mergeCell ref="S18:Z18"/>
    <mergeCell ref="B19:C19"/>
    <mergeCell ref="D19:I19"/>
    <mergeCell ref="J19:P19"/>
    <mergeCell ref="Q19:R19"/>
    <mergeCell ref="S19:Z19"/>
    <mergeCell ref="C37:D37"/>
    <mergeCell ref="C38:D38"/>
    <mergeCell ref="B14:C14"/>
    <mergeCell ref="D14:I14"/>
    <mergeCell ref="J14:P14"/>
    <mergeCell ref="Q14:R14"/>
    <mergeCell ref="S14:Z14"/>
    <mergeCell ref="B15:C15"/>
    <mergeCell ref="D15:I15"/>
    <mergeCell ref="J15:P15"/>
    <mergeCell ref="Q15:R15"/>
    <mergeCell ref="S15:Z15"/>
    <mergeCell ref="B12:C12"/>
    <mergeCell ref="D12:I12"/>
    <mergeCell ref="J12:P12"/>
    <mergeCell ref="Q12:R12"/>
    <mergeCell ref="S12:Z12"/>
    <mergeCell ref="B13:C13"/>
    <mergeCell ref="D13:I13"/>
    <mergeCell ref="J13:P13"/>
    <mergeCell ref="Q13:R13"/>
    <mergeCell ref="S13:Z13"/>
    <mergeCell ref="B10:C10"/>
    <mergeCell ref="D10:I10"/>
    <mergeCell ref="J10:P10"/>
    <mergeCell ref="Q10:R10"/>
    <mergeCell ref="S10:Z10"/>
    <mergeCell ref="B11:C11"/>
    <mergeCell ref="D11:I11"/>
    <mergeCell ref="J11:P11"/>
    <mergeCell ref="Q11:R11"/>
    <mergeCell ref="S11:Z11"/>
    <mergeCell ref="S9:Z9"/>
    <mergeCell ref="V5:X5"/>
    <mergeCell ref="Y5:AA5"/>
    <mergeCell ref="C8:F8"/>
    <mergeCell ref="G8:J8"/>
    <mergeCell ref="N8:P8"/>
    <mergeCell ref="Q8:R8"/>
    <mergeCell ref="S8:Z8"/>
    <mergeCell ref="C9:F9"/>
    <mergeCell ref="G9:J9"/>
    <mergeCell ref="K9:M9"/>
    <mergeCell ref="N9:P9"/>
    <mergeCell ref="Q9:R9"/>
    <mergeCell ref="A1:G2"/>
    <mergeCell ref="H1:AA2"/>
    <mergeCell ref="A3:G4"/>
    <mergeCell ref="H3:AA4"/>
    <mergeCell ref="A5:C5"/>
    <mergeCell ref="D5:G5"/>
    <mergeCell ref="H5:J5"/>
    <mergeCell ref="K5:N5"/>
    <mergeCell ref="O5:Q5"/>
    <mergeCell ref="R5:U5"/>
  </mergeCells>
  <phoneticPr fontId="3"/>
  <pageMargins left="0.39370078740157499" right="0.39370078740157499" top="0.39370078740157499" bottom="0.39370078740157499" header="0.31496062992126" footer="0.31496062992126"/>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45ECD-FD3B-4388-97B4-452BB8F01E5F}">
  <sheetPr>
    <tabColor theme="7" tint="0.39997558519241921"/>
  </sheetPr>
  <dimension ref="A1:AD177"/>
  <sheetViews>
    <sheetView topLeftCell="A38" zoomScaleNormal="100" workbookViewId="0">
      <selection activeCell="AC64" sqref="AC64"/>
    </sheetView>
  </sheetViews>
  <sheetFormatPr defaultColWidth="3.25" defaultRowHeight="18" customHeight="1"/>
  <cols>
    <col min="1" max="18" width="3.25" style="95"/>
    <col min="19" max="19" width="3.25" style="95" customWidth="1"/>
    <col min="20" max="16384" width="3.25" style="95"/>
  </cols>
  <sheetData>
    <row r="1" spans="1:30" ht="18" customHeight="1">
      <c r="A1" s="297" t="s">
        <v>758</v>
      </c>
      <c r="B1" s="297"/>
      <c r="C1" s="297"/>
      <c r="D1" s="297"/>
      <c r="E1" s="297"/>
      <c r="F1" s="297"/>
      <c r="G1" s="297"/>
      <c r="H1" s="298" t="s">
        <v>795</v>
      </c>
      <c r="I1" s="298"/>
      <c r="J1" s="298"/>
      <c r="K1" s="298"/>
      <c r="L1" s="298"/>
      <c r="M1" s="298"/>
      <c r="N1" s="298"/>
      <c r="O1" s="298"/>
      <c r="P1" s="298"/>
      <c r="Q1" s="298"/>
      <c r="R1" s="298"/>
      <c r="S1" s="298"/>
      <c r="T1" s="298"/>
      <c r="U1" s="298"/>
      <c r="V1" s="298"/>
      <c r="W1" s="298"/>
      <c r="X1" s="298"/>
      <c r="Y1" s="298"/>
      <c r="Z1" s="298"/>
      <c r="AA1" s="298"/>
      <c r="AB1" s="298"/>
    </row>
    <row r="2" spans="1:30" ht="18" customHeight="1">
      <c r="A2" s="297"/>
      <c r="B2" s="297"/>
      <c r="C2" s="297"/>
      <c r="D2" s="297"/>
      <c r="E2" s="297"/>
      <c r="F2" s="297"/>
      <c r="G2" s="297"/>
      <c r="H2" s="298"/>
      <c r="I2" s="298"/>
      <c r="J2" s="298"/>
      <c r="K2" s="298"/>
      <c r="L2" s="298"/>
      <c r="M2" s="298"/>
      <c r="N2" s="298"/>
      <c r="O2" s="298"/>
      <c r="P2" s="298"/>
      <c r="Q2" s="298"/>
      <c r="R2" s="298"/>
      <c r="S2" s="298"/>
      <c r="T2" s="298"/>
      <c r="U2" s="298"/>
      <c r="V2" s="298"/>
      <c r="W2" s="298"/>
      <c r="X2" s="298"/>
      <c r="Y2" s="298"/>
      <c r="Z2" s="298"/>
      <c r="AA2" s="298"/>
      <c r="AB2" s="298"/>
    </row>
    <row r="3" spans="1:30" ht="18" customHeight="1">
      <c r="A3" s="297" t="s">
        <v>1</v>
      </c>
      <c r="B3" s="297"/>
      <c r="C3" s="297"/>
      <c r="D3" s="297"/>
      <c r="E3" s="297"/>
      <c r="F3" s="297"/>
      <c r="G3" s="297"/>
      <c r="H3" s="298"/>
      <c r="I3" s="298"/>
      <c r="J3" s="298"/>
      <c r="K3" s="298"/>
      <c r="L3" s="298"/>
      <c r="M3" s="298"/>
      <c r="N3" s="298"/>
      <c r="O3" s="298"/>
      <c r="P3" s="298"/>
      <c r="Q3" s="298"/>
      <c r="R3" s="298"/>
      <c r="S3" s="298"/>
      <c r="T3" s="298"/>
      <c r="U3" s="298"/>
      <c r="V3" s="298"/>
      <c r="W3" s="298"/>
      <c r="X3" s="298"/>
      <c r="Y3" s="298"/>
      <c r="Z3" s="298"/>
      <c r="AA3" s="298"/>
      <c r="AB3" s="298"/>
    </row>
    <row r="4" spans="1:30" ht="18" customHeight="1">
      <c r="A4" s="297"/>
      <c r="B4" s="297"/>
      <c r="C4" s="297"/>
      <c r="D4" s="297"/>
      <c r="E4" s="297"/>
      <c r="F4" s="297"/>
      <c r="G4" s="297"/>
      <c r="H4" s="298"/>
      <c r="I4" s="298"/>
      <c r="J4" s="298"/>
      <c r="K4" s="298"/>
      <c r="L4" s="298"/>
      <c r="M4" s="298"/>
      <c r="N4" s="298"/>
      <c r="O4" s="298"/>
      <c r="P4" s="298"/>
      <c r="Q4" s="298"/>
      <c r="R4" s="298"/>
      <c r="S4" s="298"/>
      <c r="T4" s="298"/>
      <c r="U4" s="298"/>
      <c r="V4" s="298"/>
      <c r="W4" s="298"/>
      <c r="X4" s="298"/>
      <c r="Y4" s="298"/>
      <c r="Z4" s="298"/>
      <c r="AA4" s="298"/>
      <c r="AB4" s="298"/>
    </row>
    <row r="5" spans="1:30" ht="18" customHeight="1">
      <c r="A5" s="280" t="s">
        <v>2</v>
      </c>
      <c r="B5" s="280"/>
      <c r="C5" s="280"/>
      <c r="D5" s="299" t="s">
        <v>614</v>
      </c>
      <c r="E5" s="299"/>
      <c r="F5" s="299"/>
      <c r="G5" s="299"/>
      <c r="H5" s="280" t="s">
        <v>3</v>
      </c>
      <c r="I5" s="280"/>
      <c r="J5" s="280"/>
      <c r="K5" s="300">
        <v>45909</v>
      </c>
      <c r="L5" s="299"/>
      <c r="M5" s="299"/>
      <c r="N5" s="299"/>
      <c r="O5" s="280" t="s">
        <v>4</v>
      </c>
      <c r="P5" s="280"/>
      <c r="Q5" s="280"/>
      <c r="R5" s="299"/>
      <c r="S5" s="299"/>
      <c r="T5" s="299"/>
      <c r="U5" s="299"/>
      <c r="V5" s="280" t="s">
        <v>5</v>
      </c>
      <c r="W5" s="280"/>
      <c r="X5" s="280"/>
      <c r="Y5" s="281"/>
      <c r="Z5" s="282"/>
      <c r="AA5" s="282"/>
      <c r="AB5" s="283"/>
      <c r="AC5" s="96"/>
      <c r="AD5" s="97"/>
    </row>
    <row r="6" spans="1:30" ht="18" customHeight="1">
      <c r="A6" s="98"/>
      <c r="AB6" s="99"/>
    </row>
    <row r="7" spans="1:30" ht="18" customHeight="1">
      <c r="A7" s="98"/>
      <c r="B7" s="95" t="s">
        <v>6</v>
      </c>
      <c r="AB7" s="99"/>
    </row>
    <row r="8" spans="1:30" ht="18" customHeight="1">
      <c r="A8" s="98"/>
      <c r="B8" s="69" t="s">
        <v>7</v>
      </c>
      <c r="C8" s="301" t="s">
        <v>8</v>
      </c>
      <c r="D8" s="302"/>
      <c r="E8" s="302"/>
      <c r="F8" s="302"/>
      <c r="G8" s="302"/>
      <c r="H8" s="302"/>
      <c r="I8" s="302"/>
      <c r="J8" s="302"/>
      <c r="K8" s="303"/>
      <c r="L8" s="301" t="s">
        <v>759</v>
      </c>
      <c r="M8" s="303"/>
      <c r="N8" s="301" t="s">
        <v>11</v>
      </c>
      <c r="O8" s="302"/>
      <c r="P8" s="303"/>
      <c r="Q8" s="304" t="s">
        <v>12</v>
      </c>
      <c r="R8" s="304"/>
      <c r="S8" s="304" t="s">
        <v>13</v>
      </c>
      <c r="T8" s="304"/>
      <c r="U8" s="304"/>
      <c r="V8" s="304"/>
      <c r="W8" s="304"/>
      <c r="X8" s="304"/>
      <c r="Y8" s="304"/>
      <c r="Z8" s="304"/>
      <c r="AA8" s="304"/>
      <c r="AB8" s="99"/>
    </row>
    <row r="9" spans="1:30" ht="18" customHeight="1">
      <c r="A9" s="98"/>
      <c r="B9" s="94">
        <v>1</v>
      </c>
      <c r="C9" s="100" t="s">
        <v>796</v>
      </c>
      <c r="D9" s="29"/>
      <c r="E9" s="29"/>
      <c r="F9" s="29"/>
      <c r="G9" s="29"/>
      <c r="H9" s="29"/>
      <c r="I9" s="29"/>
      <c r="J9" s="29"/>
      <c r="K9" s="30"/>
      <c r="L9" s="305"/>
      <c r="M9" s="306"/>
      <c r="N9" s="278" t="s">
        <v>43</v>
      </c>
      <c r="O9" s="278"/>
      <c r="P9" s="278"/>
      <c r="Q9" s="278"/>
      <c r="R9" s="278"/>
      <c r="S9" s="279"/>
      <c r="T9" s="277"/>
      <c r="U9" s="277"/>
      <c r="V9" s="277"/>
      <c r="W9" s="277"/>
      <c r="X9" s="277"/>
      <c r="Y9" s="277"/>
      <c r="Z9" s="277"/>
      <c r="AA9" s="277"/>
      <c r="AB9" s="99"/>
    </row>
    <row r="10" spans="1:30" ht="18" customHeight="1">
      <c r="A10" s="98"/>
      <c r="B10" s="94">
        <v>2</v>
      </c>
      <c r="C10" s="100" t="s">
        <v>828</v>
      </c>
      <c r="D10" s="29"/>
      <c r="E10" s="29"/>
      <c r="F10" s="29"/>
      <c r="G10" s="29"/>
      <c r="H10" s="29"/>
      <c r="I10" s="29"/>
      <c r="J10" s="29"/>
      <c r="K10" s="30"/>
      <c r="L10" s="305"/>
      <c r="M10" s="306"/>
      <c r="N10" s="278" t="s">
        <v>43</v>
      </c>
      <c r="O10" s="278"/>
      <c r="P10" s="278"/>
      <c r="Q10" s="278"/>
      <c r="R10" s="278"/>
      <c r="S10" s="279" t="s">
        <v>830</v>
      </c>
      <c r="T10" s="277"/>
      <c r="U10" s="277"/>
      <c r="V10" s="277"/>
      <c r="W10" s="277"/>
      <c r="X10" s="277"/>
      <c r="Y10" s="277"/>
      <c r="Z10" s="277"/>
      <c r="AA10" s="277"/>
      <c r="AB10" s="99"/>
      <c r="AD10" s="109"/>
    </row>
    <row r="11" spans="1:30" ht="18" customHeight="1">
      <c r="A11" s="98"/>
      <c r="B11" s="94">
        <v>3</v>
      </c>
      <c r="C11" s="100" t="s">
        <v>829</v>
      </c>
      <c r="D11" s="29"/>
      <c r="E11" s="29"/>
      <c r="F11" s="29"/>
      <c r="G11" s="29"/>
      <c r="H11" s="29"/>
      <c r="I11" s="29"/>
      <c r="J11" s="29"/>
      <c r="K11" s="30"/>
      <c r="L11" s="305"/>
      <c r="M11" s="306"/>
      <c r="N11" s="278" t="s">
        <v>43</v>
      </c>
      <c r="O11" s="278"/>
      <c r="P11" s="278"/>
      <c r="Q11" s="278"/>
      <c r="R11" s="278"/>
      <c r="S11" s="279" t="s">
        <v>830</v>
      </c>
      <c r="T11" s="277"/>
      <c r="U11" s="277"/>
      <c r="V11" s="277"/>
      <c r="W11" s="277"/>
      <c r="X11" s="277"/>
      <c r="Y11" s="277"/>
      <c r="Z11" s="277"/>
      <c r="AA11" s="277"/>
      <c r="AB11" s="99"/>
      <c r="AD11" s="109"/>
    </row>
    <row r="12" spans="1:30" ht="18" customHeight="1">
      <c r="A12" s="102"/>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c r="AA12" s="103"/>
      <c r="AB12" s="104"/>
    </row>
    <row r="13" spans="1:30" ht="18" customHeight="1">
      <c r="A13" s="98"/>
      <c r="AB13" s="99"/>
    </row>
    <row r="14" spans="1:30" ht="18" customHeight="1">
      <c r="A14" s="98"/>
      <c r="B14" s="95" t="s">
        <v>14</v>
      </c>
      <c r="AB14" s="99"/>
    </row>
    <row r="15" spans="1:30" ht="18" customHeight="1">
      <c r="A15" s="98"/>
      <c r="AB15" s="99"/>
    </row>
    <row r="16" spans="1:30" ht="18" customHeight="1">
      <c r="A16" s="98"/>
      <c r="B16" s="105" t="s">
        <v>803</v>
      </c>
      <c r="AB16" s="99"/>
    </row>
    <row r="17" spans="1:30" ht="18" customHeight="1">
      <c r="A17" s="98"/>
      <c r="C17" s="96"/>
      <c r="D17" s="96"/>
      <c r="E17" s="96"/>
      <c r="AB17" s="99"/>
    </row>
    <row r="18" spans="1:30" ht="18" customHeight="1">
      <c r="A18" s="98"/>
      <c r="B18" s="95" t="s">
        <v>797</v>
      </c>
      <c r="C18" s="105"/>
      <c r="AB18" s="99"/>
    </row>
    <row r="19" spans="1:30" ht="18" customHeight="1">
      <c r="A19" s="98"/>
      <c r="C19" s="284" t="s">
        <v>483</v>
      </c>
      <c r="D19" s="284"/>
      <c r="E19" s="284"/>
      <c r="F19" s="284"/>
      <c r="G19" s="277" t="s">
        <v>798</v>
      </c>
      <c r="H19" s="277"/>
      <c r="I19" s="277"/>
      <c r="J19" s="277"/>
      <c r="K19" s="277"/>
      <c r="L19" s="277"/>
      <c r="M19" s="277"/>
      <c r="N19" s="277"/>
      <c r="O19" s="277"/>
      <c r="P19" s="277"/>
      <c r="Q19" s="277"/>
      <c r="R19" s="277"/>
      <c r="S19" s="277"/>
      <c r="T19" s="277"/>
      <c r="U19" s="277"/>
      <c r="V19" s="277"/>
      <c r="W19" s="277"/>
      <c r="X19" s="277"/>
      <c r="Y19" s="277"/>
      <c r="Z19" s="277"/>
      <c r="AA19" s="277"/>
      <c r="AB19" s="99"/>
      <c r="AD19" s="97"/>
    </row>
    <row r="20" spans="1:30" ht="36" customHeight="1">
      <c r="A20" s="98"/>
      <c r="C20" s="285" t="s">
        <v>35</v>
      </c>
      <c r="D20" s="286"/>
      <c r="E20" s="286"/>
      <c r="F20" s="287"/>
      <c r="G20" s="279" t="s">
        <v>799</v>
      </c>
      <c r="H20" s="279"/>
      <c r="I20" s="279"/>
      <c r="J20" s="279"/>
      <c r="K20" s="279"/>
      <c r="L20" s="279"/>
      <c r="M20" s="279"/>
      <c r="N20" s="279"/>
      <c r="O20" s="279"/>
      <c r="P20" s="279"/>
      <c r="Q20" s="279"/>
      <c r="R20" s="279"/>
      <c r="S20" s="279"/>
      <c r="T20" s="279"/>
      <c r="U20" s="279"/>
      <c r="V20" s="279"/>
      <c r="W20" s="279"/>
      <c r="X20" s="279"/>
      <c r="Y20" s="279"/>
      <c r="Z20" s="279"/>
      <c r="AA20" s="279"/>
      <c r="AB20" s="99"/>
    </row>
    <row r="21" spans="1:30" ht="18" customHeight="1">
      <c r="A21" s="98"/>
      <c r="C21" s="288"/>
      <c r="D21" s="289"/>
      <c r="E21" s="289"/>
      <c r="F21" s="290"/>
      <c r="G21" s="277" t="s">
        <v>625</v>
      </c>
      <c r="H21" s="277"/>
      <c r="I21" s="277"/>
      <c r="J21" s="277"/>
      <c r="K21" s="277"/>
      <c r="L21" s="277"/>
      <c r="M21" s="277"/>
      <c r="N21" s="277"/>
      <c r="O21" s="277"/>
      <c r="P21" s="277"/>
      <c r="Q21" s="277"/>
      <c r="R21" s="277"/>
      <c r="S21" s="277"/>
      <c r="T21" s="277"/>
      <c r="U21" s="277"/>
      <c r="V21" s="277"/>
      <c r="W21" s="277"/>
      <c r="X21" s="277"/>
      <c r="Y21" s="277"/>
      <c r="Z21" s="277"/>
      <c r="AA21" s="277"/>
      <c r="AB21" s="99"/>
    </row>
    <row r="22" spans="1:30" ht="18" customHeight="1">
      <c r="A22" s="98"/>
      <c r="C22" s="291"/>
      <c r="D22" s="292"/>
      <c r="E22" s="292"/>
      <c r="F22" s="293"/>
      <c r="G22" s="277" t="s">
        <v>626</v>
      </c>
      <c r="H22" s="277"/>
      <c r="I22" s="277"/>
      <c r="J22" s="277"/>
      <c r="K22" s="277"/>
      <c r="L22" s="277"/>
      <c r="M22" s="277"/>
      <c r="N22" s="277"/>
      <c r="O22" s="277"/>
      <c r="P22" s="277"/>
      <c r="Q22" s="277"/>
      <c r="R22" s="277"/>
      <c r="S22" s="277"/>
      <c r="T22" s="277"/>
      <c r="U22" s="277"/>
      <c r="V22" s="277"/>
      <c r="W22" s="277"/>
      <c r="X22" s="277"/>
      <c r="Y22" s="277"/>
      <c r="Z22" s="277"/>
      <c r="AA22" s="277"/>
      <c r="AB22" s="99"/>
    </row>
    <row r="23" spans="1:30" ht="18" customHeight="1">
      <c r="A23" s="98"/>
      <c r="L23" s="96"/>
      <c r="M23" s="96"/>
      <c r="N23" s="96"/>
      <c r="O23" s="96"/>
      <c r="P23" s="96"/>
      <c r="Q23" s="96"/>
      <c r="R23" s="96"/>
      <c r="S23" s="96"/>
      <c r="T23" s="96"/>
      <c r="U23" s="96"/>
      <c r="V23" s="96"/>
      <c r="W23" s="96"/>
      <c r="X23" s="96"/>
      <c r="Y23" s="96"/>
      <c r="Z23" s="96"/>
      <c r="AA23" s="96"/>
      <c r="AB23" s="99"/>
    </row>
    <row r="24" spans="1:30" ht="18" customHeight="1">
      <c r="A24" s="98"/>
      <c r="C24" s="105" t="s">
        <v>726</v>
      </c>
      <c r="AB24" s="99"/>
    </row>
    <row r="25" spans="1:30" ht="18" customHeight="1">
      <c r="A25" s="98"/>
      <c r="C25" s="273" t="s">
        <v>7</v>
      </c>
      <c r="D25" s="273"/>
      <c r="E25" s="274" t="s">
        <v>9</v>
      </c>
      <c r="F25" s="275"/>
      <c r="G25" s="275"/>
      <c r="H25" s="275"/>
      <c r="I25" s="275"/>
      <c r="J25" s="275"/>
      <c r="K25" s="276"/>
      <c r="L25" s="274" t="s">
        <v>18</v>
      </c>
      <c r="M25" s="275"/>
      <c r="N25" s="275"/>
      <c r="O25" s="275"/>
      <c r="P25" s="275"/>
      <c r="Q25" s="275"/>
      <c r="R25" s="275"/>
      <c r="S25" s="275"/>
      <c r="T25" s="275"/>
      <c r="U25" s="275"/>
      <c r="V25" s="275"/>
      <c r="W25" s="275"/>
      <c r="X25" s="275"/>
      <c r="Y25" s="275"/>
      <c r="Z25" s="275"/>
      <c r="AA25" s="276"/>
      <c r="AB25" s="99"/>
    </row>
    <row r="26" spans="1:30" ht="18" customHeight="1">
      <c r="A26" s="98"/>
      <c r="C26" s="278">
        <v>1</v>
      </c>
      <c r="D26" s="278"/>
      <c r="E26" s="101" t="s">
        <v>284</v>
      </c>
      <c r="F26" s="29"/>
      <c r="G26" s="29"/>
      <c r="H26" s="29"/>
      <c r="I26" s="29"/>
      <c r="J26" s="29"/>
      <c r="K26" s="30"/>
      <c r="L26" s="100" t="s">
        <v>801</v>
      </c>
      <c r="M26" s="29"/>
      <c r="N26" s="29"/>
      <c r="O26" s="29"/>
      <c r="P26" s="29"/>
      <c r="Q26" s="29"/>
      <c r="R26" s="29"/>
      <c r="S26" s="29"/>
      <c r="T26" s="29"/>
      <c r="U26" s="29"/>
      <c r="V26" s="29"/>
      <c r="W26" s="29"/>
      <c r="X26" s="29"/>
      <c r="Y26" s="29"/>
      <c r="Z26" s="29"/>
      <c r="AA26" s="30"/>
      <c r="AB26" s="99"/>
    </row>
    <row r="27" spans="1:30" ht="18" customHeight="1">
      <c r="A27" s="98"/>
      <c r="C27" s="278">
        <v>2</v>
      </c>
      <c r="D27" s="278"/>
      <c r="E27" s="101" t="s">
        <v>800</v>
      </c>
      <c r="F27" s="29"/>
      <c r="G27" s="29"/>
      <c r="H27" s="29"/>
      <c r="I27" s="29"/>
      <c r="J27" s="29"/>
      <c r="K27" s="30"/>
      <c r="L27" s="100" t="s">
        <v>802</v>
      </c>
      <c r="M27" s="29"/>
      <c r="N27" s="29"/>
      <c r="O27" s="29"/>
      <c r="P27" s="29"/>
      <c r="Q27" s="29"/>
      <c r="R27" s="29"/>
      <c r="S27" s="29"/>
      <c r="T27" s="29"/>
      <c r="U27" s="29"/>
      <c r="V27" s="29"/>
      <c r="W27" s="29"/>
      <c r="X27" s="29"/>
      <c r="Y27" s="29"/>
      <c r="Z27" s="29"/>
      <c r="AA27" s="30"/>
      <c r="AB27" s="99"/>
    </row>
    <row r="28" spans="1:30" ht="18" customHeight="1">
      <c r="A28" s="98"/>
      <c r="C28" s="96"/>
      <c r="D28" s="96"/>
      <c r="E28" s="96"/>
      <c r="AB28" s="99"/>
    </row>
    <row r="29" spans="1:30" ht="18" customHeight="1">
      <c r="A29" s="98"/>
      <c r="C29" s="105" t="s">
        <v>827</v>
      </c>
      <c r="AB29" s="99"/>
    </row>
    <row r="30" spans="1:30" ht="18" customHeight="1">
      <c r="A30" s="98"/>
      <c r="C30" s="273" t="s">
        <v>7</v>
      </c>
      <c r="D30" s="273"/>
      <c r="E30" s="274" t="s">
        <v>9</v>
      </c>
      <c r="F30" s="275"/>
      <c r="G30" s="275"/>
      <c r="H30" s="275"/>
      <c r="I30" s="275"/>
      <c r="J30" s="275"/>
      <c r="K30" s="276"/>
      <c r="L30" s="274" t="s">
        <v>18</v>
      </c>
      <c r="M30" s="275"/>
      <c r="N30" s="275"/>
      <c r="O30" s="275"/>
      <c r="P30" s="275"/>
      <c r="Q30" s="275"/>
      <c r="R30" s="275"/>
      <c r="S30" s="275"/>
      <c r="T30" s="275"/>
      <c r="U30" s="275"/>
      <c r="V30" s="275"/>
      <c r="W30" s="275"/>
      <c r="X30" s="275"/>
      <c r="Y30" s="275"/>
      <c r="Z30" s="275"/>
      <c r="AA30" s="276"/>
      <c r="AB30" s="99"/>
    </row>
    <row r="31" spans="1:30" ht="18" customHeight="1">
      <c r="A31" s="98"/>
      <c r="C31" s="278">
        <v>1</v>
      </c>
      <c r="D31" s="278"/>
      <c r="E31" s="101" t="s">
        <v>284</v>
      </c>
      <c r="F31" s="29"/>
      <c r="G31" s="29"/>
      <c r="H31" s="29"/>
      <c r="I31" s="29"/>
      <c r="J31" s="29"/>
      <c r="K31" s="30"/>
      <c r="L31" s="100"/>
      <c r="M31" s="29"/>
      <c r="N31" s="29"/>
      <c r="O31" s="29"/>
      <c r="P31" s="29"/>
      <c r="Q31" s="29"/>
      <c r="R31" s="29"/>
      <c r="S31" s="29"/>
      <c r="T31" s="29"/>
      <c r="U31" s="29"/>
      <c r="V31" s="29"/>
      <c r="W31" s="29"/>
      <c r="X31" s="29"/>
      <c r="Y31" s="29"/>
      <c r="Z31" s="29"/>
      <c r="AA31" s="30"/>
      <c r="AB31" s="99"/>
    </row>
    <row r="32" spans="1:30" ht="18" customHeight="1">
      <c r="A32" s="98"/>
      <c r="C32" s="278">
        <v>2</v>
      </c>
      <c r="D32" s="278"/>
      <c r="E32" s="101" t="s">
        <v>800</v>
      </c>
      <c r="F32" s="29"/>
      <c r="G32" s="29"/>
      <c r="H32" s="29"/>
      <c r="I32" s="29"/>
      <c r="J32" s="29"/>
      <c r="K32" s="30"/>
      <c r="L32" s="100"/>
      <c r="M32" s="29"/>
      <c r="N32" s="29"/>
      <c r="O32" s="29"/>
      <c r="P32" s="29"/>
      <c r="Q32" s="29"/>
      <c r="R32" s="29"/>
      <c r="S32" s="29"/>
      <c r="T32" s="29"/>
      <c r="U32" s="29"/>
      <c r="V32" s="29"/>
      <c r="W32" s="29"/>
      <c r="X32" s="29"/>
      <c r="Y32" s="29"/>
      <c r="Z32" s="29"/>
      <c r="AA32" s="30"/>
      <c r="AB32" s="99"/>
    </row>
    <row r="33" spans="1:28" ht="18" customHeight="1">
      <c r="A33" s="98"/>
      <c r="C33" s="273" t="s">
        <v>16</v>
      </c>
      <c r="D33" s="273"/>
      <c r="E33" s="273"/>
      <c r="F33" s="273"/>
      <c r="G33" s="277">
        <v>200</v>
      </c>
      <c r="H33" s="277"/>
      <c r="I33" s="277"/>
      <c r="J33" s="277"/>
      <c r="K33" s="277"/>
      <c r="L33" s="277"/>
      <c r="M33" s="277"/>
      <c r="N33" s="277"/>
      <c r="O33" s="277"/>
      <c r="P33" s="277"/>
      <c r="Q33" s="277"/>
      <c r="R33" s="277"/>
      <c r="S33" s="277"/>
      <c r="T33" s="277"/>
      <c r="U33" s="277"/>
      <c r="V33" s="277"/>
      <c r="W33" s="277"/>
      <c r="X33" s="277"/>
      <c r="Y33" s="277"/>
      <c r="Z33" s="277"/>
      <c r="AA33" s="277"/>
      <c r="AB33" s="99"/>
    </row>
    <row r="34" spans="1:28" ht="18" customHeight="1">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9"/>
    </row>
    <row r="35" spans="1:28" ht="18" customHeight="1">
      <c r="A35" s="98"/>
      <c r="B35" s="95" t="s">
        <v>826</v>
      </c>
      <c r="AB35" s="99"/>
    </row>
    <row r="36" spans="1:28" ht="18" customHeight="1">
      <c r="A36" s="98"/>
      <c r="AB36" s="99"/>
    </row>
    <row r="37" spans="1:28" ht="18" customHeight="1">
      <c r="A37" s="98"/>
      <c r="B37" s="105" t="s">
        <v>807</v>
      </c>
      <c r="C37" s="105"/>
      <c r="AB37" s="99"/>
    </row>
    <row r="38" spans="1:28" ht="18" customHeight="1">
      <c r="A38" s="98"/>
      <c r="C38" s="274" t="s">
        <v>7</v>
      </c>
      <c r="D38" s="274"/>
      <c r="E38" s="274" t="s">
        <v>9</v>
      </c>
      <c r="F38" s="275"/>
      <c r="G38" s="275"/>
      <c r="H38" s="275"/>
      <c r="I38" s="275"/>
      <c r="J38" s="275"/>
      <c r="K38" s="276"/>
      <c r="L38" s="294" t="s">
        <v>18</v>
      </c>
      <c r="M38" s="295"/>
      <c r="N38" s="295"/>
      <c r="O38" s="295"/>
      <c r="P38" s="295"/>
      <c r="Q38" s="295"/>
      <c r="R38" s="295"/>
      <c r="S38" s="295"/>
      <c r="T38" s="295"/>
      <c r="U38" s="295"/>
      <c r="V38" s="295"/>
      <c r="W38" s="295"/>
      <c r="X38" s="295"/>
      <c r="Y38" s="295"/>
      <c r="Z38" s="295"/>
      <c r="AA38" s="296"/>
      <c r="AB38" s="99"/>
    </row>
    <row r="39" spans="1:28" ht="18" customHeight="1">
      <c r="A39" s="98"/>
      <c r="C39" s="278">
        <v>1</v>
      </c>
      <c r="D39" s="278"/>
      <c r="E39" s="100" t="s">
        <v>808</v>
      </c>
      <c r="F39" s="29"/>
      <c r="G39" s="29"/>
      <c r="H39" s="29"/>
      <c r="I39" s="29"/>
      <c r="J39" s="29"/>
      <c r="K39" s="29"/>
      <c r="L39" s="100" t="s">
        <v>809</v>
      </c>
      <c r="M39" s="29"/>
      <c r="N39" s="29"/>
      <c r="O39" s="29"/>
      <c r="P39" s="29"/>
      <c r="Q39" s="29"/>
      <c r="R39" s="29"/>
      <c r="S39" s="29"/>
      <c r="T39" s="29"/>
      <c r="U39" s="29"/>
      <c r="V39" s="29"/>
      <c r="W39" s="29"/>
      <c r="X39" s="29"/>
      <c r="Y39" s="29"/>
      <c r="Z39" s="29"/>
      <c r="AA39" s="30"/>
      <c r="AB39" s="99"/>
    </row>
    <row r="40" spans="1:28" ht="18" customHeight="1">
      <c r="A40" s="98"/>
      <c r="C40" s="273" t="s">
        <v>16</v>
      </c>
      <c r="D40" s="273"/>
      <c r="E40" s="273"/>
      <c r="F40" s="273"/>
      <c r="G40" s="277">
        <v>200</v>
      </c>
      <c r="H40" s="277"/>
      <c r="I40" s="277"/>
      <c r="J40" s="277"/>
      <c r="K40" s="277"/>
      <c r="L40" s="277"/>
      <c r="M40" s="277"/>
      <c r="N40" s="277"/>
      <c r="O40" s="277"/>
      <c r="P40" s="277"/>
      <c r="Q40" s="277"/>
      <c r="R40" s="277"/>
      <c r="S40" s="277"/>
      <c r="T40" s="277"/>
      <c r="U40" s="277"/>
      <c r="V40" s="277"/>
      <c r="W40" s="277"/>
      <c r="X40" s="277"/>
      <c r="Y40" s="277"/>
      <c r="Z40" s="277"/>
      <c r="AA40" s="277"/>
      <c r="AB40" s="99"/>
    </row>
    <row r="41" spans="1:28" ht="18" customHeight="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c r="AA41" s="96"/>
      <c r="AB41" s="99"/>
    </row>
    <row r="42" spans="1:28" ht="18" customHeight="1">
      <c r="A42" s="98"/>
      <c r="C42" s="105" t="s">
        <v>810</v>
      </c>
      <c r="AB42" s="99"/>
    </row>
    <row r="43" spans="1:28" ht="18" customHeight="1">
      <c r="A43" s="98"/>
      <c r="C43" s="284" t="s">
        <v>483</v>
      </c>
      <c r="D43" s="284"/>
      <c r="E43" s="284"/>
      <c r="F43" s="307"/>
      <c r="G43" s="100" t="s">
        <v>811</v>
      </c>
      <c r="H43" s="29"/>
      <c r="I43" s="29"/>
      <c r="J43" s="29"/>
      <c r="K43" s="29"/>
      <c r="L43" s="29"/>
      <c r="M43" s="29"/>
      <c r="N43" s="29"/>
      <c r="O43" s="29"/>
      <c r="P43" s="29"/>
      <c r="Q43" s="29"/>
      <c r="R43" s="29"/>
      <c r="S43" s="29"/>
      <c r="T43" s="29"/>
      <c r="U43" s="29"/>
      <c r="V43" s="29"/>
      <c r="W43" s="29"/>
      <c r="X43" s="29"/>
      <c r="Y43" s="29"/>
      <c r="Z43" s="29"/>
      <c r="AA43" s="30"/>
      <c r="AB43" s="99"/>
    </row>
    <row r="44" spans="1:28" ht="18" customHeight="1">
      <c r="A44" s="98"/>
      <c r="C44" s="284" t="s">
        <v>637</v>
      </c>
      <c r="D44" s="284"/>
      <c r="E44" s="284"/>
      <c r="F44" s="307"/>
      <c r="G44" s="100" t="s">
        <v>812</v>
      </c>
      <c r="H44" s="29"/>
      <c r="I44" s="29"/>
      <c r="J44" s="29"/>
      <c r="K44" s="29"/>
      <c r="L44" s="29"/>
      <c r="M44" s="29"/>
      <c r="N44" s="29"/>
      <c r="O44" s="29"/>
      <c r="P44" s="29"/>
      <c r="Q44" s="29"/>
      <c r="R44" s="29"/>
      <c r="S44" s="29"/>
      <c r="T44" s="29"/>
      <c r="U44" s="29"/>
      <c r="V44" s="29"/>
      <c r="W44" s="29"/>
      <c r="X44" s="29"/>
      <c r="Y44" s="29"/>
      <c r="Z44" s="29"/>
      <c r="AA44" s="30"/>
      <c r="AB44" s="99"/>
    </row>
    <row r="45" spans="1:28" ht="18" customHeight="1">
      <c r="A45" s="98"/>
      <c r="C45" s="285" t="s">
        <v>35</v>
      </c>
      <c r="D45" s="286"/>
      <c r="E45" s="286"/>
      <c r="F45" s="287"/>
      <c r="G45" s="308" t="s">
        <v>813</v>
      </c>
      <c r="H45" s="309"/>
      <c r="I45" s="309"/>
      <c r="J45" s="309"/>
      <c r="K45" s="309"/>
      <c r="L45" s="309"/>
      <c r="M45" s="309"/>
      <c r="N45" s="309"/>
      <c r="O45" s="309"/>
      <c r="P45" s="309"/>
      <c r="Q45" s="309"/>
      <c r="R45" s="309"/>
      <c r="S45" s="309"/>
      <c r="T45" s="309"/>
      <c r="U45" s="309"/>
      <c r="V45" s="309"/>
      <c r="W45" s="309"/>
      <c r="X45" s="309"/>
      <c r="Y45" s="309"/>
      <c r="Z45" s="309"/>
      <c r="AA45" s="309"/>
      <c r="AB45" s="99"/>
    </row>
    <row r="46" spans="1:28" ht="18" customHeight="1">
      <c r="A46" s="98"/>
      <c r="C46" s="288"/>
      <c r="D46" s="289"/>
      <c r="E46" s="289"/>
      <c r="F46" s="290"/>
      <c r="G46" s="308" t="s">
        <v>814</v>
      </c>
      <c r="H46" s="309"/>
      <c r="I46" s="309"/>
      <c r="J46" s="309"/>
      <c r="K46" s="309"/>
      <c r="L46" s="309"/>
      <c r="M46" s="309"/>
      <c r="N46" s="309"/>
      <c r="O46" s="309"/>
      <c r="P46" s="309"/>
      <c r="Q46" s="309"/>
      <c r="R46" s="309"/>
      <c r="S46" s="309"/>
      <c r="T46" s="309"/>
      <c r="U46" s="309"/>
      <c r="V46" s="309"/>
      <c r="W46" s="309"/>
      <c r="X46" s="309"/>
      <c r="Y46" s="309"/>
      <c r="Z46" s="309"/>
      <c r="AA46" s="309"/>
      <c r="AB46" s="99"/>
    </row>
    <row r="47" spans="1:28" ht="18" customHeight="1">
      <c r="A47" s="98"/>
      <c r="C47" s="288"/>
      <c r="D47" s="289"/>
      <c r="E47" s="289"/>
      <c r="F47" s="290"/>
      <c r="G47" s="308" t="s">
        <v>815</v>
      </c>
      <c r="H47" s="309"/>
      <c r="I47" s="309"/>
      <c r="J47" s="309"/>
      <c r="K47" s="309"/>
      <c r="L47" s="309"/>
      <c r="M47" s="309"/>
      <c r="N47" s="309"/>
      <c r="O47" s="309"/>
      <c r="P47" s="309"/>
      <c r="Q47" s="309"/>
      <c r="R47" s="309"/>
      <c r="S47" s="309"/>
      <c r="T47" s="309"/>
      <c r="U47" s="309"/>
      <c r="V47" s="309"/>
      <c r="W47" s="309"/>
      <c r="X47" s="309"/>
      <c r="Y47" s="309"/>
      <c r="Z47" s="309"/>
      <c r="AA47" s="309"/>
      <c r="AB47" s="99"/>
    </row>
    <row r="48" spans="1:28" ht="18" customHeight="1">
      <c r="A48" s="98"/>
      <c r="C48" s="291"/>
      <c r="D48" s="292"/>
      <c r="E48" s="292"/>
      <c r="F48" s="293"/>
      <c r="G48" s="308" t="s">
        <v>816</v>
      </c>
      <c r="H48" s="309"/>
      <c r="I48" s="309"/>
      <c r="J48" s="309"/>
      <c r="K48" s="309"/>
      <c r="L48" s="309"/>
      <c r="M48" s="309"/>
      <c r="N48" s="309"/>
      <c r="O48" s="309"/>
      <c r="P48" s="309"/>
      <c r="Q48" s="309"/>
      <c r="R48" s="309"/>
      <c r="S48" s="309"/>
      <c r="T48" s="309"/>
      <c r="U48" s="309"/>
      <c r="V48" s="309"/>
      <c r="W48" s="309"/>
      <c r="X48" s="309"/>
      <c r="Y48" s="309"/>
      <c r="Z48" s="309"/>
      <c r="AA48" s="309"/>
      <c r="AB48" s="99"/>
    </row>
    <row r="49" spans="1:29" ht="18" customHeight="1">
      <c r="A49" s="98"/>
      <c r="C49" s="284" t="s">
        <v>132</v>
      </c>
      <c r="D49" s="284"/>
      <c r="E49" s="284"/>
      <c r="F49" s="284"/>
      <c r="G49" s="277" t="s">
        <v>817</v>
      </c>
      <c r="H49" s="277"/>
      <c r="I49" s="277"/>
      <c r="J49" s="277"/>
      <c r="K49" s="277"/>
      <c r="L49" s="277"/>
      <c r="M49" s="277"/>
      <c r="N49" s="277"/>
      <c r="O49" s="277"/>
      <c r="P49" s="277"/>
      <c r="Q49" s="277"/>
      <c r="R49" s="277"/>
      <c r="S49" s="277"/>
      <c r="T49" s="277"/>
      <c r="U49" s="277"/>
      <c r="V49" s="277"/>
      <c r="W49" s="277"/>
      <c r="X49" s="277"/>
      <c r="Y49" s="277"/>
      <c r="Z49" s="277"/>
      <c r="AA49" s="277"/>
      <c r="AB49" s="99"/>
    </row>
    <row r="50" spans="1:29" ht="18" customHeight="1">
      <c r="A50" s="98"/>
      <c r="C50" s="284" t="s">
        <v>35</v>
      </c>
      <c r="D50" s="284"/>
      <c r="E50" s="284"/>
      <c r="F50" s="284"/>
      <c r="G50" s="279" t="s">
        <v>818</v>
      </c>
      <c r="H50" s="277"/>
      <c r="I50" s="277"/>
      <c r="J50" s="277"/>
      <c r="K50" s="277"/>
      <c r="L50" s="277"/>
      <c r="M50" s="277"/>
      <c r="N50" s="277"/>
      <c r="O50" s="277"/>
      <c r="P50" s="277"/>
      <c r="Q50" s="277"/>
      <c r="R50" s="277"/>
      <c r="S50" s="277"/>
      <c r="T50" s="277"/>
      <c r="U50" s="277"/>
      <c r="V50" s="277"/>
      <c r="W50" s="277"/>
      <c r="X50" s="277"/>
      <c r="Y50" s="277"/>
      <c r="Z50" s="277"/>
      <c r="AA50" s="277"/>
      <c r="AB50" s="99"/>
    </row>
    <row r="51" spans="1:29" ht="18" customHeight="1">
      <c r="A51" s="98"/>
      <c r="C51" s="284" t="s">
        <v>463</v>
      </c>
      <c r="D51" s="284"/>
      <c r="E51" s="284"/>
      <c r="F51" s="307"/>
      <c r="G51" s="308" t="s">
        <v>819</v>
      </c>
      <c r="H51" s="309"/>
      <c r="I51" s="309"/>
      <c r="J51" s="309"/>
      <c r="K51" s="309"/>
      <c r="L51" s="309"/>
      <c r="M51" s="309"/>
      <c r="N51" s="309"/>
      <c r="O51" s="309"/>
      <c r="P51" s="309"/>
      <c r="Q51" s="309"/>
      <c r="R51" s="309"/>
      <c r="S51" s="309"/>
      <c r="T51" s="309"/>
      <c r="U51" s="309"/>
      <c r="V51" s="309"/>
      <c r="W51" s="309"/>
      <c r="X51" s="309"/>
      <c r="Y51" s="309"/>
      <c r="Z51" s="309"/>
      <c r="AA51" s="309"/>
      <c r="AB51" s="99"/>
    </row>
    <row r="52" spans="1:29" ht="18" customHeight="1">
      <c r="A52" s="98"/>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9"/>
    </row>
    <row r="53" spans="1:29" ht="18" customHeight="1">
      <c r="A53" s="98"/>
      <c r="C53" s="105" t="s">
        <v>820</v>
      </c>
      <c r="AB53" s="99"/>
    </row>
    <row r="54" spans="1:29" ht="18" customHeight="1">
      <c r="A54" s="98"/>
      <c r="C54" s="274" t="s">
        <v>7</v>
      </c>
      <c r="D54" s="274"/>
      <c r="E54" s="274" t="s">
        <v>9</v>
      </c>
      <c r="F54" s="275"/>
      <c r="G54" s="275"/>
      <c r="H54" s="275"/>
      <c r="I54" s="275"/>
      <c r="J54" s="275"/>
      <c r="K54" s="276"/>
      <c r="L54" s="294" t="s">
        <v>18</v>
      </c>
      <c r="M54" s="295"/>
      <c r="N54" s="295"/>
      <c r="O54" s="295"/>
      <c r="P54" s="295"/>
      <c r="Q54" s="295"/>
      <c r="R54" s="295"/>
      <c r="S54" s="295"/>
      <c r="T54" s="295"/>
      <c r="U54" s="295"/>
      <c r="V54" s="295"/>
      <c r="W54" s="295"/>
      <c r="X54" s="295"/>
      <c r="Y54" s="295"/>
      <c r="Z54" s="295"/>
      <c r="AA54" s="296"/>
      <c r="AB54" s="99"/>
    </row>
    <row r="55" spans="1:29" ht="18" customHeight="1">
      <c r="A55" s="98"/>
      <c r="C55" s="278">
        <v>1</v>
      </c>
      <c r="D55" s="278"/>
      <c r="E55" s="100" t="s">
        <v>808</v>
      </c>
      <c r="F55" s="29"/>
      <c r="G55" s="29"/>
      <c r="H55" s="29"/>
      <c r="I55" s="29"/>
      <c r="J55" s="29"/>
      <c r="K55" s="29"/>
      <c r="L55" s="100"/>
      <c r="M55" s="29"/>
      <c r="N55" s="29"/>
      <c r="O55" s="29"/>
      <c r="P55" s="29"/>
      <c r="Q55" s="29"/>
      <c r="R55" s="29"/>
      <c r="S55" s="29"/>
      <c r="T55" s="29"/>
      <c r="U55" s="29"/>
      <c r="V55" s="29"/>
      <c r="W55" s="29"/>
      <c r="X55" s="29"/>
      <c r="Y55" s="29"/>
      <c r="Z55" s="29"/>
      <c r="AA55" s="30"/>
      <c r="AB55" s="99"/>
    </row>
    <row r="56" spans="1:29" ht="18" customHeight="1">
      <c r="A56" s="98"/>
      <c r="C56" s="278">
        <v>2</v>
      </c>
      <c r="D56" s="278"/>
      <c r="E56" s="100"/>
      <c r="F56" s="29" t="s">
        <v>821</v>
      </c>
      <c r="G56" s="29"/>
      <c r="H56" s="29"/>
      <c r="I56" s="29"/>
      <c r="J56" s="29"/>
      <c r="K56" s="29"/>
      <c r="L56" s="100" t="s">
        <v>822</v>
      </c>
      <c r="M56" s="29"/>
      <c r="N56" s="29"/>
      <c r="O56" s="29"/>
      <c r="P56" s="29"/>
      <c r="Q56" s="29"/>
      <c r="R56" s="29"/>
      <c r="S56" s="29"/>
      <c r="T56" s="29"/>
      <c r="U56" s="29"/>
      <c r="V56" s="29"/>
      <c r="W56" s="29"/>
      <c r="X56" s="29"/>
      <c r="Y56" s="29"/>
      <c r="Z56" s="29"/>
      <c r="AA56" s="30"/>
      <c r="AB56" s="99"/>
    </row>
    <row r="57" spans="1:29" ht="18" customHeight="1">
      <c r="A57" s="98"/>
      <c r="C57" s="278">
        <v>3</v>
      </c>
      <c r="D57" s="278"/>
      <c r="E57" s="100"/>
      <c r="F57" s="29" t="s">
        <v>823</v>
      </c>
      <c r="G57" s="29"/>
      <c r="H57" s="29"/>
      <c r="I57" s="29"/>
      <c r="J57" s="29"/>
      <c r="K57" s="29"/>
      <c r="L57" s="100" t="s">
        <v>824</v>
      </c>
      <c r="M57" s="29"/>
      <c r="N57" s="29"/>
      <c r="O57" s="29"/>
      <c r="P57" s="29"/>
      <c r="Q57" s="29"/>
      <c r="R57" s="29"/>
      <c r="S57" s="29"/>
      <c r="T57" s="29"/>
      <c r="U57" s="29"/>
      <c r="V57" s="29"/>
      <c r="W57" s="29"/>
      <c r="X57" s="29"/>
      <c r="Y57" s="29"/>
      <c r="Z57" s="29"/>
      <c r="AA57" s="30"/>
      <c r="AB57" s="99"/>
    </row>
    <row r="58" spans="1:29" ht="18" customHeight="1">
      <c r="A58" s="98"/>
      <c r="C58" s="96"/>
      <c r="D58" s="96"/>
      <c r="E58" s="96"/>
      <c r="AB58" s="99"/>
    </row>
    <row r="59" spans="1:29" ht="18" customHeight="1">
      <c r="A59" s="98"/>
      <c r="B59" s="105"/>
      <c r="C59" s="105" t="s">
        <v>825</v>
      </c>
      <c r="AB59" s="99"/>
    </row>
    <row r="60" spans="1:29" ht="18" customHeight="1">
      <c r="A60" s="98"/>
      <c r="C60" s="274" t="s">
        <v>7</v>
      </c>
      <c r="D60" s="274"/>
      <c r="E60" s="274" t="s">
        <v>9</v>
      </c>
      <c r="F60" s="275"/>
      <c r="G60" s="275"/>
      <c r="H60" s="275"/>
      <c r="I60" s="275"/>
      <c r="J60" s="275"/>
      <c r="K60" s="276"/>
      <c r="L60" s="294" t="s">
        <v>18</v>
      </c>
      <c r="M60" s="295"/>
      <c r="N60" s="295"/>
      <c r="O60" s="295"/>
      <c r="P60" s="295"/>
      <c r="Q60" s="295"/>
      <c r="R60" s="295"/>
      <c r="S60" s="295"/>
      <c r="T60" s="295"/>
      <c r="U60" s="295"/>
      <c r="V60" s="295"/>
      <c r="W60" s="295"/>
      <c r="X60" s="295"/>
      <c r="Y60" s="295"/>
      <c r="Z60" s="295"/>
      <c r="AA60" s="296"/>
      <c r="AB60" s="99"/>
    </row>
    <row r="61" spans="1:29" ht="18" customHeight="1">
      <c r="A61" s="98"/>
      <c r="C61" s="278">
        <v>1</v>
      </c>
      <c r="D61" s="278"/>
      <c r="E61" s="100" t="s">
        <v>808</v>
      </c>
      <c r="F61" s="29"/>
      <c r="G61" s="29"/>
      <c r="H61" s="29"/>
      <c r="I61" s="29"/>
      <c r="J61" s="29"/>
      <c r="K61" s="29"/>
      <c r="L61" s="100"/>
      <c r="M61" s="29"/>
      <c r="N61" s="29"/>
      <c r="O61" s="29"/>
      <c r="P61" s="29"/>
      <c r="Q61" s="29"/>
      <c r="R61" s="29"/>
      <c r="S61" s="29"/>
      <c r="T61" s="29"/>
      <c r="U61" s="29"/>
      <c r="V61" s="29"/>
      <c r="W61" s="29"/>
      <c r="X61" s="29"/>
      <c r="Y61" s="29"/>
      <c r="Z61" s="29"/>
      <c r="AA61" s="30"/>
      <c r="AB61" s="99"/>
    </row>
    <row r="62" spans="1:29" ht="18" customHeight="1">
      <c r="A62" s="98"/>
      <c r="C62" s="273" t="s">
        <v>16</v>
      </c>
      <c r="D62" s="273"/>
      <c r="E62" s="273"/>
      <c r="F62" s="273"/>
      <c r="G62" s="277">
        <v>200</v>
      </c>
      <c r="H62" s="277"/>
      <c r="I62" s="277"/>
      <c r="J62" s="277"/>
      <c r="K62" s="277"/>
      <c r="L62" s="277"/>
      <c r="M62" s="277"/>
      <c r="N62" s="277"/>
      <c r="O62" s="277"/>
      <c r="P62" s="277"/>
      <c r="Q62" s="277"/>
      <c r="R62" s="277"/>
      <c r="S62" s="277"/>
      <c r="T62" s="277"/>
      <c r="U62" s="277"/>
      <c r="V62" s="277"/>
      <c r="W62" s="277"/>
      <c r="X62" s="277"/>
      <c r="Y62" s="277"/>
      <c r="Z62" s="277"/>
      <c r="AA62" s="277"/>
      <c r="AB62" s="99"/>
    </row>
    <row r="63" spans="1:29" ht="18" customHeight="1">
      <c r="A63" s="98"/>
      <c r="C63" s="96"/>
      <c r="D63" s="96"/>
      <c r="E63" s="96"/>
      <c r="AB63" s="99"/>
    </row>
    <row r="64" spans="1:29" ht="18" customHeight="1">
      <c r="A64" s="98"/>
      <c r="B64" s="189" t="s">
        <v>1084</v>
      </c>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180"/>
      <c r="AC64" s="188" t="s">
        <v>1242</v>
      </c>
    </row>
    <row r="65" spans="1:29" ht="18" customHeight="1">
      <c r="A65" s="98"/>
      <c r="B65" s="97"/>
      <c r="C65" s="189" t="s">
        <v>1082</v>
      </c>
      <c r="D65" s="97"/>
      <c r="E65" s="97"/>
      <c r="F65" s="97"/>
      <c r="G65" s="97"/>
      <c r="H65" s="97"/>
      <c r="I65" s="97"/>
      <c r="J65" s="97"/>
      <c r="K65" s="97"/>
      <c r="L65" s="97"/>
      <c r="M65" s="97"/>
      <c r="N65" s="97"/>
      <c r="O65" s="97"/>
      <c r="P65" s="97"/>
      <c r="Q65" s="97"/>
      <c r="R65" s="97"/>
      <c r="S65" s="97"/>
      <c r="T65" s="97"/>
      <c r="U65" s="97"/>
      <c r="V65" s="97"/>
      <c r="W65" s="97"/>
      <c r="X65" s="97"/>
      <c r="Y65" s="97"/>
      <c r="Z65" s="97"/>
      <c r="AA65" s="97"/>
      <c r="AB65" s="180"/>
      <c r="AC65" s="188" t="s">
        <v>1242</v>
      </c>
    </row>
    <row r="66" spans="1:29" ht="18" customHeight="1">
      <c r="A66" s="98"/>
      <c r="B66" s="97"/>
      <c r="C66" s="310" t="s">
        <v>7</v>
      </c>
      <c r="D66" s="310"/>
      <c r="E66" s="310" t="s">
        <v>9</v>
      </c>
      <c r="F66" s="311"/>
      <c r="G66" s="311"/>
      <c r="H66" s="311"/>
      <c r="I66" s="311"/>
      <c r="J66" s="311"/>
      <c r="K66" s="312"/>
      <c r="L66" s="313" t="s">
        <v>18</v>
      </c>
      <c r="M66" s="314"/>
      <c r="N66" s="314"/>
      <c r="O66" s="314"/>
      <c r="P66" s="314"/>
      <c r="Q66" s="314"/>
      <c r="R66" s="314"/>
      <c r="S66" s="314"/>
      <c r="T66" s="314"/>
      <c r="U66" s="314"/>
      <c r="V66" s="314"/>
      <c r="W66" s="314"/>
      <c r="X66" s="314"/>
      <c r="Y66" s="314"/>
      <c r="Z66" s="314"/>
      <c r="AA66" s="315"/>
      <c r="AB66" s="180"/>
      <c r="AC66" s="188" t="s">
        <v>1242</v>
      </c>
    </row>
    <row r="67" spans="1:29" ht="18" customHeight="1">
      <c r="A67" s="98"/>
      <c r="B67" s="97"/>
      <c r="C67" s="316">
        <v>1</v>
      </c>
      <c r="D67" s="316"/>
      <c r="E67" s="145" t="s">
        <v>1083</v>
      </c>
      <c r="F67" s="133"/>
      <c r="G67" s="133"/>
      <c r="H67" s="133"/>
      <c r="I67" s="133"/>
      <c r="J67" s="133"/>
      <c r="K67" s="133"/>
      <c r="L67" s="145" t="s">
        <v>809</v>
      </c>
      <c r="M67" s="133"/>
      <c r="N67" s="133"/>
      <c r="O67" s="133"/>
      <c r="P67" s="133"/>
      <c r="Q67" s="133"/>
      <c r="R67" s="133"/>
      <c r="S67" s="133"/>
      <c r="T67" s="133"/>
      <c r="U67" s="133"/>
      <c r="V67" s="133"/>
      <c r="W67" s="133"/>
      <c r="X67" s="133"/>
      <c r="Y67" s="133"/>
      <c r="Z67" s="133"/>
      <c r="AA67" s="179"/>
      <c r="AB67" s="180"/>
      <c r="AC67" s="188" t="s">
        <v>1242</v>
      </c>
    </row>
    <row r="68" spans="1:29" ht="18" customHeight="1">
      <c r="A68" s="98"/>
      <c r="B68" s="97"/>
      <c r="C68" s="317" t="s">
        <v>16</v>
      </c>
      <c r="D68" s="317"/>
      <c r="E68" s="317"/>
      <c r="F68" s="317"/>
      <c r="G68" s="318">
        <v>200</v>
      </c>
      <c r="H68" s="318"/>
      <c r="I68" s="318"/>
      <c r="J68" s="318"/>
      <c r="K68" s="318"/>
      <c r="L68" s="318"/>
      <c r="M68" s="318"/>
      <c r="N68" s="318"/>
      <c r="O68" s="318"/>
      <c r="P68" s="318"/>
      <c r="Q68" s="318"/>
      <c r="R68" s="318"/>
      <c r="S68" s="318"/>
      <c r="T68" s="318"/>
      <c r="U68" s="318"/>
      <c r="V68" s="318"/>
      <c r="W68" s="318"/>
      <c r="X68" s="318"/>
      <c r="Y68" s="318"/>
      <c r="Z68" s="318"/>
      <c r="AA68" s="318"/>
      <c r="AB68" s="180"/>
      <c r="AC68" s="188" t="s">
        <v>1242</v>
      </c>
    </row>
    <row r="69" spans="1:29" ht="18" customHeight="1">
      <c r="A69" s="98"/>
      <c r="B69" s="97"/>
      <c r="C69" s="190"/>
      <c r="D69" s="190"/>
      <c r="E69" s="190"/>
      <c r="F69" s="190"/>
      <c r="G69" s="136"/>
      <c r="H69" s="136"/>
      <c r="I69" s="136"/>
      <c r="J69" s="136"/>
      <c r="K69" s="136"/>
      <c r="L69" s="136"/>
      <c r="M69" s="136"/>
      <c r="N69" s="136"/>
      <c r="O69" s="136"/>
      <c r="P69" s="136"/>
      <c r="Q69" s="136"/>
      <c r="R69" s="136"/>
      <c r="S69" s="136"/>
      <c r="T69" s="136"/>
      <c r="U69" s="136"/>
      <c r="V69" s="136"/>
      <c r="W69" s="136"/>
      <c r="X69" s="136"/>
      <c r="Y69" s="136"/>
      <c r="Z69" s="136"/>
      <c r="AA69" s="136"/>
      <c r="AB69" s="180"/>
      <c r="AC69" s="188" t="s">
        <v>1242</v>
      </c>
    </row>
    <row r="70" spans="1:29" ht="18" customHeight="1">
      <c r="A70" s="98"/>
      <c r="B70" s="97"/>
      <c r="C70" s="97" t="s">
        <v>1103</v>
      </c>
      <c r="D70" s="97"/>
      <c r="E70" s="97"/>
      <c r="F70" s="97"/>
      <c r="G70" s="97"/>
      <c r="H70" s="97"/>
      <c r="I70" s="97"/>
      <c r="J70" s="97"/>
      <c r="K70" s="97"/>
      <c r="L70" s="97"/>
      <c r="M70" s="97"/>
      <c r="N70" s="97"/>
      <c r="O70" s="97"/>
      <c r="P70" s="97"/>
      <c r="Q70" s="97"/>
      <c r="R70" s="97"/>
      <c r="S70" s="97"/>
      <c r="T70" s="97"/>
      <c r="U70" s="97"/>
      <c r="V70" s="97"/>
      <c r="W70" s="97"/>
      <c r="X70" s="97"/>
      <c r="Y70" s="97"/>
      <c r="Z70" s="97"/>
      <c r="AA70" s="97"/>
      <c r="AB70" s="180"/>
      <c r="AC70" s="188" t="s">
        <v>1242</v>
      </c>
    </row>
    <row r="71" spans="1:29" ht="18" customHeight="1">
      <c r="A71" s="98"/>
      <c r="B71" s="97"/>
      <c r="C71" s="136" t="s">
        <v>941</v>
      </c>
      <c r="D71" s="136"/>
      <c r="E71" s="136"/>
      <c r="F71" s="136"/>
      <c r="G71" s="136"/>
      <c r="H71" s="136"/>
      <c r="I71" s="136"/>
      <c r="J71" s="97"/>
      <c r="K71" s="97"/>
      <c r="L71" s="97"/>
      <c r="M71" s="97"/>
      <c r="N71" s="97"/>
      <c r="O71" s="97"/>
      <c r="P71" s="97"/>
      <c r="Q71" s="97"/>
      <c r="R71" s="97"/>
      <c r="S71" s="97"/>
      <c r="T71" s="97"/>
      <c r="U71" s="97"/>
      <c r="V71" s="97"/>
      <c r="W71" s="97"/>
      <c r="X71" s="97"/>
      <c r="Y71" s="97"/>
      <c r="Z71" s="97"/>
      <c r="AA71" s="97"/>
      <c r="AB71" s="180"/>
      <c r="AC71" s="188" t="s">
        <v>1242</v>
      </c>
    </row>
    <row r="72" spans="1:29" ht="18" customHeight="1">
      <c r="A72" s="98"/>
      <c r="B72" s="97"/>
      <c r="C72" s="136"/>
      <c r="D72" s="136" t="s">
        <v>1060</v>
      </c>
      <c r="E72" s="136"/>
      <c r="F72" s="136"/>
      <c r="G72" s="136"/>
      <c r="H72" s="136"/>
      <c r="I72" s="136"/>
      <c r="J72" s="97"/>
      <c r="K72" s="97"/>
      <c r="L72" s="97"/>
      <c r="M72" s="97"/>
      <c r="N72" s="97"/>
      <c r="O72" s="97"/>
      <c r="P72" s="97"/>
      <c r="Q72" s="97"/>
      <c r="R72" s="97"/>
      <c r="S72" s="97"/>
      <c r="T72" s="97"/>
      <c r="U72" s="97"/>
      <c r="V72" s="97"/>
      <c r="W72" s="97"/>
      <c r="X72" s="97"/>
      <c r="Y72" s="97"/>
      <c r="Z72" s="97"/>
      <c r="AA72" s="97"/>
      <c r="AB72" s="180"/>
      <c r="AC72" s="188" t="s">
        <v>1242</v>
      </c>
    </row>
    <row r="73" spans="1:29" ht="18" customHeight="1">
      <c r="A73" s="98"/>
      <c r="B73" s="97"/>
      <c r="C73" s="136"/>
      <c r="D73" s="136"/>
      <c r="E73" s="191" t="s">
        <v>1070</v>
      </c>
      <c r="F73" s="136"/>
      <c r="G73" s="136"/>
      <c r="H73" s="136"/>
      <c r="I73" s="136"/>
      <c r="J73" s="97"/>
      <c r="K73" s="97"/>
      <c r="L73" s="97"/>
      <c r="M73" s="97"/>
      <c r="N73" s="97"/>
      <c r="O73" s="97"/>
      <c r="P73" s="97"/>
      <c r="Q73" s="97"/>
      <c r="R73" s="97"/>
      <c r="S73" s="97"/>
      <c r="T73" s="97"/>
      <c r="U73" s="97"/>
      <c r="V73" s="97"/>
      <c r="W73" s="97"/>
      <c r="X73" s="97"/>
      <c r="Y73" s="97"/>
      <c r="Z73" s="97"/>
      <c r="AA73" s="97"/>
      <c r="AB73" s="180"/>
      <c r="AC73" s="188" t="s">
        <v>1242</v>
      </c>
    </row>
    <row r="74" spans="1:29" ht="18" customHeight="1">
      <c r="A74" s="98"/>
      <c r="B74" s="97"/>
      <c r="C74" s="136"/>
      <c r="D74" s="136"/>
      <c r="E74" s="191" t="s">
        <v>1071</v>
      </c>
      <c r="F74" s="136"/>
      <c r="G74" s="136"/>
      <c r="H74" s="136"/>
      <c r="I74" s="136"/>
      <c r="J74" s="97"/>
      <c r="K74" s="97"/>
      <c r="L74" s="97"/>
      <c r="M74" s="97"/>
      <c r="N74" s="97"/>
      <c r="O74" s="97"/>
      <c r="P74" s="97"/>
      <c r="Q74" s="97"/>
      <c r="R74" s="97"/>
      <c r="S74" s="97"/>
      <c r="T74" s="97"/>
      <c r="U74" s="97"/>
      <c r="V74" s="97"/>
      <c r="W74" s="97"/>
      <c r="X74" s="97"/>
      <c r="Y74" s="97"/>
      <c r="Z74" s="97"/>
      <c r="AA74" s="97"/>
      <c r="AB74" s="180"/>
      <c r="AC74" s="188" t="s">
        <v>1242</v>
      </c>
    </row>
    <row r="75" spans="1:29" ht="18" customHeight="1">
      <c r="A75" s="98"/>
      <c r="B75" s="97"/>
      <c r="C75" s="136"/>
      <c r="D75" s="136"/>
      <c r="E75" s="191" t="s">
        <v>1072</v>
      </c>
      <c r="F75" s="136"/>
      <c r="G75" s="136"/>
      <c r="H75" s="136"/>
      <c r="I75" s="136"/>
      <c r="J75" s="97"/>
      <c r="K75" s="97"/>
      <c r="L75" s="97"/>
      <c r="M75" s="97"/>
      <c r="N75" s="97"/>
      <c r="O75" s="97"/>
      <c r="P75" s="97"/>
      <c r="Q75" s="97"/>
      <c r="R75" s="97"/>
      <c r="S75" s="97"/>
      <c r="T75" s="97"/>
      <c r="U75" s="97"/>
      <c r="V75" s="97"/>
      <c r="W75" s="97"/>
      <c r="X75" s="97"/>
      <c r="Y75" s="97"/>
      <c r="Z75" s="97"/>
      <c r="AA75" s="97"/>
      <c r="AB75" s="180"/>
      <c r="AC75" s="188" t="s">
        <v>1242</v>
      </c>
    </row>
    <row r="76" spans="1:29" ht="18" customHeight="1">
      <c r="A76" s="98"/>
      <c r="B76" s="97"/>
      <c r="C76" s="136"/>
      <c r="D76" s="136"/>
      <c r="E76" s="191" t="s">
        <v>1073</v>
      </c>
      <c r="F76" s="136"/>
      <c r="G76" s="136"/>
      <c r="H76" s="136"/>
      <c r="I76" s="136"/>
      <c r="J76" s="97"/>
      <c r="K76" s="97"/>
      <c r="L76" s="97"/>
      <c r="M76" s="97"/>
      <c r="N76" s="97"/>
      <c r="O76" s="97"/>
      <c r="P76" s="97"/>
      <c r="Q76" s="97"/>
      <c r="R76" s="97"/>
      <c r="S76" s="97"/>
      <c r="T76" s="97"/>
      <c r="U76" s="97"/>
      <c r="V76" s="97"/>
      <c r="W76" s="97"/>
      <c r="X76" s="97"/>
      <c r="Y76" s="97"/>
      <c r="Z76" s="97"/>
      <c r="AA76" s="97"/>
      <c r="AB76" s="180"/>
      <c r="AC76" s="188" t="s">
        <v>1242</v>
      </c>
    </row>
    <row r="77" spans="1:29" ht="18" customHeight="1">
      <c r="A77" s="98"/>
      <c r="B77" s="97"/>
      <c r="C77" s="136"/>
      <c r="D77" s="136"/>
      <c r="E77" s="136" t="s">
        <v>1078</v>
      </c>
      <c r="F77" s="136"/>
      <c r="G77" s="136"/>
      <c r="H77" s="136"/>
      <c r="I77" s="136"/>
      <c r="J77" s="97"/>
      <c r="K77" s="97"/>
      <c r="L77" s="97"/>
      <c r="M77" s="97"/>
      <c r="N77" s="97"/>
      <c r="O77" s="97"/>
      <c r="P77" s="97"/>
      <c r="Q77" s="97"/>
      <c r="R77" s="97"/>
      <c r="S77" s="97"/>
      <c r="T77" s="97"/>
      <c r="U77" s="97"/>
      <c r="V77" s="97"/>
      <c r="W77" s="97"/>
      <c r="X77" s="97"/>
      <c r="Y77" s="97"/>
      <c r="Z77" s="97"/>
      <c r="AA77" s="97"/>
      <c r="AB77" s="180"/>
      <c r="AC77" s="188" t="s">
        <v>1242</v>
      </c>
    </row>
    <row r="78" spans="1:29" ht="18" customHeight="1">
      <c r="A78" s="98"/>
      <c r="B78" s="97"/>
      <c r="C78" s="136"/>
      <c r="D78" s="136"/>
      <c r="E78" s="136" t="s">
        <v>1093</v>
      </c>
      <c r="F78" s="136"/>
      <c r="G78" s="136"/>
      <c r="H78" s="136"/>
      <c r="I78" s="136"/>
      <c r="J78" s="97"/>
      <c r="K78" s="97"/>
      <c r="L78" s="97"/>
      <c r="M78" s="97"/>
      <c r="N78" s="97"/>
      <c r="O78" s="97"/>
      <c r="P78" s="97"/>
      <c r="Q78" s="97"/>
      <c r="R78" s="97"/>
      <c r="S78" s="97"/>
      <c r="T78" s="97"/>
      <c r="U78" s="97"/>
      <c r="V78" s="97"/>
      <c r="W78" s="97"/>
      <c r="X78" s="97"/>
      <c r="Y78" s="97"/>
      <c r="Z78" s="97"/>
      <c r="AA78" s="97"/>
      <c r="AB78" s="180"/>
      <c r="AC78" s="188" t="s">
        <v>1242</v>
      </c>
    </row>
    <row r="79" spans="1:29" ht="18" customHeight="1">
      <c r="A79" s="98"/>
      <c r="B79" s="97"/>
      <c r="C79" s="136"/>
      <c r="D79" s="136"/>
      <c r="E79" s="136" t="s">
        <v>1079</v>
      </c>
      <c r="F79" s="136"/>
      <c r="G79" s="136"/>
      <c r="H79" s="136"/>
      <c r="I79" s="136"/>
      <c r="J79" s="97"/>
      <c r="K79" s="97"/>
      <c r="L79" s="97"/>
      <c r="M79" s="97"/>
      <c r="N79" s="97"/>
      <c r="O79" s="97"/>
      <c r="P79" s="97"/>
      <c r="Q79" s="97"/>
      <c r="R79" s="97"/>
      <c r="S79" s="97"/>
      <c r="T79" s="97"/>
      <c r="U79" s="97"/>
      <c r="V79" s="97"/>
      <c r="W79" s="97"/>
      <c r="X79" s="97"/>
      <c r="Y79" s="97"/>
      <c r="Z79" s="97"/>
      <c r="AA79" s="97"/>
      <c r="AB79" s="180"/>
      <c r="AC79" s="188" t="s">
        <v>1242</v>
      </c>
    </row>
    <row r="80" spans="1:29" ht="18" customHeight="1">
      <c r="A80" s="98"/>
      <c r="B80" s="97"/>
      <c r="C80" s="136"/>
      <c r="D80" s="136"/>
      <c r="E80" s="136" t="s">
        <v>1098</v>
      </c>
      <c r="F80" s="136"/>
      <c r="G80" s="136"/>
      <c r="H80" s="136"/>
      <c r="I80" s="136"/>
      <c r="J80" s="97"/>
      <c r="K80" s="97"/>
      <c r="L80" s="97"/>
      <c r="M80" s="97"/>
      <c r="N80" s="97"/>
      <c r="O80" s="97"/>
      <c r="P80" s="97"/>
      <c r="Q80" s="97"/>
      <c r="R80" s="97"/>
      <c r="S80" s="97"/>
      <c r="T80" s="97"/>
      <c r="U80" s="97"/>
      <c r="V80" s="97"/>
      <c r="W80" s="97"/>
      <c r="X80" s="97"/>
      <c r="Y80" s="97"/>
      <c r="Z80" s="97"/>
      <c r="AA80" s="97"/>
      <c r="AB80" s="180"/>
      <c r="AC80" s="188" t="s">
        <v>1242</v>
      </c>
    </row>
    <row r="81" spans="1:29" ht="18" customHeight="1">
      <c r="A81" s="98"/>
      <c r="B81" s="97"/>
      <c r="C81" s="136"/>
      <c r="D81" s="136"/>
      <c r="E81" s="136" t="s">
        <v>1075</v>
      </c>
      <c r="F81" s="136"/>
      <c r="G81" s="136"/>
      <c r="H81" s="136"/>
      <c r="I81" s="136"/>
      <c r="J81" s="97"/>
      <c r="K81" s="97"/>
      <c r="L81" s="97"/>
      <c r="M81" s="97"/>
      <c r="N81" s="97"/>
      <c r="O81" s="97"/>
      <c r="P81" s="97"/>
      <c r="Q81" s="97"/>
      <c r="R81" s="97"/>
      <c r="S81" s="97"/>
      <c r="T81" s="97"/>
      <c r="U81" s="97"/>
      <c r="V81" s="97"/>
      <c r="W81" s="97"/>
      <c r="X81" s="97"/>
      <c r="Y81" s="97"/>
      <c r="Z81" s="97"/>
      <c r="AA81" s="97"/>
      <c r="AB81" s="180"/>
      <c r="AC81" s="188" t="s">
        <v>1242</v>
      </c>
    </row>
    <row r="82" spans="1:29" ht="18" customHeight="1">
      <c r="A82" s="98"/>
      <c r="B82" s="97"/>
      <c r="C82" s="136"/>
      <c r="D82" s="136"/>
      <c r="E82" s="136" t="s">
        <v>1080</v>
      </c>
      <c r="F82" s="136"/>
      <c r="G82" s="136"/>
      <c r="H82" s="136"/>
      <c r="I82" s="136"/>
      <c r="J82" s="97"/>
      <c r="K82" s="97"/>
      <c r="L82" s="97"/>
      <c r="M82" s="97"/>
      <c r="N82" s="97"/>
      <c r="O82" s="97"/>
      <c r="P82" s="97"/>
      <c r="Q82" s="97"/>
      <c r="R82" s="97"/>
      <c r="S82" s="97"/>
      <c r="T82" s="97"/>
      <c r="U82" s="97"/>
      <c r="V82" s="97"/>
      <c r="W82" s="97"/>
      <c r="X82" s="97"/>
      <c r="Y82" s="97"/>
      <c r="Z82" s="97"/>
      <c r="AA82" s="97"/>
      <c r="AB82" s="180"/>
      <c r="AC82" s="188" t="s">
        <v>1242</v>
      </c>
    </row>
    <row r="83" spans="1:29" ht="18" customHeight="1">
      <c r="A83" s="98"/>
      <c r="B83" s="97"/>
      <c r="C83" s="136"/>
      <c r="D83" s="136" t="s">
        <v>1061</v>
      </c>
      <c r="E83" s="136"/>
      <c r="F83" s="136"/>
      <c r="G83" s="136"/>
      <c r="H83" s="136"/>
      <c r="I83" s="136"/>
      <c r="J83" s="97"/>
      <c r="K83" s="97"/>
      <c r="L83" s="97"/>
      <c r="M83" s="97"/>
      <c r="N83" s="97"/>
      <c r="O83" s="97"/>
      <c r="P83" s="97"/>
      <c r="Q83" s="97"/>
      <c r="R83" s="97"/>
      <c r="S83" s="97"/>
      <c r="T83" s="97"/>
      <c r="U83" s="97"/>
      <c r="V83" s="97"/>
      <c r="W83" s="97"/>
      <c r="X83" s="97"/>
      <c r="Y83" s="97"/>
      <c r="Z83" s="97"/>
      <c r="AA83" s="97"/>
      <c r="AB83" s="180"/>
      <c r="AC83" s="188" t="s">
        <v>1242</v>
      </c>
    </row>
    <row r="84" spans="1:29" ht="18" customHeight="1">
      <c r="A84" s="98"/>
      <c r="B84" s="97"/>
      <c r="C84" s="136"/>
      <c r="D84" s="136"/>
      <c r="E84" s="136" t="s">
        <v>1062</v>
      </c>
      <c r="F84" s="136"/>
      <c r="G84" s="136"/>
      <c r="H84" s="136"/>
      <c r="I84" s="136"/>
      <c r="J84" s="97"/>
      <c r="K84" s="97"/>
      <c r="L84" s="97"/>
      <c r="M84" s="97"/>
      <c r="N84" s="97"/>
      <c r="O84" s="97"/>
      <c r="P84" s="97"/>
      <c r="Q84" s="97"/>
      <c r="R84" s="97"/>
      <c r="S84" s="97"/>
      <c r="T84" s="97"/>
      <c r="U84" s="97"/>
      <c r="V84" s="97"/>
      <c r="W84" s="97"/>
      <c r="X84" s="97"/>
      <c r="Y84" s="97"/>
      <c r="Z84" s="97"/>
      <c r="AA84" s="97"/>
      <c r="AB84" s="180"/>
      <c r="AC84" s="188" t="s">
        <v>1242</v>
      </c>
    </row>
    <row r="85" spans="1:29" ht="18" customHeight="1">
      <c r="A85" s="98"/>
      <c r="B85" s="97"/>
      <c r="C85" s="136"/>
      <c r="D85" s="136"/>
      <c r="E85" s="136" t="s">
        <v>1063</v>
      </c>
      <c r="F85" s="136"/>
      <c r="G85" s="136"/>
      <c r="H85" s="136"/>
      <c r="I85" s="136"/>
      <c r="J85" s="97"/>
      <c r="K85" s="97"/>
      <c r="L85" s="97"/>
      <c r="M85" s="97"/>
      <c r="N85" s="97"/>
      <c r="O85" s="97"/>
      <c r="P85" s="97"/>
      <c r="Q85" s="97"/>
      <c r="R85" s="97"/>
      <c r="S85" s="97"/>
      <c r="T85" s="97"/>
      <c r="U85" s="97"/>
      <c r="V85" s="97"/>
      <c r="W85" s="97"/>
      <c r="X85" s="97"/>
      <c r="Y85" s="97"/>
      <c r="Z85" s="97"/>
      <c r="AA85" s="97"/>
      <c r="AB85" s="180"/>
      <c r="AC85" s="188" t="s">
        <v>1242</v>
      </c>
    </row>
    <row r="86" spans="1:29" ht="18" customHeight="1">
      <c r="A86" s="98"/>
      <c r="B86" s="97"/>
      <c r="C86" s="136"/>
      <c r="D86" s="136"/>
      <c r="E86" s="136" t="s">
        <v>1064</v>
      </c>
      <c r="F86" s="136"/>
      <c r="G86" s="136"/>
      <c r="H86" s="136"/>
      <c r="I86" s="136"/>
      <c r="J86" s="97"/>
      <c r="K86" s="97"/>
      <c r="L86" s="97"/>
      <c r="M86" s="97"/>
      <c r="N86" s="97"/>
      <c r="O86" s="97"/>
      <c r="P86" s="97"/>
      <c r="Q86" s="97"/>
      <c r="R86" s="97"/>
      <c r="S86" s="97"/>
      <c r="T86" s="97"/>
      <c r="U86" s="97"/>
      <c r="V86" s="97"/>
      <c r="W86" s="97"/>
      <c r="X86" s="97"/>
      <c r="Y86" s="97"/>
      <c r="Z86" s="97"/>
      <c r="AA86" s="97"/>
      <c r="AB86" s="180"/>
      <c r="AC86" s="188" t="s">
        <v>1242</v>
      </c>
    </row>
    <row r="87" spans="1:29" ht="18" customHeight="1">
      <c r="A87" s="98"/>
      <c r="B87" s="97"/>
      <c r="C87" s="136"/>
      <c r="D87" s="136"/>
      <c r="E87" s="136" t="s">
        <v>1065</v>
      </c>
      <c r="F87" s="136"/>
      <c r="G87" s="136"/>
      <c r="H87" s="136"/>
      <c r="I87" s="136"/>
      <c r="J87" s="97"/>
      <c r="K87" s="97"/>
      <c r="L87" s="97"/>
      <c r="M87" s="97"/>
      <c r="N87" s="97"/>
      <c r="O87" s="97"/>
      <c r="P87" s="97"/>
      <c r="Q87" s="97"/>
      <c r="R87" s="97"/>
      <c r="S87" s="97"/>
      <c r="T87" s="97"/>
      <c r="U87" s="97"/>
      <c r="V87" s="97"/>
      <c r="W87" s="97"/>
      <c r="X87" s="97"/>
      <c r="Y87" s="97"/>
      <c r="Z87" s="97"/>
      <c r="AA87" s="97"/>
      <c r="AB87" s="180"/>
      <c r="AC87" s="188" t="s">
        <v>1242</v>
      </c>
    </row>
    <row r="88" spans="1:29" ht="18" customHeight="1">
      <c r="A88" s="98"/>
      <c r="B88" s="97"/>
      <c r="C88" s="136"/>
      <c r="D88" s="136"/>
      <c r="E88" s="136" t="s">
        <v>1090</v>
      </c>
      <c r="F88" s="136"/>
      <c r="G88" s="136"/>
      <c r="H88" s="136"/>
      <c r="I88" s="136"/>
      <c r="J88" s="97"/>
      <c r="K88" s="97"/>
      <c r="L88" s="97"/>
      <c r="M88" s="97"/>
      <c r="N88" s="97"/>
      <c r="O88" s="97"/>
      <c r="P88" s="97"/>
      <c r="Q88" s="97"/>
      <c r="R88" s="97"/>
      <c r="S88" s="97"/>
      <c r="T88" s="97"/>
      <c r="U88" s="97"/>
      <c r="V88" s="97"/>
      <c r="W88" s="97"/>
      <c r="X88" s="97"/>
      <c r="Y88" s="97"/>
      <c r="Z88" s="97"/>
      <c r="AA88" s="97"/>
      <c r="AB88" s="180"/>
      <c r="AC88" s="188" t="s">
        <v>1242</v>
      </c>
    </row>
    <row r="89" spans="1:29" ht="18" customHeight="1">
      <c r="A89" s="98"/>
      <c r="B89" s="97"/>
      <c r="C89" s="136"/>
      <c r="D89" s="136"/>
      <c r="E89" s="136" t="s">
        <v>1091</v>
      </c>
      <c r="F89" s="136"/>
      <c r="G89" s="136"/>
      <c r="H89" s="136"/>
      <c r="I89" s="136"/>
      <c r="J89" s="97"/>
      <c r="K89" s="97"/>
      <c r="L89" s="97"/>
      <c r="M89" s="97"/>
      <c r="N89" s="97"/>
      <c r="O89" s="97"/>
      <c r="P89" s="97"/>
      <c r="Q89" s="97"/>
      <c r="R89" s="97"/>
      <c r="S89" s="97"/>
      <c r="T89" s="97"/>
      <c r="U89" s="97"/>
      <c r="V89" s="97"/>
      <c r="W89" s="97"/>
      <c r="X89" s="97"/>
      <c r="Y89" s="97"/>
      <c r="Z89" s="97"/>
      <c r="AA89" s="97"/>
      <c r="AB89" s="180"/>
      <c r="AC89" s="188" t="s">
        <v>1242</v>
      </c>
    </row>
    <row r="90" spans="1:29" ht="18" customHeight="1">
      <c r="A90" s="98"/>
      <c r="B90" s="97"/>
      <c r="C90" s="136"/>
      <c r="D90" s="136"/>
      <c r="E90" s="136" t="s">
        <v>1092</v>
      </c>
      <c r="F90" s="136"/>
      <c r="G90" s="136"/>
      <c r="H90" s="136"/>
      <c r="I90" s="136"/>
      <c r="J90" s="97"/>
      <c r="K90" s="97"/>
      <c r="L90" s="97"/>
      <c r="M90" s="97"/>
      <c r="N90" s="97"/>
      <c r="O90" s="97"/>
      <c r="P90" s="97"/>
      <c r="Q90" s="97"/>
      <c r="R90" s="97"/>
      <c r="S90" s="97"/>
      <c r="T90" s="97"/>
      <c r="U90" s="97"/>
      <c r="V90" s="97"/>
      <c r="W90" s="97"/>
      <c r="X90" s="97"/>
      <c r="Y90" s="97"/>
      <c r="Z90" s="97"/>
      <c r="AA90" s="97"/>
      <c r="AB90" s="180"/>
      <c r="AC90" s="188" t="s">
        <v>1242</v>
      </c>
    </row>
    <row r="91" spans="1:29" ht="18" customHeight="1">
      <c r="A91" s="98"/>
      <c r="B91" s="97"/>
      <c r="C91" s="136"/>
      <c r="D91" s="136"/>
      <c r="E91" s="136" t="s">
        <v>1094</v>
      </c>
      <c r="F91" s="136"/>
      <c r="G91" s="136"/>
      <c r="H91" s="136"/>
      <c r="I91" s="136"/>
      <c r="J91" s="97"/>
      <c r="K91" s="97"/>
      <c r="L91" s="97"/>
      <c r="M91" s="97"/>
      <c r="N91" s="97"/>
      <c r="O91" s="97"/>
      <c r="P91" s="97"/>
      <c r="Q91" s="97"/>
      <c r="R91" s="97"/>
      <c r="S91" s="97"/>
      <c r="T91" s="97"/>
      <c r="U91" s="97"/>
      <c r="V91" s="97"/>
      <c r="W91" s="97"/>
      <c r="X91" s="97"/>
      <c r="Y91" s="97"/>
      <c r="Z91" s="97"/>
      <c r="AA91" s="97"/>
      <c r="AB91" s="180"/>
      <c r="AC91" s="188" t="s">
        <v>1242</v>
      </c>
    </row>
    <row r="92" spans="1:29" ht="18" customHeight="1">
      <c r="A92" s="98"/>
      <c r="B92" s="97"/>
      <c r="C92" s="136"/>
      <c r="D92" s="136"/>
      <c r="E92" s="136" t="s">
        <v>1095</v>
      </c>
      <c r="F92" s="136"/>
      <c r="G92" s="136"/>
      <c r="H92" s="136"/>
      <c r="I92" s="136"/>
      <c r="J92" s="97"/>
      <c r="K92" s="97"/>
      <c r="L92" s="97"/>
      <c r="M92" s="97"/>
      <c r="N92" s="97"/>
      <c r="O92" s="97"/>
      <c r="P92" s="97"/>
      <c r="Q92" s="97"/>
      <c r="R92" s="97"/>
      <c r="S92" s="97"/>
      <c r="T92" s="97"/>
      <c r="U92" s="97"/>
      <c r="V92" s="97"/>
      <c r="W92" s="97"/>
      <c r="X92" s="97"/>
      <c r="Y92" s="97"/>
      <c r="Z92" s="97"/>
      <c r="AA92" s="97"/>
      <c r="AB92" s="180"/>
      <c r="AC92" s="188" t="s">
        <v>1242</v>
      </c>
    </row>
    <row r="93" spans="1:29" ht="18" customHeight="1">
      <c r="A93" s="98"/>
      <c r="B93" s="97"/>
      <c r="C93" s="136"/>
      <c r="D93" s="136"/>
      <c r="E93" s="136" t="s">
        <v>1096</v>
      </c>
      <c r="F93" s="136"/>
      <c r="G93" s="136"/>
      <c r="H93" s="136"/>
      <c r="I93" s="136"/>
      <c r="J93" s="97"/>
      <c r="K93" s="97"/>
      <c r="L93" s="97"/>
      <c r="M93" s="97"/>
      <c r="N93" s="97"/>
      <c r="O93" s="97"/>
      <c r="P93" s="97"/>
      <c r="Q93" s="97"/>
      <c r="R93" s="97"/>
      <c r="S93" s="97"/>
      <c r="T93" s="97"/>
      <c r="U93" s="97"/>
      <c r="V93" s="97"/>
      <c r="W93" s="97"/>
      <c r="X93" s="97"/>
      <c r="Y93" s="97"/>
      <c r="Z93" s="97"/>
      <c r="AA93" s="97"/>
      <c r="AB93" s="180"/>
      <c r="AC93" s="188" t="s">
        <v>1242</v>
      </c>
    </row>
    <row r="94" spans="1:29" ht="18" customHeight="1">
      <c r="A94" s="98"/>
      <c r="B94" s="97"/>
      <c r="C94" s="136"/>
      <c r="D94" s="136"/>
      <c r="E94" s="136" t="s">
        <v>1097</v>
      </c>
      <c r="F94" s="136"/>
      <c r="G94" s="136"/>
      <c r="H94" s="136"/>
      <c r="I94" s="136"/>
      <c r="J94" s="97"/>
      <c r="K94" s="97"/>
      <c r="L94" s="97"/>
      <c r="M94" s="97"/>
      <c r="N94" s="97"/>
      <c r="O94" s="97"/>
      <c r="P94" s="97"/>
      <c r="Q94" s="97"/>
      <c r="R94" s="97"/>
      <c r="S94" s="97"/>
      <c r="T94" s="97"/>
      <c r="U94" s="97"/>
      <c r="V94" s="97"/>
      <c r="W94" s="97"/>
      <c r="X94" s="97"/>
      <c r="Y94" s="97"/>
      <c r="Z94" s="97"/>
      <c r="AA94" s="97"/>
      <c r="AB94" s="180"/>
      <c r="AC94" s="188" t="s">
        <v>1242</v>
      </c>
    </row>
    <row r="95" spans="1:29" ht="18" customHeight="1">
      <c r="A95" s="98"/>
      <c r="B95" s="97"/>
      <c r="C95" s="136"/>
      <c r="D95" s="136" t="s">
        <v>1066</v>
      </c>
      <c r="E95" s="136"/>
      <c r="F95" s="136"/>
      <c r="G95" s="136"/>
      <c r="H95" s="136"/>
      <c r="I95" s="136"/>
      <c r="J95" s="97"/>
      <c r="K95" s="97"/>
      <c r="L95" s="97"/>
      <c r="M95" s="97"/>
      <c r="N95" s="97"/>
      <c r="O95" s="97"/>
      <c r="P95" s="97"/>
      <c r="Q95" s="97"/>
      <c r="R95" s="97"/>
      <c r="S95" s="97"/>
      <c r="T95" s="97"/>
      <c r="U95" s="97"/>
      <c r="V95" s="97"/>
      <c r="W95" s="97"/>
      <c r="X95" s="97"/>
      <c r="Y95" s="97"/>
      <c r="Z95" s="97"/>
      <c r="AA95" s="97"/>
      <c r="AB95" s="180"/>
      <c r="AC95" s="188" t="s">
        <v>1242</v>
      </c>
    </row>
    <row r="96" spans="1:29" ht="18" customHeight="1">
      <c r="A96" s="98"/>
      <c r="B96" s="97"/>
      <c r="C96" s="136"/>
      <c r="D96" s="136"/>
      <c r="E96" s="136" t="s">
        <v>1067</v>
      </c>
      <c r="F96" s="136"/>
      <c r="G96" s="136"/>
      <c r="H96" s="136"/>
      <c r="I96" s="136"/>
      <c r="J96" s="97"/>
      <c r="K96" s="97"/>
      <c r="L96" s="97"/>
      <c r="M96" s="97"/>
      <c r="N96" s="97"/>
      <c r="O96" s="97"/>
      <c r="P96" s="97"/>
      <c r="Q96" s="97"/>
      <c r="R96" s="97"/>
      <c r="S96" s="97"/>
      <c r="T96" s="97"/>
      <c r="U96" s="97"/>
      <c r="V96" s="97"/>
      <c r="W96" s="97"/>
      <c r="X96" s="97"/>
      <c r="Y96" s="97"/>
      <c r="Z96" s="97"/>
      <c r="AA96" s="97"/>
      <c r="AB96" s="180"/>
      <c r="AC96" s="188" t="s">
        <v>1242</v>
      </c>
    </row>
    <row r="97" spans="1:29" ht="18" customHeight="1">
      <c r="A97" s="98"/>
      <c r="B97" s="97"/>
      <c r="C97" s="136"/>
      <c r="D97" s="136"/>
      <c r="E97" s="136" t="s">
        <v>1068</v>
      </c>
      <c r="F97" s="136"/>
      <c r="G97" s="136"/>
      <c r="H97" s="136"/>
      <c r="I97" s="136"/>
      <c r="J97" s="97"/>
      <c r="K97" s="97"/>
      <c r="L97" s="97"/>
      <c r="M97" s="97"/>
      <c r="N97" s="97"/>
      <c r="O97" s="97"/>
      <c r="P97" s="97"/>
      <c r="Q97" s="97"/>
      <c r="R97" s="97"/>
      <c r="S97" s="97"/>
      <c r="T97" s="97"/>
      <c r="U97" s="97"/>
      <c r="V97" s="97"/>
      <c r="W97" s="97"/>
      <c r="X97" s="97"/>
      <c r="Y97" s="97"/>
      <c r="Z97" s="97"/>
      <c r="AA97" s="97"/>
      <c r="AB97" s="180"/>
      <c r="AC97" s="188" t="s">
        <v>1242</v>
      </c>
    </row>
    <row r="98" spans="1:29" ht="18" customHeight="1">
      <c r="A98" s="98"/>
      <c r="B98" s="97"/>
      <c r="C98" s="136"/>
      <c r="D98" s="136"/>
      <c r="E98" s="136" t="s">
        <v>1069</v>
      </c>
      <c r="F98" s="136"/>
      <c r="G98" s="136"/>
      <c r="H98" s="136"/>
      <c r="I98" s="136"/>
      <c r="J98" s="97"/>
      <c r="K98" s="97"/>
      <c r="L98" s="97"/>
      <c r="M98" s="97"/>
      <c r="N98" s="97"/>
      <c r="O98" s="97"/>
      <c r="P98" s="97"/>
      <c r="Q98" s="97"/>
      <c r="R98" s="97"/>
      <c r="S98" s="97"/>
      <c r="T98" s="97"/>
      <c r="U98" s="97"/>
      <c r="V98" s="97"/>
      <c r="W98" s="97"/>
      <c r="X98" s="97"/>
      <c r="Y98" s="97"/>
      <c r="Z98" s="97"/>
      <c r="AA98" s="97"/>
      <c r="AB98" s="180"/>
      <c r="AC98" s="188" t="s">
        <v>1242</v>
      </c>
    </row>
    <row r="99" spans="1:29" ht="18" customHeight="1">
      <c r="A99" s="98"/>
      <c r="B99" s="97"/>
      <c r="C99" s="136"/>
      <c r="D99" s="136" t="s">
        <v>1081</v>
      </c>
      <c r="E99" s="136"/>
      <c r="F99" s="136"/>
      <c r="G99" s="136"/>
      <c r="H99" s="136"/>
      <c r="I99" s="136"/>
      <c r="J99" s="97"/>
      <c r="K99" s="97"/>
      <c r="L99" s="97"/>
      <c r="M99" s="97"/>
      <c r="N99" s="97"/>
      <c r="O99" s="97"/>
      <c r="P99" s="97"/>
      <c r="Q99" s="97"/>
      <c r="R99" s="97"/>
      <c r="S99" s="97"/>
      <c r="T99" s="97"/>
      <c r="U99" s="97"/>
      <c r="V99" s="97"/>
      <c r="W99" s="97"/>
      <c r="X99" s="97"/>
      <c r="Y99" s="97"/>
      <c r="Z99" s="97"/>
      <c r="AA99" s="97"/>
      <c r="AB99" s="180"/>
      <c r="AC99" s="188" t="s">
        <v>1242</v>
      </c>
    </row>
    <row r="100" spans="1:29" ht="18" customHeight="1">
      <c r="A100" s="98"/>
      <c r="B100" s="97"/>
      <c r="C100" s="136"/>
      <c r="D100" s="136"/>
      <c r="E100" s="136" t="s">
        <v>1080</v>
      </c>
      <c r="F100" s="136"/>
      <c r="G100" s="136"/>
      <c r="H100" s="136"/>
      <c r="I100" s="136"/>
      <c r="J100" s="97"/>
      <c r="K100" s="97"/>
      <c r="L100" s="97"/>
      <c r="M100" s="97"/>
      <c r="N100" s="97"/>
      <c r="O100" s="97"/>
      <c r="P100" s="97"/>
      <c r="Q100" s="97"/>
      <c r="R100" s="97"/>
      <c r="S100" s="97"/>
      <c r="T100" s="97"/>
      <c r="U100" s="97"/>
      <c r="V100" s="97"/>
      <c r="W100" s="97"/>
      <c r="X100" s="97"/>
      <c r="Y100" s="97"/>
      <c r="Z100" s="97"/>
      <c r="AA100" s="97"/>
      <c r="AB100" s="180"/>
      <c r="AC100" s="188" t="s">
        <v>1242</v>
      </c>
    </row>
    <row r="101" spans="1:29" ht="18" customHeight="1">
      <c r="A101" s="98"/>
      <c r="B101" s="97"/>
      <c r="C101" s="190"/>
      <c r="D101" s="190"/>
      <c r="E101" s="190"/>
      <c r="F101" s="97"/>
      <c r="G101" s="97"/>
      <c r="H101" s="97"/>
      <c r="I101" s="97"/>
      <c r="J101" s="97"/>
      <c r="K101" s="97"/>
      <c r="L101" s="97"/>
      <c r="M101" s="97"/>
      <c r="N101" s="97"/>
      <c r="O101" s="97"/>
      <c r="P101" s="97"/>
      <c r="Q101" s="97"/>
      <c r="R101" s="97"/>
      <c r="S101" s="97"/>
      <c r="T101" s="97"/>
      <c r="U101" s="97"/>
      <c r="V101" s="97"/>
      <c r="W101" s="97"/>
      <c r="X101" s="97"/>
      <c r="Y101" s="97"/>
      <c r="Z101" s="97"/>
      <c r="AA101" s="97"/>
      <c r="AB101" s="180"/>
      <c r="AC101" s="188" t="s">
        <v>1242</v>
      </c>
    </row>
    <row r="102" spans="1:29" ht="18" customHeight="1">
      <c r="A102" s="98"/>
      <c r="B102" s="97"/>
      <c r="C102" s="189" t="s">
        <v>1085</v>
      </c>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180"/>
      <c r="AC102" s="188" t="s">
        <v>1242</v>
      </c>
    </row>
    <row r="103" spans="1:29" ht="18" customHeight="1">
      <c r="A103" s="98"/>
      <c r="B103" s="97"/>
      <c r="C103" s="310" t="s">
        <v>7</v>
      </c>
      <c r="D103" s="310"/>
      <c r="E103" s="310" t="s">
        <v>9</v>
      </c>
      <c r="F103" s="311"/>
      <c r="G103" s="311"/>
      <c r="H103" s="311"/>
      <c r="I103" s="311"/>
      <c r="J103" s="311"/>
      <c r="K103" s="312"/>
      <c r="L103" s="313" t="s">
        <v>18</v>
      </c>
      <c r="M103" s="314"/>
      <c r="N103" s="314"/>
      <c r="O103" s="314"/>
      <c r="P103" s="314"/>
      <c r="Q103" s="314"/>
      <c r="R103" s="314"/>
      <c r="S103" s="314"/>
      <c r="T103" s="314"/>
      <c r="U103" s="314"/>
      <c r="V103" s="314"/>
      <c r="W103" s="314"/>
      <c r="X103" s="314"/>
      <c r="Y103" s="314"/>
      <c r="Z103" s="314"/>
      <c r="AA103" s="315"/>
      <c r="AB103" s="180"/>
      <c r="AC103" s="188" t="s">
        <v>1242</v>
      </c>
    </row>
    <row r="104" spans="1:29" ht="18" customHeight="1">
      <c r="A104" s="98"/>
      <c r="B104" s="97"/>
      <c r="C104" s="316">
        <v>1</v>
      </c>
      <c r="D104" s="316"/>
      <c r="E104" s="145" t="s">
        <v>1083</v>
      </c>
      <c r="F104" s="133"/>
      <c r="G104" s="133"/>
      <c r="H104" s="133"/>
      <c r="I104" s="133"/>
      <c r="J104" s="133"/>
      <c r="K104" s="133"/>
      <c r="L104" s="145" t="s">
        <v>809</v>
      </c>
      <c r="M104" s="133"/>
      <c r="N104" s="133"/>
      <c r="O104" s="133"/>
      <c r="P104" s="133"/>
      <c r="Q104" s="133"/>
      <c r="R104" s="133"/>
      <c r="S104" s="133"/>
      <c r="T104" s="133"/>
      <c r="U104" s="133"/>
      <c r="V104" s="133"/>
      <c r="W104" s="133"/>
      <c r="X104" s="133"/>
      <c r="Y104" s="133"/>
      <c r="Z104" s="133"/>
      <c r="AA104" s="179"/>
      <c r="AB104" s="180"/>
      <c r="AC104" s="188" t="s">
        <v>1242</v>
      </c>
    </row>
    <row r="105" spans="1:29" ht="18" customHeight="1">
      <c r="A105" s="98"/>
      <c r="B105" s="97"/>
      <c r="C105" s="317" t="s">
        <v>16</v>
      </c>
      <c r="D105" s="317"/>
      <c r="E105" s="317"/>
      <c r="F105" s="317"/>
      <c r="G105" s="318">
        <v>200</v>
      </c>
      <c r="H105" s="318"/>
      <c r="I105" s="318"/>
      <c r="J105" s="318"/>
      <c r="K105" s="318"/>
      <c r="L105" s="318"/>
      <c r="M105" s="318"/>
      <c r="N105" s="318"/>
      <c r="O105" s="318"/>
      <c r="P105" s="318"/>
      <c r="Q105" s="318"/>
      <c r="R105" s="318"/>
      <c r="S105" s="318"/>
      <c r="T105" s="318"/>
      <c r="U105" s="318"/>
      <c r="V105" s="318"/>
      <c r="W105" s="318"/>
      <c r="X105" s="318"/>
      <c r="Y105" s="318"/>
      <c r="Z105" s="318"/>
      <c r="AA105" s="318"/>
      <c r="AB105" s="180"/>
      <c r="AC105" s="188" t="s">
        <v>1242</v>
      </c>
    </row>
    <row r="106" spans="1:29" ht="18" customHeight="1">
      <c r="A106" s="98"/>
      <c r="B106" s="97"/>
      <c r="C106" s="190"/>
      <c r="D106" s="190"/>
      <c r="E106" s="190"/>
      <c r="F106" s="190"/>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80"/>
      <c r="AC106" s="188" t="s">
        <v>1242</v>
      </c>
    </row>
    <row r="107" spans="1:29" ht="18" customHeight="1">
      <c r="A107" s="98"/>
      <c r="B107" s="97"/>
      <c r="C107" s="189" t="s">
        <v>1086</v>
      </c>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180"/>
      <c r="AC107" s="188" t="s">
        <v>1242</v>
      </c>
    </row>
    <row r="108" spans="1:29" ht="18" customHeight="1">
      <c r="A108" s="98"/>
      <c r="B108" s="97"/>
      <c r="C108" s="310" t="s">
        <v>7</v>
      </c>
      <c r="D108" s="310"/>
      <c r="E108" s="310" t="s">
        <v>9</v>
      </c>
      <c r="F108" s="311"/>
      <c r="G108" s="311"/>
      <c r="H108" s="311"/>
      <c r="I108" s="311"/>
      <c r="J108" s="311"/>
      <c r="K108" s="312"/>
      <c r="L108" s="313" t="s">
        <v>18</v>
      </c>
      <c r="M108" s="314"/>
      <c r="N108" s="314"/>
      <c r="O108" s="314"/>
      <c r="P108" s="314"/>
      <c r="Q108" s="314"/>
      <c r="R108" s="314"/>
      <c r="S108" s="314"/>
      <c r="T108" s="314"/>
      <c r="U108" s="314"/>
      <c r="V108" s="314"/>
      <c r="W108" s="314"/>
      <c r="X108" s="314"/>
      <c r="Y108" s="314"/>
      <c r="Z108" s="314"/>
      <c r="AA108" s="315"/>
      <c r="AB108" s="180"/>
      <c r="AC108" s="188" t="s">
        <v>1242</v>
      </c>
    </row>
    <row r="109" spans="1:29" ht="18" customHeight="1">
      <c r="A109" s="98"/>
      <c r="B109" s="97"/>
      <c r="C109" s="316">
        <v>1</v>
      </c>
      <c r="D109" s="316"/>
      <c r="E109" s="145" t="s">
        <v>1083</v>
      </c>
      <c r="F109" s="133"/>
      <c r="G109" s="133"/>
      <c r="H109" s="133"/>
      <c r="I109" s="133"/>
      <c r="J109" s="133"/>
      <c r="K109" s="133"/>
      <c r="L109" s="145"/>
      <c r="M109" s="133"/>
      <c r="N109" s="133"/>
      <c r="O109" s="133"/>
      <c r="P109" s="133"/>
      <c r="Q109" s="133"/>
      <c r="R109" s="133"/>
      <c r="S109" s="133"/>
      <c r="T109" s="133"/>
      <c r="U109" s="133"/>
      <c r="V109" s="133"/>
      <c r="W109" s="133"/>
      <c r="X109" s="133"/>
      <c r="Y109" s="133"/>
      <c r="Z109" s="133"/>
      <c r="AA109" s="179"/>
      <c r="AB109" s="180"/>
      <c r="AC109" s="188" t="s">
        <v>1242</v>
      </c>
    </row>
    <row r="110" spans="1:29" ht="18" customHeight="1">
      <c r="A110" s="98"/>
      <c r="B110" s="97"/>
      <c r="C110" s="316">
        <v>2</v>
      </c>
      <c r="D110" s="316"/>
      <c r="E110" s="145"/>
      <c r="F110" s="133" t="s">
        <v>1076</v>
      </c>
      <c r="G110" s="133"/>
      <c r="H110" s="133"/>
      <c r="I110" s="133"/>
      <c r="J110" s="133"/>
      <c r="K110" s="133"/>
      <c r="L110" s="145" t="s">
        <v>1087</v>
      </c>
      <c r="M110" s="133"/>
      <c r="N110" s="133"/>
      <c r="O110" s="133"/>
      <c r="P110" s="133"/>
      <c r="Q110" s="133"/>
      <c r="R110" s="133"/>
      <c r="S110" s="133"/>
      <c r="T110" s="133"/>
      <c r="U110" s="133"/>
      <c r="V110" s="133"/>
      <c r="W110" s="133"/>
      <c r="X110" s="133"/>
      <c r="Y110" s="133"/>
      <c r="Z110" s="133"/>
      <c r="AA110" s="179"/>
      <c r="AB110" s="180"/>
      <c r="AC110" s="188" t="s">
        <v>1242</v>
      </c>
    </row>
    <row r="111" spans="1:29" ht="18" customHeight="1">
      <c r="A111" s="98"/>
      <c r="B111" s="97"/>
      <c r="C111" s="316">
        <v>3</v>
      </c>
      <c r="D111" s="316"/>
      <c r="E111" s="145"/>
      <c r="F111" s="133" t="s">
        <v>1099</v>
      </c>
      <c r="G111" s="133"/>
      <c r="H111" s="133"/>
      <c r="I111" s="133"/>
      <c r="J111" s="133"/>
      <c r="K111" s="133"/>
      <c r="L111" s="145" t="s">
        <v>1100</v>
      </c>
      <c r="M111" s="133"/>
      <c r="N111" s="133"/>
      <c r="O111" s="133"/>
      <c r="P111" s="133"/>
      <c r="Q111" s="133"/>
      <c r="R111" s="133"/>
      <c r="S111" s="133"/>
      <c r="T111" s="133"/>
      <c r="U111" s="133"/>
      <c r="V111" s="133"/>
      <c r="W111" s="133"/>
      <c r="X111" s="133"/>
      <c r="Y111" s="133"/>
      <c r="Z111" s="133"/>
      <c r="AA111" s="179"/>
      <c r="AB111" s="180"/>
      <c r="AC111" s="188" t="s">
        <v>1242</v>
      </c>
    </row>
    <row r="112" spans="1:29" ht="18" customHeight="1">
      <c r="A112" s="98"/>
      <c r="B112" s="97"/>
      <c r="C112" s="316">
        <v>4</v>
      </c>
      <c r="D112" s="316"/>
      <c r="E112" s="145"/>
      <c r="F112" s="133" t="s">
        <v>1077</v>
      </c>
      <c r="G112" s="133"/>
      <c r="H112" s="133"/>
      <c r="I112" s="133"/>
      <c r="J112" s="133"/>
      <c r="K112" s="133"/>
      <c r="L112" s="145" t="s">
        <v>1088</v>
      </c>
      <c r="M112" s="133"/>
      <c r="N112" s="133"/>
      <c r="O112" s="133"/>
      <c r="P112" s="133"/>
      <c r="Q112" s="133"/>
      <c r="R112" s="133"/>
      <c r="S112" s="133"/>
      <c r="T112" s="133"/>
      <c r="U112" s="133"/>
      <c r="V112" s="133"/>
      <c r="W112" s="133"/>
      <c r="X112" s="133"/>
      <c r="Y112" s="133"/>
      <c r="Z112" s="133"/>
      <c r="AA112" s="179"/>
      <c r="AB112" s="180"/>
      <c r="AC112" s="188" t="s">
        <v>1242</v>
      </c>
    </row>
    <row r="113" spans="1:29" ht="18" customHeight="1">
      <c r="A113" s="98"/>
      <c r="B113" s="97"/>
      <c r="C113" s="316">
        <v>5</v>
      </c>
      <c r="D113" s="316"/>
      <c r="E113" s="145"/>
      <c r="F113" s="133" t="s">
        <v>1101</v>
      </c>
      <c r="G113" s="133"/>
      <c r="H113" s="133"/>
      <c r="I113" s="133"/>
      <c r="J113" s="133"/>
      <c r="K113" s="133"/>
      <c r="L113" s="145" t="s">
        <v>1102</v>
      </c>
      <c r="M113" s="133"/>
      <c r="N113" s="133"/>
      <c r="O113" s="133"/>
      <c r="P113" s="133"/>
      <c r="Q113" s="133"/>
      <c r="R113" s="133"/>
      <c r="S113" s="133"/>
      <c r="T113" s="133"/>
      <c r="U113" s="133"/>
      <c r="V113" s="133"/>
      <c r="W113" s="133"/>
      <c r="X113" s="133"/>
      <c r="Y113" s="133"/>
      <c r="Z113" s="133"/>
      <c r="AA113" s="179"/>
      <c r="AB113" s="180"/>
      <c r="AC113" s="188" t="s">
        <v>1242</v>
      </c>
    </row>
    <row r="114" spans="1:29" ht="18" customHeight="1">
      <c r="A114" s="98"/>
      <c r="B114" s="97"/>
      <c r="C114" s="316">
        <v>6</v>
      </c>
      <c r="D114" s="316"/>
      <c r="E114" s="145"/>
      <c r="F114" s="133" t="s">
        <v>1074</v>
      </c>
      <c r="G114" s="133"/>
      <c r="H114" s="133"/>
      <c r="I114" s="133"/>
      <c r="J114" s="133"/>
      <c r="K114" s="133"/>
      <c r="L114" s="145" t="s">
        <v>1089</v>
      </c>
      <c r="M114" s="133"/>
      <c r="N114" s="133"/>
      <c r="O114" s="133"/>
      <c r="P114" s="133"/>
      <c r="Q114" s="133"/>
      <c r="R114" s="133"/>
      <c r="S114" s="133"/>
      <c r="T114" s="133"/>
      <c r="U114" s="133"/>
      <c r="V114" s="133"/>
      <c r="W114" s="133"/>
      <c r="X114" s="133"/>
      <c r="Y114" s="133"/>
      <c r="Z114" s="133"/>
      <c r="AA114" s="179"/>
      <c r="AB114" s="180"/>
      <c r="AC114" s="188" t="s">
        <v>1242</v>
      </c>
    </row>
    <row r="115" spans="1:29" ht="18" customHeight="1">
      <c r="A115" s="98"/>
      <c r="B115" s="97"/>
      <c r="C115" s="317" t="s">
        <v>16</v>
      </c>
      <c r="D115" s="317"/>
      <c r="E115" s="317"/>
      <c r="F115" s="317"/>
      <c r="G115" s="318">
        <v>200</v>
      </c>
      <c r="H115" s="318"/>
      <c r="I115" s="318"/>
      <c r="J115" s="318"/>
      <c r="K115" s="318"/>
      <c r="L115" s="318"/>
      <c r="M115" s="318"/>
      <c r="N115" s="318"/>
      <c r="O115" s="318"/>
      <c r="P115" s="318"/>
      <c r="Q115" s="318"/>
      <c r="R115" s="318"/>
      <c r="S115" s="318"/>
      <c r="T115" s="318"/>
      <c r="U115" s="318"/>
      <c r="V115" s="318"/>
      <c r="W115" s="318"/>
      <c r="X115" s="318"/>
      <c r="Y115" s="318"/>
      <c r="Z115" s="318"/>
      <c r="AA115" s="318"/>
      <c r="AB115" s="180"/>
      <c r="AC115" s="188" t="s">
        <v>1242</v>
      </c>
    </row>
    <row r="116" spans="1:29" ht="18" customHeight="1">
      <c r="A116" s="102"/>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c r="AA116" s="103"/>
      <c r="AB116" s="104"/>
    </row>
    <row r="117" spans="1:29" ht="18" customHeight="1">
      <c r="A117" s="106"/>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8"/>
    </row>
    <row r="118" spans="1:29" ht="18" customHeight="1">
      <c r="A118" s="98"/>
      <c r="B118" s="95" t="s">
        <v>19</v>
      </c>
      <c r="AB118" s="99"/>
    </row>
    <row r="119" spans="1:29" ht="18" customHeight="1">
      <c r="A119" s="98"/>
      <c r="AB119" s="99"/>
    </row>
    <row r="120" spans="1:29" ht="18" customHeight="1">
      <c r="A120" s="98"/>
      <c r="B120" s="95" t="s">
        <v>760</v>
      </c>
      <c r="AB120" s="99"/>
    </row>
    <row r="121" spans="1:29" ht="18" customHeight="1">
      <c r="A121" s="98"/>
      <c r="AB121" s="99"/>
    </row>
    <row r="122" spans="1:29" ht="18" customHeight="1">
      <c r="A122" s="98"/>
      <c r="B122" s="106"/>
      <c r="C122" s="107" t="s">
        <v>20</v>
      </c>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8"/>
      <c r="AB122" s="99"/>
    </row>
    <row r="123" spans="1:29" ht="18" customHeight="1">
      <c r="A123" s="98"/>
      <c r="B123" s="98"/>
      <c r="C123" s="95" t="s">
        <v>21</v>
      </c>
      <c r="AA123" s="99"/>
      <c r="AB123" s="99"/>
    </row>
    <row r="124" spans="1:29" ht="18" customHeight="1">
      <c r="A124" s="98"/>
      <c r="B124" s="98"/>
      <c r="C124" s="95" t="s">
        <v>22</v>
      </c>
      <c r="AA124" s="99"/>
      <c r="AB124" s="99"/>
    </row>
    <row r="125" spans="1:29" ht="18" customHeight="1">
      <c r="A125" s="98"/>
      <c r="B125" s="98"/>
      <c r="C125" s="95" t="s">
        <v>761</v>
      </c>
      <c r="AA125" s="99"/>
      <c r="AB125" s="99"/>
    </row>
    <row r="126" spans="1:29" ht="18" customHeight="1">
      <c r="A126" s="98"/>
      <c r="B126" s="98"/>
      <c r="C126" s="95" t="s">
        <v>24</v>
      </c>
      <c r="AA126" s="99"/>
      <c r="AB126" s="99"/>
    </row>
    <row r="127" spans="1:29" ht="18" customHeight="1">
      <c r="A127" s="98"/>
      <c r="B127" s="98"/>
      <c r="C127" s="95" t="s">
        <v>762</v>
      </c>
      <c r="AA127" s="99"/>
      <c r="AB127" s="99"/>
    </row>
    <row r="128" spans="1:29" ht="18" customHeight="1">
      <c r="A128" s="98"/>
      <c r="B128" s="98"/>
      <c r="E128" s="95" t="s">
        <v>763</v>
      </c>
      <c r="AA128" s="99"/>
      <c r="AB128" s="99"/>
    </row>
    <row r="129" spans="1:28" ht="18" customHeight="1">
      <c r="A129" s="98"/>
      <c r="B129" s="98"/>
      <c r="E129" s="95" t="s">
        <v>764</v>
      </c>
      <c r="AA129" s="99"/>
      <c r="AB129" s="99"/>
    </row>
    <row r="130" spans="1:28" ht="18" customHeight="1">
      <c r="A130" s="98"/>
      <c r="B130" s="98"/>
      <c r="E130" s="95" t="s">
        <v>765</v>
      </c>
      <c r="AA130" s="99"/>
      <c r="AB130" s="99"/>
    </row>
    <row r="131" spans="1:28" ht="18" customHeight="1">
      <c r="A131" s="98"/>
      <c r="B131" s="98"/>
      <c r="E131" s="95" t="s">
        <v>766</v>
      </c>
      <c r="AA131" s="99"/>
      <c r="AB131" s="99"/>
    </row>
    <row r="132" spans="1:28" ht="18" customHeight="1">
      <c r="A132" s="98"/>
      <c r="B132" s="98"/>
      <c r="E132" s="95" t="s">
        <v>767</v>
      </c>
      <c r="AA132" s="99"/>
      <c r="AB132" s="99"/>
    </row>
    <row r="133" spans="1:28" ht="18" customHeight="1">
      <c r="A133" s="98"/>
      <c r="B133" s="98"/>
      <c r="E133" s="95" t="s">
        <v>768</v>
      </c>
      <c r="AA133" s="99"/>
      <c r="AB133" s="99"/>
    </row>
    <row r="134" spans="1:28" ht="18" customHeight="1">
      <c r="A134" s="98"/>
      <c r="B134" s="98"/>
      <c r="E134" s="95" t="s">
        <v>769</v>
      </c>
      <c r="AA134" s="99"/>
      <c r="AB134" s="99"/>
    </row>
    <row r="135" spans="1:28" ht="18" customHeight="1">
      <c r="A135" s="98"/>
      <c r="B135" s="98"/>
      <c r="E135" s="95" t="s">
        <v>770</v>
      </c>
      <c r="AA135" s="99"/>
      <c r="AB135" s="99"/>
    </row>
    <row r="136" spans="1:28" ht="18" customHeight="1">
      <c r="A136" s="98"/>
      <c r="B136" s="98"/>
      <c r="E136" s="95" t="s">
        <v>771</v>
      </c>
      <c r="AA136" s="99"/>
      <c r="AB136" s="99"/>
    </row>
    <row r="137" spans="1:28" ht="18" customHeight="1">
      <c r="A137" s="98"/>
      <c r="B137" s="98"/>
      <c r="E137" s="95" t="s">
        <v>772</v>
      </c>
      <c r="AA137" s="99"/>
      <c r="AB137" s="99"/>
    </row>
    <row r="138" spans="1:28" ht="18" customHeight="1">
      <c r="A138" s="98"/>
      <c r="B138" s="98"/>
      <c r="E138" s="95" t="s">
        <v>773</v>
      </c>
      <c r="AA138" s="99"/>
      <c r="AB138" s="99"/>
    </row>
    <row r="139" spans="1:28" ht="18" customHeight="1">
      <c r="A139" s="98"/>
      <c r="B139" s="98"/>
      <c r="E139" s="95" t="s">
        <v>774</v>
      </c>
      <c r="AA139" s="99"/>
      <c r="AB139" s="99"/>
    </row>
    <row r="140" spans="1:28" ht="18" customHeight="1">
      <c r="A140" s="98"/>
      <c r="B140" s="98"/>
      <c r="E140" s="95" t="s">
        <v>775</v>
      </c>
      <c r="AA140" s="99"/>
      <c r="AB140" s="99"/>
    </row>
    <row r="141" spans="1:28" ht="18" customHeight="1">
      <c r="A141" s="98"/>
      <c r="B141" s="98"/>
      <c r="E141" s="95" t="s">
        <v>776</v>
      </c>
      <c r="AA141" s="99"/>
      <c r="AB141" s="99"/>
    </row>
    <row r="142" spans="1:28" ht="18" customHeight="1">
      <c r="A142" s="98"/>
      <c r="B142" s="98"/>
      <c r="E142" s="95" t="s">
        <v>777</v>
      </c>
      <c r="AA142" s="99"/>
      <c r="AB142" s="99"/>
    </row>
    <row r="143" spans="1:28" ht="18" customHeight="1">
      <c r="A143" s="98"/>
      <c r="B143" s="98"/>
      <c r="E143" s="95" t="s">
        <v>778</v>
      </c>
      <c r="AA143" s="99"/>
      <c r="AB143" s="99"/>
    </row>
    <row r="144" spans="1:28" ht="18" customHeight="1">
      <c r="A144" s="98"/>
      <c r="B144" s="98"/>
      <c r="E144" s="95" t="s">
        <v>779</v>
      </c>
      <c r="AA144" s="99"/>
      <c r="AB144" s="99"/>
    </row>
    <row r="145" spans="1:28" ht="18" customHeight="1">
      <c r="A145" s="98"/>
      <c r="B145" s="98"/>
      <c r="C145" s="95" t="s">
        <v>780</v>
      </c>
      <c r="AA145" s="99"/>
      <c r="AB145" s="99"/>
    </row>
    <row r="146" spans="1:28" ht="18" customHeight="1">
      <c r="A146" s="98"/>
      <c r="B146" s="98"/>
      <c r="E146" s="95" t="s">
        <v>781</v>
      </c>
      <c r="AA146" s="99"/>
      <c r="AB146" s="99"/>
    </row>
    <row r="147" spans="1:28" ht="18" customHeight="1">
      <c r="A147" s="98"/>
      <c r="B147" s="98"/>
      <c r="E147" s="95" t="s">
        <v>782</v>
      </c>
      <c r="AA147" s="99"/>
      <c r="AB147" s="99"/>
    </row>
    <row r="148" spans="1:28" ht="18" customHeight="1">
      <c r="A148" s="98"/>
      <c r="B148" s="98"/>
      <c r="E148" s="95" t="s">
        <v>783</v>
      </c>
      <c r="AA148" s="99"/>
      <c r="AB148" s="99"/>
    </row>
    <row r="149" spans="1:28" ht="18" customHeight="1">
      <c r="A149" s="98"/>
      <c r="B149" s="98"/>
      <c r="E149" s="95" t="s">
        <v>784</v>
      </c>
      <c r="AA149" s="99"/>
      <c r="AB149" s="99"/>
    </row>
    <row r="150" spans="1:28" ht="18" customHeight="1">
      <c r="A150" s="98"/>
      <c r="B150" s="98"/>
      <c r="C150" s="95" t="s">
        <v>785</v>
      </c>
      <c r="AA150" s="99"/>
      <c r="AB150" s="99"/>
    </row>
    <row r="151" spans="1:28" ht="18" customHeight="1">
      <c r="A151" s="98"/>
      <c r="B151" s="98"/>
      <c r="E151" s="95" t="s">
        <v>786</v>
      </c>
      <c r="AA151" s="99"/>
      <c r="AB151" s="99"/>
    </row>
    <row r="152" spans="1:28" ht="18" customHeight="1">
      <c r="A152" s="98"/>
      <c r="B152" s="98"/>
      <c r="E152" s="95" t="s">
        <v>787</v>
      </c>
      <c r="AA152" s="99"/>
      <c r="AB152" s="99"/>
    </row>
    <row r="153" spans="1:28" ht="18" customHeight="1">
      <c r="A153" s="98"/>
      <c r="B153" s="98"/>
      <c r="E153" s="95" t="s">
        <v>788</v>
      </c>
      <c r="AA153" s="99"/>
      <c r="AB153" s="99"/>
    </row>
    <row r="154" spans="1:28" ht="18" customHeight="1">
      <c r="A154" s="98"/>
      <c r="B154" s="98"/>
      <c r="E154" s="95" t="s">
        <v>789</v>
      </c>
      <c r="AA154" s="99"/>
      <c r="AB154" s="99"/>
    </row>
    <row r="155" spans="1:28" ht="18" customHeight="1">
      <c r="A155" s="98"/>
      <c r="B155" s="98"/>
      <c r="E155" s="95" t="s">
        <v>790</v>
      </c>
      <c r="AA155" s="99"/>
      <c r="AB155" s="99"/>
    </row>
    <row r="156" spans="1:28" ht="18" customHeight="1">
      <c r="A156" s="98"/>
      <c r="B156" s="98"/>
      <c r="E156" s="95" t="s">
        <v>791</v>
      </c>
      <c r="AA156" s="99"/>
      <c r="AB156" s="99"/>
    </row>
    <row r="157" spans="1:28" ht="18" customHeight="1">
      <c r="A157" s="98"/>
      <c r="B157" s="98"/>
      <c r="E157" s="95" t="s">
        <v>792</v>
      </c>
      <c r="AA157" s="99"/>
      <c r="AB157" s="99"/>
    </row>
    <row r="158" spans="1:28" ht="18" customHeight="1">
      <c r="A158" s="98"/>
      <c r="B158" s="98"/>
      <c r="C158" s="95" t="s">
        <v>793</v>
      </c>
      <c r="AA158" s="99"/>
      <c r="AB158" s="99"/>
    </row>
    <row r="159" spans="1:28" ht="18" customHeight="1">
      <c r="A159" s="98"/>
      <c r="B159" s="98"/>
      <c r="E159" s="95" t="s">
        <v>786</v>
      </c>
      <c r="AA159" s="99"/>
      <c r="AB159" s="99"/>
    </row>
    <row r="160" spans="1:28" ht="18" customHeight="1">
      <c r="A160" s="98"/>
      <c r="B160" s="98"/>
      <c r="E160" s="95" t="s">
        <v>787</v>
      </c>
      <c r="AA160" s="99"/>
      <c r="AB160" s="99"/>
    </row>
    <row r="161" spans="1:28" ht="18" customHeight="1">
      <c r="A161" s="98"/>
      <c r="B161" s="98"/>
      <c r="E161" s="95" t="s">
        <v>788</v>
      </c>
      <c r="AA161" s="99"/>
      <c r="AB161" s="99"/>
    </row>
    <row r="162" spans="1:28" ht="18" customHeight="1">
      <c r="A162" s="98"/>
      <c r="B162" s="98"/>
      <c r="E162" s="95" t="s">
        <v>789</v>
      </c>
      <c r="AA162" s="99"/>
      <c r="AB162" s="99"/>
    </row>
    <row r="163" spans="1:28" ht="18" customHeight="1">
      <c r="A163" s="98"/>
      <c r="B163" s="98"/>
      <c r="E163" s="95" t="s">
        <v>790</v>
      </c>
      <c r="AA163" s="99"/>
      <c r="AB163" s="99"/>
    </row>
    <row r="164" spans="1:28" ht="18" customHeight="1">
      <c r="A164" s="98"/>
      <c r="B164" s="98"/>
      <c r="E164" s="95" t="s">
        <v>791</v>
      </c>
      <c r="AA164" s="99"/>
      <c r="AB164" s="99"/>
    </row>
    <row r="165" spans="1:28" ht="18" customHeight="1">
      <c r="A165" s="98"/>
      <c r="B165" s="98"/>
      <c r="E165" s="95" t="s">
        <v>792</v>
      </c>
      <c r="AA165" s="99"/>
      <c r="AB165" s="99"/>
    </row>
    <row r="166" spans="1:28" ht="18" customHeight="1">
      <c r="A166" s="98"/>
      <c r="B166" s="98"/>
      <c r="C166" s="95" t="s">
        <v>794</v>
      </c>
      <c r="AA166" s="99"/>
      <c r="AB166" s="99"/>
    </row>
    <row r="167" spans="1:28" ht="18" customHeight="1">
      <c r="A167" s="98"/>
      <c r="B167" s="98"/>
      <c r="C167" s="95" t="s">
        <v>25</v>
      </c>
      <c r="AA167" s="99"/>
      <c r="AB167" s="99"/>
    </row>
    <row r="168" spans="1:28" ht="18" customHeight="1">
      <c r="A168" s="98"/>
      <c r="B168" s="98"/>
      <c r="C168" s="95" t="s">
        <v>26</v>
      </c>
      <c r="AA168" s="99"/>
      <c r="AB168" s="99"/>
    </row>
    <row r="169" spans="1:28" ht="18" customHeight="1">
      <c r="A169" s="98"/>
      <c r="B169" s="98"/>
      <c r="AA169" s="99"/>
      <c r="AB169" s="99"/>
    </row>
    <row r="170" spans="1:28" ht="18" customHeight="1">
      <c r="A170" s="98"/>
      <c r="B170" s="98"/>
      <c r="C170" s="95" t="s">
        <v>27</v>
      </c>
      <c r="AA170" s="99"/>
      <c r="AB170" s="99"/>
    </row>
    <row r="171" spans="1:28" ht="18" customHeight="1">
      <c r="A171" s="98"/>
      <c r="B171" s="98"/>
      <c r="C171" s="95" t="s">
        <v>21</v>
      </c>
      <c r="AA171" s="99"/>
      <c r="AB171" s="99"/>
    </row>
    <row r="172" spans="1:28" ht="18" customHeight="1">
      <c r="A172" s="98"/>
      <c r="B172" s="98"/>
      <c r="C172" s="95" t="s">
        <v>22</v>
      </c>
      <c r="AA172" s="99"/>
      <c r="AB172" s="99"/>
    </row>
    <row r="173" spans="1:28" ht="18" customHeight="1">
      <c r="A173" s="98"/>
      <c r="B173" s="98"/>
      <c r="C173" s="95" t="s">
        <v>28</v>
      </c>
      <c r="AA173" s="99"/>
      <c r="AB173" s="99"/>
    </row>
    <row r="174" spans="1:28" ht="18" customHeight="1">
      <c r="A174" s="98"/>
      <c r="B174" s="98"/>
      <c r="C174" s="95" t="s">
        <v>26</v>
      </c>
      <c r="AA174" s="99"/>
      <c r="AB174" s="99"/>
    </row>
    <row r="175" spans="1:28" ht="18" customHeight="1">
      <c r="A175" s="98"/>
      <c r="B175" s="102"/>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c r="AA175" s="104"/>
      <c r="AB175" s="99"/>
    </row>
    <row r="176" spans="1:28" ht="18" customHeight="1">
      <c r="A176" s="98"/>
      <c r="AB176" s="99"/>
    </row>
    <row r="177" spans="1:28" ht="18" customHeight="1">
      <c r="A177" s="102"/>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c r="AA177" s="103"/>
      <c r="AB177" s="104"/>
    </row>
  </sheetData>
  <mergeCells count="101">
    <mergeCell ref="C115:F115"/>
    <mergeCell ref="G115:AA115"/>
    <mergeCell ref="C103:D103"/>
    <mergeCell ref="E103:K103"/>
    <mergeCell ref="L103:AA103"/>
    <mergeCell ref="C104:D104"/>
    <mergeCell ref="C105:F105"/>
    <mergeCell ref="G105:AA105"/>
    <mergeCell ref="C114:D114"/>
    <mergeCell ref="C111:D111"/>
    <mergeCell ref="C113:D113"/>
    <mergeCell ref="C112:D112"/>
    <mergeCell ref="C108:D108"/>
    <mergeCell ref="E108:K108"/>
    <mergeCell ref="L108:AA108"/>
    <mergeCell ref="C109:D109"/>
    <mergeCell ref="C110:D110"/>
    <mergeCell ref="C66:D66"/>
    <mergeCell ref="E66:K66"/>
    <mergeCell ref="L66:AA66"/>
    <mergeCell ref="C67:D67"/>
    <mergeCell ref="C68:F68"/>
    <mergeCell ref="G68:AA68"/>
    <mergeCell ref="C62:F62"/>
    <mergeCell ref="G62:AA62"/>
    <mergeCell ref="L10:M10"/>
    <mergeCell ref="N10:P10"/>
    <mergeCell ref="Q10:R10"/>
    <mergeCell ref="S10:AA10"/>
    <mergeCell ref="L11:M11"/>
    <mergeCell ref="N11:P11"/>
    <mergeCell ref="Q11:R11"/>
    <mergeCell ref="S11:AA11"/>
    <mergeCell ref="C57:D57"/>
    <mergeCell ref="C60:D60"/>
    <mergeCell ref="E60:K60"/>
    <mergeCell ref="L60:AA60"/>
    <mergeCell ref="C61:D61"/>
    <mergeCell ref="C54:D54"/>
    <mergeCell ref="E54:K54"/>
    <mergeCell ref="L54:AA54"/>
    <mergeCell ref="C55:D55"/>
    <mergeCell ref="C56:D56"/>
    <mergeCell ref="C49:F49"/>
    <mergeCell ref="G49:AA49"/>
    <mergeCell ref="C50:F50"/>
    <mergeCell ref="G50:AA50"/>
    <mergeCell ref="C51:F51"/>
    <mergeCell ref="G51:AA51"/>
    <mergeCell ref="C43:F43"/>
    <mergeCell ref="C44:F44"/>
    <mergeCell ref="C45:F48"/>
    <mergeCell ref="G45:AA45"/>
    <mergeCell ref="G46:AA46"/>
    <mergeCell ref="G47:AA47"/>
    <mergeCell ref="G48:AA48"/>
    <mergeCell ref="C38:D38"/>
    <mergeCell ref="E38:K38"/>
    <mergeCell ref="L38:AA38"/>
    <mergeCell ref="C39:D39"/>
    <mergeCell ref="C40:F40"/>
    <mergeCell ref="G40:AA40"/>
    <mergeCell ref="A1:G2"/>
    <mergeCell ref="H1:AB2"/>
    <mergeCell ref="A3:G4"/>
    <mergeCell ref="H3:AB4"/>
    <mergeCell ref="A5:C5"/>
    <mergeCell ref="D5:G5"/>
    <mergeCell ref="H5:J5"/>
    <mergeCell ref="K5:N5"/>
    <mergeCell ref="O5:Q5"/>
    <mergeCell ref="R5:U5"/>
    <mergeCell ref="C8:K8"/>
    <mergeCell ref="L8:M8"/>
    <mergeCell ref="N8:P8"/>
    <mergeCell ref="Q8:R8"/>
    <mergeCell ref="S8:AA8"/>
    <mergeCell ref="L9:M9"/>
    <mergeCell ref="N9:P9"/>
    <mergeCell ref="Q9:R9"/>
    <mergeCell ref="S9:AA9"/>
    <mergeCell ref="V5:X5"/>
    <mergeCell ref="Y5:AB5"/>
    <mergeCell ref="C19:F19"/>
    <mergeCell ref="G19:AA19"/>
    <mergeCell ref="C20:F22"/>
    <mergeCell ref="G20:AA20"/>
    <mergeCell ref="G22:AA22"/>
    <mergeCell ref="G21:AA21"/>
    <mergeCell ref="C25:D25"/>
    <mergeCell ref="E25:K25"/>
    <mergeCell ref="L25:AA25"/>
    <mergeCell ref="G33:AA33"/>
    <mergeCell ref="C33:F33"/>
    <mergeCell ref="L30:AA30"/>
    <mergeCell ref="C31:D31"/>
    <mergeCell ref="C32:D32"/>
    <mergeCell ref="C30:D30"/>
    <mergeCell ref="E30:K30"/>
    <mergeCell ref="C26:D26"/>
    <mergeCell ref="C27:D27"/>
  </mergeCells>
  <phoneticPr fontId="3"/>
  <pageMargins left="0.39370078740157499" right="0.39370078740157499" top="0.39370078740157499" bottom="0.39370078740157499" header="0.31496062992126" footer="0.31496062992126"/>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1DC4-1FA2-45BC-AFFD-D0B993FE7B87}">
  <sheetPr>
    <tabColor rgb="FFFFC000"/>
  </sheetPr>
  <dimension ref="A1:AG436"/>
  <sheetViews>
    <sheetView topLeftCell="A154" zoomScale="120" zoomScaleNormal="120" workbookViewId="0">
      <selection activeCell="J186" sqref="J186"/>
    </sheetView>
  </sheetViews>
  <sheetFormatPr defaultColWidth="3.25" defaultRowHeight="16.5"/>
  <cols>
    <col min="1" max="27" width="3.25" style="27"/>
    <col min="28" max="28" width="0" style="27" hidden="1" customWidth="1"/>
    <col min="29" max="29" width="3.25" style="27" hidden="1" customWidth="1"/>
    <col min="30" max="30" width="0" style="27" hidden="1" customWidth="1"/>
    <col min="31" max="16384" width="3.25" style="27"/>
  </cols>
  <sheetData>
    <row r="1" spans="1:32">
      <c r="A1" s="251" t="s">
        <v>0</v>
      </c>
      <c r="B1" s="251"/>
      <c r="C1" s="251"/>
      <c r="D1" s="251"/>
      <c r="E1" s="251"/>
      <c r="F1" s="251"/>
      <c r="G1" s="251"/>
      <c r="H1" s="251" t="s">
        <v>127</v>
      </c>
      <c r="I1" s="251"/>
      <c r="J1" s="251"/>
      <c r="K1" s="251"/>
      <c r="L1" s="251"/>
      <c r="M1" s="251"/>
      <c r="N1" s="251"/>
      <c r="O1" s="251"/>
      <c r="P1" s="251"/>
      <c r="Q1" s="251"/>
      <c r="R1" s="251"/>
      <c r="S1" s="251"/>
      <c r="T1" s="251"/>
      <c r="U1" s="251"/>
      <c r="V1" s="251"/>
      <c r="W1" s="251"/>
      <c r="X1" s="251"/>
      <c r="Y1" s="251"/>
      <c r="Z1" s="251"/>
      <c r="AA1" s="251"/>
    </row>
    <row r="2" spans="1:32">
      <c r="A2" s="251"/>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row>
    <row r="3" spans="1:32">
      <c r="A3" s="252" t="s">
        <v>1</v>
      </c>
      <c r="B3" s="252"/>
      <c r="C3" s="252"/>
      <c r="D3" s="252"/>
      <c r="E3" s="252"/>
      <c r="F3" s="252"/>
      <c r="G3" s="252"/>
      <c r="H3" s="252" t="s">
        <v>128</v>
      </c>
      <c r="I3" s="252"/>
      <c r="J3" s="252"/>
      <c r="K3" s="252"/>
      <c r="L3" s="252"/>
      <c r="M3" s="252"/>
      <c r="N3" s="252"/>
      <c r="O3" s="252"/>
      <c r="P3" s="252"/>
      <c r="Q3" s="252"/>
      <c r="R3" s="252"/>
      <c r="S3" s="252"/>
      <c r="T3" s="252"/>
      <c r="U3" s="252"/>
      <c r="V3" s="252"/>
      <c r="W3" s="252"/>
      <c r="X3" s="252"/>
      <c r="Y3" s="252"/>
      <c r="Z3" s="252"/>
      <c r="AA3" s="252"/>
    </row>
    <row r="4" spans="1:32">
      <c r="A4" s="252"/>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row>
    <row r="5" spans="1:32">
      <c r="A5" s="358" t="s">
        <v>2</v>
      </c>
      <c r="B5" s="358"/>
      <c r="C5" s="358"/>
      <c r="D5" s="358" t="s">
        <v>73</v>
      </c>
      <c r="E5" s="358"/>
      <c r="F5" s="358"/>
      <c r="G5" s="358"/>
      <c r="H5" s="358" t="s">
        <v>3</v>
      </c>
      <c r="I5" s="358"/>
      <c r="J5" s="358"/>
      <c r="K5" s="359">
        <v>45749</v>
      </c>
      <c r="L5" s="358"/>
      <c r="M5" s="358"/>
      <c r="N5" s="358"/>
      <c r="O5" s="358" t="s">
        <v>4</v>
      </c>
      <c r="P5" s="358"/>
      <c r="Q5" s="358"/>
      <c r="R5" s="358" t="s">
        <v>614</v>
      </c>
      <c r="S5" s="358"/>
      <c r="T5" s="358"/>
      <c r="U5" s="358"/>
      <c r="V5" s="358" t="s">
        <v>5</v>
      </c>
      <c r="W5" s="358"/>
      <c r="X5" s="358"/>
      <c r="Y5" s="360" t="s">
        <v>831</v>
      </c>
      <c r="Z5" s="358"/>
      <c r="AA5" s="358"/>
      <c r="AB5" s="38"/>
    </row>
    <row r="6" spans="1:32">
      <c r="A6" s="26"/>
      <c r="AA6" s="28"/>
    </row>
    <row r="7" spans="1:32">
      <c r="A7" s="26"/>
      <c r="B7" s="27" t="s">
        <v>6</v>
      </c>
      <c r="AA7" s="28"/>
    </row>
    <row r="8" spans="1:32">
      <c r="A8" s="26"/>
      <c r="B8" s="33" t="s">
        <v>7</v>
      </c>
      <c r="C8" s="347" t="s">
        <v>8</v>
      </c>
      <c r="D8" s="348"/>
      <c r="E8" s="348"/>
      <c r="F8" s="349"/>
      <c r="G8" s="334" t="s">
        <v>9</v>
      </c>
      <c r="H8" s="334"/>
      <c r="I8" s="334"/>
      <c r="J8" s="334"/>
      <c r="K8" s="33"/>
      <c r="L8" s="33" t="s">
        <v>10</v>
      </c>
      <c r="M8" s="33"/>
      <c r="N8" s="354" t="s">
        <v>11</v>
      </c>
      <c r="O8" s="355"/>
      <c r="P8" s="356"/>
      <c r="Q8" s="334" t="s">
        <v>12</v>
      </c>
      <c r="R8" s="334"/>
      <c r="S8" s="334" t="s">
        <v>13</v>
      </c>
      <c r="T8" s="334"/>
      <c r="U8" s="334"/>
      <c r="V8" s="334"/>
      <c r="W8" s="334"/>
      <c r="X8" s="334"/>
      <c r="Y8" s="334"/>
      <c r="Z8" s="334"/>
      <c r="AA8" s="28"/>
    </row>
    <row r="9" spans="1:32" ht="18" customHeight="1">
      <c r="A9" s="26"/>
      <c r="B9" s="33">
        <v>1</v>
      </c>
      <c r="C9" s="347" t="s">
        <v>41</v>
      </c>
      <c r="D9" s="348"/>
      <c r="E9" s="348"/>
      <c r="F9" s="349"/>
      <c r="G9" s="334" t="s">
        <v>42</v>
      </c>
      <c r="H9" s="334"/>
      <c r="I9" s="334"/>
      <c r="J9" s="334"/>
      <c r="K9" s="334">
        <v>8</v>
      </c>
      <c r="L9" s="334"/>
      <c r="M9" s="334"/>
      <c r="N9" s="357" t="s">
        <v>43</v>
      </c>
      <c r="O9" s="357"/>
      <c r="P9" s="357"/>
      <c r="Q9" s="334" t="s">
        <v>44</v>
      </c>
      <c r="R9" s="334"/>
      <c r="S9" s="332" t="s">
        <v>45</v>
      </c>
      <c r="T9" s="333"/>
      <c r="U9" s="333"/>
      <c r="V9" s="333"/>
      <c r="W9" s="333"/>
      <c r="X9" s="333"/>
      <c r="Y9" s="333"/>
      <c r="Z9" s="333"/>
      <c r="AA9" s="28"/>
    </row>
    <row r="10" spans="1:32" ht="18" customHeight="1">
      <c r="A10" s="26"/>
      <c r="B10" s="33">
        <v>2</v>
      </c>
      <c r="C10" s="347" t="s">
        <v>33</v>
      </c>
      <c r="D10" s="348"/>
      <c r="E10" s="348"/>
      <c r="F10" s="349"/>
      <c r="G10" s="334" t="s">
        <v>34</v>
      </c>
      <c r="H10" s="334"/>
      <c r="I10" s="334"/>
      <c r="J10" s="334"/>
      <c r="K10" s="334">
        <v>3</v>
      </c>
      <c r="L10" s="334"/>
      <c r="M10" s="334"/>
      <c r="N10" s="357" t="s">
        <v>43</v>
      </c>
      <c r="O10" s="357"/>
      <c r="P10" s="357"/>
      <c r="Q10" s="334" t="s">
        <v>44</v>
      </c>
      <c r="R10" s="334"/>
      <c r="S10" s="332" t="s">
        <v>45</v>
      </c>
      <c r="T10" s="333"/>
      <c r="U10" s="333"/>
      <c r="V10" s="333"/>
      <c r="W10" s="333"/>
      <c r="X10" s="333"/>
      <c r="Y10" s="333"/>
      <c r="Z10" s="333"/>
      <c r="AA10" s="28"/>
    </row>
    <row r="11" spans="1:32">
      <c r="A11" s="43"/>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5"/>
    </row>
    <row r="12" spans="1:32">
      <c r="A12" s="26"/>
      <c r="B12" s="27" t="s">
        <v>14</v>
      </c>
      <c r="AA12" s="28"/>
    </row>
    <row r="13" spans="1:32">
      <c r="A13" s="26"/>
      <c r="B13" s="27" t="s">
        <v>51</v>
      </c>
      <c r="AA13" s="28"/>
    </row>
    <row r="14" spans="1:32">
      <c r="A14" s="26"/>
      <c r="C14" s="35" t="s">
        <v>29</v>
      </c>
      <c r="D14" s="27" t="s">
        <v>258</v>
      </c>
      <c r="AA14" s="28"/>
    </row>
    <row r="15" spans="1:32" ht="40.15" customHeight="1">
      <c r="A15" s="26"/>
      <c r="C15" s="340" t="s">
        <v>129</v>
      </c>
      <c r="D15" s="341"/>
      <c r="E15" s="341"/>
      <c r="F15" s="342"/>
      <c r="G15" s="332" t="s">
        <v>133</v>
      </c>
      <c r="H15" s="333"/>
      <c r="I15" s="333"/>
      <c r="J15" s="333"/>
      <c r="K15" s="333"/>
      <c r="L15" s="333"/>
      <c r="M15" s="333"/>
      <c r="N15" s="333"/>
      <c r="O15" s="333"/>
      <c r="P15" s="33" t="s">
        <v>130</v>
      </c>
      <c r="Q15" s="333" t="s">
        <v>131</v>
      </c>
      <c r="R15" s="333"/>
      <c r="S15" s="333"/>
      <c r="T15" s="333"/>
      <c r="U15" s="333"/>
      <c r="V15" s="333"/>
      <c r="W15" s="333"/>
      <c r="X15" s="333"/>
      <c r="Y15" s="333"/>
      <c r="Z15" s="333"/>
      <c r="AA15" s="28"/>
    </row>
    <row r="16" spans="1:32" ht="343.9" customHeight="1">
      <c r="A16" s="26"/>
      <c r="C16" s="340" t="s">
        <v>132</v>
      </c>
      <c r="D16" s="341"/>
      <c r="E16" s="341"/>
      <c r="F16" s="342"/>
      <c r="G16" s="361" t="s">
        <v>599</v>
      </c>
      <c r="H16" s="362"/>
      <c r="I16" s="362"/>
      <c r="J16" s="362"/>
      <c r="K16" s="362"/>
      <c r="L16" s="362"/>
      <c r="M16" s="362"/>
      <c r="N16" s="362"/>
      <c r="O16" s="362"/>
      <c r="P16" s="362"/>
      <c r="Q16" s="362"/>
      <c r="R16" s="362"/>
      <c r="S16" s="362"/>
      <c r="T16" s="362"/>
      <c r="U16" s="362"/>
      <c r="V16" s="362"/>
      <c r="W16" s="362"/>
      <c r="X16" s="362"/>
      <c r="Y16" s="362"/>
      <c r="Z16" s="363"/>
      <c r="AA16" s="28"/>
      <c r="AF16" s="27" t="s">
        <v>600</v>
      </c>
    </row>
    <row r="17" spans="1:31" ht="18" customHeight="1">
      <c r="A17" s="26"/>
      <c r="C17" s="319" t="s">
        <v>613</v>
      </c>
      <c r="D17" s="319"/>
      <c r="E17" s="319"/>
      <c r="F17" s="319"/>
      <c r="G17" s="320" t="s">
        <v>746</v>
      </c>
      <c r="H17" s="321"/>
      <c r="I17" s="321"/>
      <c r="J17" s="321"/>
      <c r="K17" s="321"/>
      <c r="L17" s="321"/>
      <c r="M17" s="321"/>
      <c r="N17" s="321"/>
      <c r="O17" s="321"/>
      <c r="P17" s="321"/>
      <c r="Q17" s="321"/>
      <c r="R17" s="321"/>
      <c r="S17" s="321"/>
      <c r="T17" s="321"/>
      <c r="U17" s="321"/>
      <c r="V17" s="321"/>
      <c r="W17" s="321"/>
      <c r="X17" s="321"/>
      <c r="Y17" s="321"/>
      <c r="Z17" s="322"/>
      <c r="AA17" s="28"/>
      <c r="AB17" s="68"/>
      <c r="AE17" s="70" t="s">
        <v>750</v>
      </c>
    </row>
    <row r="18" spans="1:31" ht="18" customHeight="1">
      <c r="A18" s="26"/>
      <c r="C18" s="323" t="s">
        <v>17</v>
      </c>
      <c r="D18" s="324"/>
      <c r="E18" s="324"/>
      <c r="F18" s="325"/>
      <c r="G18" s="332" t="s">
        <v>747</v>
      </c>
      <c r="H18" s="332"/>
      <c r="I18" s="332"/>
      <c r="J18" s="332"/>
      <c r="K18" s="332"/>
      <c r="L18" s="332"/>
      <c r="M18" s="332"/>
      <c r="N18" s="332"/>
      <c r="O18" s="332"/>
      <c r="P18" s="332"/>
      <c r="Q18" s="332"/>
      <c r="R18" s="332"/>
      <c r="S18" s="332"/>
      <c r="T18" s="332"/>
      <c r="U18" s="332"/>
      <c r="V18" s="332"/>
      <c r="W18" s="332"/>
      <c r="X18" s="332"/>
      <c r="Y18" s="332"/>
      <c r="Z18" s="332"/>
      <c r="AA18" s="28"/>
      <c r="AB18" s="68"/>
      <c r="AE18" s="68"/>
    </row>
    <row r="19" spans="1:31" ht="18" customHeight="1">
      <c r="A19" s="26"/>
      <c r="C19" s="326"/>
      <c r="D19" s="327"/>
      <c r="E19" s="327"/>
      <c r="F19" s="328"/>
      <c r="G19" s="333" t="s">
        <v>620</v>
      </c>
      <c r="H19" s="333"/>
      <c r="I19" s="333"/>
      <c r="J19" s="333"/>
      <c r="K19" s="333"/>
      <c r="L19" s="333"/>
      <c r="M19" s="333"/>
      <c r="N19" s="333"/>
      <c r="O19" s="333"/>
      <c r="P19" s="333"/>
      <c r="Q19" s="333"/>
      <c r="R19" s="333"/>
      <c r="S19" s="333"/>
      <c r="T19" s="333"/>
      <c r="U19" s="333"/>
      <c r="V19" s="333"/>
      <c r="W19" s="333"/>
      <c r="X19" s="333"/>
      <c r="Y19" s="333"/>
      <c r="Z19" s="333"/>
      <c r="AA19" s="28"/>
      <c r="AB19" s="68"/>
      <c r="AE19" s="68"/>
    </row>
    <row r="20" spans="1:31" ht="18" customHeight="1">
      <c r="A20" s="26"/>
      <c r="C20" s="329"/>
      <c r="D20" s="330"/>
      <c r="E20" s="330"/>
      <c r="F20" s="331"/>
      <c r="G20" s="333" t="s">
        <v>621</v>
      </c>
      <c r="H20" s="333"/>
      <c r="I20" s="333"/>
      <c r="J20" s="333"/>
      <c r="K20" s="333"/>
      <c r="L20" s="333"/>
      <c r="M20" s="333"/>
      <c r="N20" s="333"/>
      <c r="O20" s="333"/>
      <c r="P20" s="333"/>
      <c r="Q20" s="333"/>
      <c r="R20" s="333"/>
      <c r="S20" s="333"/>
      <c r="T20" s="333"/>
      <c r="U20" s="333"/>
      <c r="V20" s="333"/>
      <c r="W20" s="333"/>
      <c r="X20" s="333"/>
      <c r="Y20" s="333"/>
      <c r="Z20" s="333"/>
      <c r="AA20" s="28"/>
      <c r="AB20" s="68"/>
      <c r="AE20" s="68"/>
    </row>
    <row r="21" spans="1:31" ht="18" customHeight="1">
      <c r="A21" s="26"/>
      <c r="C21" s="319" t="s">
        <v>613</v>
      </c>
      <c r="D21" s="319"/>
      <c r="E21" s="319"/>
      <c r="F21" s="319"/>
      <c r="G21" s="320" t="s">
        <v>756</v>
      </c>
      <c r="H21" s="321"/>
      <c r="I21" s="321"/>
      <c r="J21" s="321"/>
      <c r="K21" s="321"/>
      <c r="L21" s="321"/>
      <c r="M21" s="321"/>
      <c r="N21" s="321"/>
      <c r="O21" s="321"/>
      <c r="P21" s="321"/>
      <c r="Q21" s="321"/>
      <c r="R21" s="321"/>
      <c r="S21" s="321"/>
      <c r="T21" s="321"/>
      <c r="U21" s="321"/>
      <c r="V21" s="321"/>
      <c r="W21" s="321"/>
      <c r="X21" s="321"/>
      <c r="Y21" s="321"/>
      <c r="Z21" s="322"/>
      <c r="AA21" s="28"/>
      <c r="AB21" s="68"/>
      <c r="AE21" s="70"/>
    </row>
    <row r="22" spans="1:31" ht="18" customHeight="1">
      <c r="A22" s="26"/>
      <c r="C22" s="323" t="s">
        <v>17</v>
      </c>
      <c r="D22" s="324"/>
      <c r="E22" s="324"/>
      <c r="F22" s="325"/>
      <c r="G22" s="332" t="s">
        <v>757</v>
      </c>
      <c r="H22" s="332"/>
      <c r="I22" s="332"/>
      <c r="J22" s="332"/>
      <c r="K22" s="332"/>
      <c r="L22" s="332"/>
      <c r="M22" s="332"/>
      <c r="N22" s="332"/>
      <c r="O22" s="332"/>
      <c r="P22" s="332"/>
      <c r="Q22" s="332"/>
      <c r="R22" s="332"/>
      <c r="S22" s="332"/>
      <c r="T22" s="332"/>
      <c r="U22" s="332"/>
      <c r="V22" s="332"/>
      <c r="W22" s="332"/>
      <c r="X22" s="332"/>
      <c r="Y22" s="332"/>
      <c r="Z22" s="332"/>
      <c r="AA22" s="28"/>
      <c r="AB22" s="68"/>
      <c r="AE22" s="68"/>
    </row>
    <row r="23" spans="1:31" ht="18" customHeight="1">
      <c r="A23" s="26"/>
      <c r="C23" s="326"/>
      <c r="D23" s="327"/>
      <c r="E23" s="327"/>
      <c r="F23" s="328"/>
      <c r="G23" s="333" t="s">
        <v>625</v>
      </c>
      <c r="H23" s="333"/>
      <c r="I23" s="333"/>
      <c r="J23" s="333"/>
      <c r="K23" s="333"/>
      <c r="L23" s="333"/>
      <c r="M23" s="333"/>
      <c r="N23" s="333"/>
      <c r="O23" s="333"/>
      <c r="P23" s="333"/>
      <c r="Q23" s="333"/>
      <c r="R23" s="333"/>
      <c r="S23" s="333"/>
      <c r="T23" s="333"/>
      <c r="U23" s="333"/>
      <c r="V23" s="333"/>
      <c r="W23" s="333"/>
      <c r="X23" s="333"/>
      <c r="Y23" s="333"/>
      <c r="Z23" s="333"/>
      <c r="AA23" s="28"/>
      <c r="AB23" s="68"/>
      <c r="AE23" s="68"/>
    </row>
    <row r="24" spans="1:31" ht="18" customHeight="1">
      <c r="A24" s="26"/>
      <c r="C24" s="329"/>
      <c r="D24" s="330"/>
      <c r="E24" s="330"/>
      <c r="F24" s="331"/>
      <c r="G24" s="333" t="s">
        <v>626</v>
      </c>
      <c r="H24" s="333"/>
      <c r="I24" s="333"/>
      <c r="J24" s="333"/>
      <c r="K24" s="333"/>
      <c r="L24" s="333"/>
      <c r="M24" s="333"/>
      <c r="N24" s="333"/>
      <c r="O24" s="333"/>
      <c r="P24" s="333"/>
      <c r="Q24" s="333"/>
      <c r="R24" s="333"/>
      <c r="S24" s="333"/>
      <c r="T24" s="333"/>
      <c r="U24" s="333"/>
      <c r="V24" s="333"/>
      <c r="W24" s="333"/>
      <c r="X24" s="333"/>
      <c r="Y24" s="333"/>
      <c r="Z24" s="333"/>
      <c r="AA24" s="28"/>
      <c r="AB24" s="68"/>
      <c r="AE24" s="68"/>
    </row>
    <row r="25" spans="1:31">
      <c r="A25" s="26"/>
      <c r="C25" s="38"/>
      <c r="D25" s="38"/>
      <c r="E25" s="38"/>
      <c r="F25" s="38"/>
      <c r="G25" s="38"/>
      <c r="H25" s="38"/>
      <c r="I25" s="38"/>
      <c r="J25" s="38"/>
      <c r="K25" s="38"/>
      <c r="L25" s="38"/>
      <c r="M25" s="38"/>
      <c r="N25" s="38"/>
      <c r="O25" s="38"/>
      <c r="P25" s="38"/>
      <c r="Q25" s="38"/>
      <c r="R25" s="38"/>
      <c r="S25" s="38"/>
      <c r="T25" s="38"/>
      <c r="U25" s="38"/>
      <c r="V25" s="38"/>
      <c r="W25" s="38"/>
      <c r="X25" s="38"/>
      <c r="Y25" s="38"/>
      <c r="Z25" s="38"/>
      <c r="AA25" s="28"/>
    </row>
    <row r="26" spans="1:31">
      <c r="A26" s="26"/>
      <c r="C26" s="35" t="s">
        <v>67</v>
      </c>
      <c r="AA26" s="28"/>
    </row>
    <row r="27" spans="1:31">
      <c r="A27" s="26"/>
      <c r="C27" s="274" t="s">
        <v>15</v>
      </c>
      <c r="D27" s="275"/>
      <c r="E27" s="275"/>
      <c r="F27" s="275"/>
      <c r="G27" s="275"/>
      <c r="H27" s="275"/>
      <c r="I27" s="275"/>
      <c r="J27" s="275"/>
      <c r="K27" s="275"/>
      <c r="L27" s="275"/>
      <c r="M27" s="275"/>
      <c r="N27" s="275"/>
      <c r="O27" s="275"/>
      <c r="P27" s="275"/>
      <c r="Q27" s="275"/>
      <c r="R27" s="275"/>
      <c r="S27" s="275"/>
      <c r="T27" s="275"/>
      <c r="U27" s="275"/>
      <c r="V27" s="275"/>
      <c r="W27" s="275"/>
      <c r="X27" s="275"/>
      <c r="Y27" s="275"/>
      <c r="Z27" s="276"/>
      <c r="AA27" s="28"/>
    </row>
    <row r="28" spans="1:31">
      <c r="A28" s="26"/>
      <c r="C28" s="337" t="s">
        <v>16</v>
      </c>
      <c r="D28" s="337"/>
      <c r="E28" s="337"/>
      <c r="F28" s="337"/>
      <c r="G28" s="333">
        <v>201</v>
      </c>
      <c r="H28" s="333"/>
      <c r="I28" s="333"/>
      <c r="J28" s="333"/>
      <c r="K28" s="333"/>
      <c r="L28" s="333"/>
      <c r="M28" s="333"/>
      <c r="N28" s="333"/>
      <c r="O28" s="333"/>
      <c r="P28" s="333"/>
      <c r="Q28" s="333"/>
      <c r="R28" s="333"/>
      <c r="S28" s="333"/>
      <c r="T28" s="333"/>
      <c r="U28" s="333"/>
      <c r="V28" s="333"/>
      <c r="W28" s="333"/>
      <c r="X28" s="333"/>
      <c r="Y28" s="333"/>
      <c r="Z28" s="333"/>
      <c r="AA28" s="28"/>
    </row>
    <row r="29" spans="1:31">
      <c r="A29" s="26"/>
      <c r="C29" s="38"/>
      <c r="D29" s="38"/>
      <c r="E29" s="38"/>
      <c r="F29" s="38"/>
      <c r="G29" s="46"/>
      <c r="H29" s="46"/>
      <c r="I29" s="46"/>
      <c r="J29" s="46"/>
      <c r="K29" s="46"/>
      <c r="L29" s="46"/>
      <c r="M29" s="46"/>
      <c r="N29" s="46"/>
      <c r="O29" s="46"/>
      <c r="P29" s="46"/>
      <c r="Q29" s="46"/>
      <c r="R29" s="46"/>
      <c r="S29" s="46"/>
      <c r="T29" s="46"/>
      <c r="U29" s="46"/>
      <c r="V29" s="46"/>
      <c r="W29" s="46"/>
      <c r="X29" s="46"/>
      <c r="Y29" s="46"/>
      <c r="Z29" s="46"/>
      <c r="AA29" s="28"/>
    </row>
    <row r="30" spans="1:31">
      <c r="A30" s="26"/>
      <c r="C30" s="53" t="s">
        <v>66</v>
      </c>
      <c r="D30" s="38"/>
      <c r="E30" s="38"/>
      <c r="F30" s="38"/>
      <c r="G30" s="38"/>
      <c r="H30" s="38"/>
      <c r="I30" s="38"/>
      <c r="J30" s="38"/>
      <c r="K30" s="38"/>
      <c r="L30" s="38"/>
      <c r="M30" s="38"/>
      <c r="N30" s="38"/>
      <c r="O30" s="38"/>
      <c r="P30" s="38"/>
      <c r="Q30" s="38"/>
      <c r="R30" s="38"/>
      <c r="S30" s="38"/>
      <c r="T30" s="38"/>
      <c r="U30" s="38"/>
      <c r="V30" s="38"/>
      <c r="W30" s="38"/>
      <c r="X30" s="38"/>
      <c r="Y30" s="38"/>
      <c r="Z30" s="38"/>
      <c r="AA30" s="28"/>
    </row>
    <row r="31" spans="1:31">
      <c r="A31" s="26"/>
      <c r="C31" s="337" t="s">
        <v>7</v>
      </c>
      <c r="D31" s="337"/>
      <c r="E31" s="337" t="s">
        <v>9</v>
      </c>
      <c r="F31" s="337"/>
      <c r="G31" s="337"/>
      <c r="H31" s="337"/>
      <c r="I31" s="337"/>
      <c r="J31" s="343" t="s">
        <v>18</v>
      </c>
      <c r="K31" s="344"/>
      <c r="L31" s="344"/>
      <c r="M31" s="344"/>
      <c r="N31" s="344"/>
      <c r="O31" s="344"/>
      <c r="P31" s="344"/>
      <c r="Q31" s="344"/>
      <c r="R31" s="344"/>
      <c r="S31" s="344"/>
      <c r="T31" s="344"/>
      <c r="U31" s="344"/>
      <c r="V31" s="344"/>
      <c r="W31" s="344"/>
      <c r="X31" s="344"/>
      <c r="Y31" s="344"/>
      <c r="Z31" s="345"/>
      <c r="AA31" s="28"/>
    </row>
    <row r="32" spans="1:31">
      <c r="A32" s="26"/>
      <c r="C32" s="334">
        <v>1</v>
      </c>
      <c r="D32" s="334"/>
      <c r="E32" s="39" t="s">
        <v>165</v>
      </c>
      <c r="F32" s="40"/>
      <c r="G32" s="40"/>
      <c r="H32" s="40"/>
      <c r="I32" s="41"/>
      <c r="J32" s="39"/>
      <c r="K32" s="40"/>
      <c r="L32" s="40"/>
      <c r="M32" s="40"/>
      <c r="N32" s="40"/>
      <c r="O32" s="40"/>
      <c r="P32" s="40"/>
      <c r="Q32" s="40"/>
      <c r="R32" s="40"/>
      <c r="S32" s="40"/>
      <c r="T32" s="40"/>
      <c r="U32" s="40"/>
      <c r="V32" s="40"/>
      <c r="W32" s="40"/>
      <c r="X32" s="40"/>
      <c r="Y32" s="40"/>
      <c r="Z32" s="41"/>
      <c r="AA32" s="28"/>
      <c r="AC32" s="27" t="str">
        <f>""""&amp;J32&amp;""": ["</f>
        <v>"": [</v>
      </c>
    </row>
    <row r="33" spans="1:31">
      <c r="A33" s="26"/>
      <c r="C33" s="334">
        <v>2</v>
      </c>
      <c r="D33" s="334"/>
      <c r="E33" s="39"/>
      <c r="F33" s="64" t="s">
        <v>166</v>
      </c>
      <c r="G33" s="40"/>
      <c r="H33" s="40"/>
      <c r="I33" s="41"/>
      <c r="J33" s="39" t="s">
        <v>314</v>
      </c>
      <c r="K33" s="40"/>
      <c r="L33" s="40"/>
      <c r="M33" s="40"/>
      <c r="N33" s="40"/>
      <c r="O33" s="40"/>
      <c r="P33" s="40"/>
      <c r="Q33" s="40"/>
      <c r="R33" s="40"/>
      <c r="S33" s="40"/>
      <c r="T33" s="40"/>
      <c r="U33" s="40"/>
      <c r="V33" s="40"/>
      <c r="W33" s="40"/>
      <c r="X33" s="40"/>
      <c r="Y33" s="40"/>
      <c r="Z33" s="41"/>
      <c r="AA33" s="28"/>
      <c r="AC33" s="27" t="str">
        <f>"{"""&amp;J33&amp;""":""example"&amp;J33&amp;""","</f>
        <v>{"1.案件情報.案件ID":"example1.案件情報.案件ID",</v>
      </c>
    </row>
    <row r="34" spans="1:31">
      <c r="A34" s="26"/>
      <c r="C34" s="334">
        <v>3</v>
      </c>
      <c r="D34" s="334"/>
      <c r="E34" s="39"/>
      <c r="F34" s="64" t="s">
        <v>155</v>
      </c>
      <c r="G34" s="40"/>
      <c r="H34" s="40"/>
      <c r="I34" s="41"/>
      <c r="J34" s="39" t="s">
        <v>315</v>
      </c>
      <c r="K34" s="40"/>
      <c r="L34" s="40"/>
      <c r="M34" s="40"/>
      <c r="N34" s="40"/>
      <c r="O34" s="40"/>
      <c r="P34" s="40"/>
      <c r="Q34" s="40"/>
      <c r="R34" s="40"/>
      <c r="S34" s="40"/>
      <c r="T34" s="40"/>
      <c r="U34" s="40"/>
      <c r="V34" s="40"/>
      <c r="W34" s="40"/>
      <c r="X34" s="40"/>
      <c r="Y34" s="40"/>
      <c r="Z34" s="41"/>
      <c r="AA34" s="28"/>
      <c r="AC34" s="27" t="str">
        <f>"{"""&amp;J34&amp;""":""example"&amp;J34&amp;""","</f>
        <v>{"1.案件情報.案件コード":"example1.案件情報.案件コード",</v>
      </c>
    </row>
    <row r="35" spans="1:31">
      <c r="A35" s="26"/>
      <c r="C35" s="334">
        <v>4</v>
      </c>
      <c r="D35" s="334"/>
      <c r="E35" s="39"/>
      <c r="F35" s="40" t="s">
        <v>156</v>
      </c>
      <c r="G35" s="40"/>
      <c r="H35" s="40"/>
      <c r="I35" s="41"/>
      <c r="J35" s="39" t="s">
        <v>316</v>
      </c>
      <c r="K35" s="40"/>
      <c r="L35" s="40"/>
      <c r="M35" s="40"/>
      <c r="N35" s="40"/>
      <c r="O35" s="40"/>
      <c r="P35" s="40"/>
      <c r="Q35" s="40"/>
      <c r="R35" s="40"/>
      <c r="S35" s="40"/>
      <c r="T35" s="40"/>
      <c r="U35" s="40"/>
      <c r="V35" s="40"/>
      <c r="W35" s="40"/>
      <c r="X35" s="40"/>
      <c r="Y35" s="40"/>
      <c r="Z35" s="41"/>
      <c r="AA35" s="28"/>
      <c r="AC35" s="27" t="str">
        <f>""""&amp;J35&amp;""":""example"&amp;J35&amp;""","</f>
        <v>"1.案件情報.歴番":"example1.案件情報.歴番",</v>
      </c>
    </row>
    <row r="36" spans="1:31">
      <c r="A36" s="26"/>
      <c r="C36" s="334">
        <v>5</v>
      </c>
      <c r="D36" s="334"/>
      <c r="E36" s="39"/>
      <c r="F36" s="27" t="s">
        <v>157</v>
      </c>
      <c r="G36" s="40"/>
      <c r="H36" s="40"/>
      <c r="I36" s="41"/>
      <c r="J36" s="39" t="s">
        <v>317</v>
      </c>
      <c r="K36" s="40"/>
      <c r="L36" s="40"/>
      <c r="M36" s="40"/>
      <c r="N36" s="40"/>
      <c r="O36" s="40"/>
      <c r="P36" s="40"/>
      <c r="Q36" s="40"/>
      <c r="R36" s="40"/>
      <c r="S36" s="40"/>
      <c r="T36" s="40"/>
      <c r="U36" s="40"/>
      <c r="V36" s="40"/>
      <c r="W36" s="40"/>
      <c r="X36" s="40"/>
      <c r="Y36" s="40"/>
      <c r="Z36" s="41"/>
      <c r="AA36" s="28"/>
      <c r="AC36" s="27" t="str">
        <f>""""&amp;J36&amp;""":""example"&amp;J36&amp;""","</f>
        <v>"1.案件情報.案件名":"example1.案件情報.案件名",</v>
      </c>
    </row>
    <row r="37" spans="1:31">
      <c r="A37" s="26"/>
      <c r="C37" s="334">
        <v>6</v>
      </c>
      <c r="D37" s="334"/>
      <c r="E37" s="50"/>
      <c r="F37" s="40" t="s">
        <v>158</v>
      </c>
      <c r="G37" s="40"/>
      <c r="H37" s="40"/>
      <c r="I37" s="41"/>
      <c r="J37" s="39" t="s">
        <v>318</v>
      </c>
      <c r="K37" s="40"/>
      <c r="L37" s="40"/>
      <c r="M37" s="40"/>
      <c r="N37" s="40"/>
      <c r="O37" s="40"/>
      <c r="P37" s="40"/>
      <c r="Q37" s="40"/>
      <c r="R37" s="40"/>
      <c r="S37" s="40"/>
      <c r="T37" s="40"/>
      <c r="U37" s="40"/>
      <c r="V37" s="40"/>
      <c r="W37" s="40"/>
      <c r="X37" s="40"/>
      <c r="Y37" s="40"/>
      <c r="Z37" s="41"/>
      <c r="AA37" s="28"/>
      <c r="AC37" s="27" t="str">
        <f t="shared" ref="AC37:AC38" si="0">""""&amp;J37&amp;""":""example"&amp;J37&amp;""","</f>
        <v>"1.案件情報.案件カナ名":"example1.案件情報.案件カナ名",</v>
      </c>
    </row>
    <row r="38" spans="1:31">
      <c r="A38" s="26"/>
      <c r="C38" s="336">
        <v>7</v>
      </c>
      <c r="D38" s="336"/>
      <c r="E38" s="118"/>
      <c r="F38" s="114" t="s">
        <v>833</v>
      </c>
      <c r="G38" s="114"/>
      <c r="H38" s="114"/>
      <c r="I38" s="116"/>
      <c r="J38" s="115" t="s">
        <v>931</v>
      </c>
      <c r="K38" s="114"/>
      <c r="L38" s="114"/>
      <c r="M38" s="114"/>
      <c r="N38" s="114"/>
      <c r="O38" s="114"/>
      <c r="P38" s="114"/>
      <c r="Q38" s="114"/>
      <c r="R38" s="114"/>
      <c r="S38" s="114"/>
      <c r="T38" s="114"/>
      <c r="U38" s="114"/>
      <c r="V38" s="114"/>
      <c r="W38" s="114"/>
      <c r="X38" s="114"/>
      <c r="Y38" s="114"/>
      <c r="Z38" s="116"/>
      <c r="AA38" s="28"/>
      <c r="AC38" s="27" t="str">
        <f t="shared" si="0"/>
        <v>"１．案件情報．物件コード":"example１．案件情報．物件コード",</v>
      </c>
      <c r="AE38" s="111" t="s">
        <v>834</v>
      </c>
    </row>
    <row r="39" spans="1:31">
      <c r="A39" s="26"/>
      <c r="C39" s="335">
        <v>8</v>
      </c>
      <c r="D39" s="335"/>
      <c r="E39" s="82"/>
      <c r="F39" s="68" t="s">
        <v>748</v>
      </c>
      <c r="G39" s="72"/>
      <c r="H39" s="72"/>
      <c r="I39" s="73"/>
      <c r="J39" s="71" t="s">
        <v>751</v>
      </c>
      <c r="K39" s="72"/>
      <c r="L39" s="72"/>
      <c r="M39" s="72"/>
      <c r="N39" s="72"/>
      <c r="O39" s="72"/>
      <c r="P39" s="72"/>
      <c r="Q39" s="72"/>
      <c r="R39" s="72"/>
      <c r="S39" s="72"/>
      <c r="T39" s="72"/>
      <c r="U39" s="72"/>
      <c r="V39" s="72"/>
      <c r="W39" s="72"/>
      <c r="X39" s="72"/>
      <c r="Y39" s="72"/>
      <c r="Z39" s="73"/>
      <c r="AA39" s="28"/>
      <c r="AC39" s="27" t="str">
        <f t="shared" ref="AC39:AC40" si="1">""""&amp;J39&amp;""":""example"&amp;J39&amp;""","</f>
        <v>"１．物件情報．物件コード":"example１．物件情報．物件コード",</v>
      </c>
      <c r="AE39" s="70" t="s">
        <v>750</v>
      </c>
    </row>
    <row r="40" spans="1:31">
      <c r="A40" s="26"/>
      <c r="C40" s="335">
        <v>9</v>
      </c>
      <c r="D40" s="335"/>
      <c r="E40" s="82"/>
      <c r="F40" s="72" t="s">
        <v>749</v>
      </c>
      <c r="G40" s="72"/>
      <c r="H40" s="72"/>
      <c r="I40" s="73"/>
      <c r="J40" s="71" t="s">
        <v>753</v>
      </c>
      <c r="K40" s="72"/>
      <c r="L40" s="72"/>
      <c r="M40" s="72"/>
      <c r="N40" s="72"/>
      <c r="O40" s="72"/>
      <c r="P40" s="72"/>
      <c r="Q40" s="72"/>
      <c r="R40" s="72"/>
      <c r="S40" s="72"/>
      <c r="T40" s="72"/>
      <c r="U40" s="72"/>
      <c r="V40" s="72"/>
      <c r="W40" s="72"/>
      <c r="X40" s="72"/>
      <c r="Y40" s="72"/>
      <c r="Z40" s="73"/>
      <c r="AA40" s="28"/>
      <c r="AC40" s="27" t="str">
        <f t="shared" si="1"/>
        <v>"１．物件情報．物件名":"example１．物件情報．物件名",</v>
      </c>
      <c r="AE40" s="68"/>
    </row>
    <row r="41" spans="1:31">
      <c r="A41" s="26"/>
      <c r="C41" s="335">
        <v>10</v>
      </c>
      <c r="D41" s="335"/>
      <c r="E41" s="82"/>
      <c r="F41" s="72" t="s">
        <v>752</v>
      </c>
      <c r="G41" s="72"/>
      <c r="H41" s="72"/>
      <c r="I41" s="73"/>
      <c r="J41" s="71" t="s">
        <v>754</v>
      </c>
      <c r="K41" s="72"/>
      <c r="L41" s="72"/>
      <c r="M41" s="72"/>
      <c r="N41" s="72"/>
      <c r="O41" s="72"/>
      <c r="P41" s="72"/>
      <c r="Q41" s="72"/>
      <c r="R41" s="72"/>
      <c r="S41" s="72"/>
      <c r="T41" s="72"/>
      <c r="U41" s="72"/>
      <c r="V41" s="72"/>
      <c r="W41" s="72"/>
      <c r="X41" s="72"/>
      <c r="Y41" s="72"/>
      <c r="Z41" s="73"/>
      <c r="AA41" s="28"/>
      <c r="AC41" s="27" t="str">
        <f t="shared" ref="AC41" si="2">""""&amp;J41&amp;""":""example"&amp;J41&amp;""","</f>
        <v>"１．現場情報．現場名":"example１．現場情報．現場名",</v>
      </c>
      <c r="AE41" s="68"/>
    </row>
    <row r="42" spans="1:31">
      <c r="A42" s="26"/>
      <c r="C42" s="335">
        <v>11</v>
      </c>
      <c r="D42" s="335"/>
      <c r="E42" s="82"/>
      <c r="F42" s="72" t="s">
        <v>755</v>
      </c>
      <c r="G42" s="72"/>
      <c r="H42" s="72"/>
      <c r="I42" s="73"/>
      <c r="J42" s="71" t="s">
        <v>754</v>
      </c>
      <c r="K42" s="72"/>
      <c r="L42" s="72"/>
      <c r="M42" s="72"/>
      <c r="N42" s="72"/>
      <c r="O42" s="72"/>
      <c r="P42" s="72"/>
      <c r="Q42" s="72"/>
      <c r="R42" s="72"/>
      <c r="S42" s="72"/>
      <c r="T42" s="72"/>
      <c r="U42" s="72"/>
      <c r="V42" s="72"/>
      <c r="W42" s="72"/>
      <c r="X42" s="72"/>
      <c r="Y42" s="72"/>
      <c r="Z42" s="73"/>
      <c r="AA42" s="28"/>
      <c r="AC42" s="27" t="str">
        <f t="shared" ref="AC42" si="3">""""&amp;J42&amp;""":""example"&amp;J42&amp;""","</f>
        <v>"１．現場情報．現場名":"example１．現場情報．現場名",</v>
      </c>
      <c r="AE42" s="68"/>
    </row>
    <row r="43" spans="1:31">
      <c r="A43" s="26"/>
      <c r="C43" s="334">
        <v>12</v>
      </c>
      <c r="D43" s="334"/>
      <c r="E43" s="83"/>
      <c r="F43" s="27" t="s">
        <v>135</v>
      </c>
      <c r="G43" s="44"/>
      <c r="H43" s="44"/>
      <c r="I43" s="45"/>
      <c r="J43" s="39" t="s">
        <v>319</v>
      </c>
      <c r="K43" s="40"/>
      <c r="L43" s="40"/>
      <c r="M43" s="40"/>
      <c r="N43" s="40"/>
      <c r="O43" s="40"/>
      <c r="P43" s="40"/>
      <c r="Q43" s="40"/>
      <c r="R43" s="40"/>
      <c r="S43" s="40"/>
      <c r="T43" s="40"/>
      <c r="U43" s="40"/>
      <c r="V43" s="40"/>
      <c r="W43" s="40"/>
      <c r="X43" s="40"/>
      <c r="Y43" s="40"/>
      <c r="Z43" s="41"/>
      <c r="AA43" s="28"/>
      <c r="AC43" s="27" t="str">
        <f t="shared" ref="AC43:AC44" si="4">""""&amp;J43&amp;""":""example"&amp;J43&amp;""","</f>
        <v>"1.案件情報.受注状態コード":"example1.案件情報.受注状態コード",</v>
      </c>
    </row>
    <row r="44" spans="1:31">
      <c r="A44" s="26"/>
      <c r="C44" s="334">
        <v>13</v>
      </c>
      <c r="D44" s="334"/>
      <c r="E44" s="50"/>
      <c r="F44" s="64" t="s">
        <v>159</v>
      </c>
      <c r="G44" s="40"/>
      <c r="H44" s="40"/>
      <c r="I44" s="41"/>
      <c r="J44" s="39" t="s">
        <v>167</v>
      </c>
      <c r="K44" s="40"/>
      <c r="L44" s="40"/>
      <c r="M44" s="40"/>
      <c r="N44" s="40"/>
      <c r="O44" s="40"/>
      <c r="P44" s="40"/>
      <c r="Q44" s="40"/>
      <c r="R44" s="40"/>
      <c r="S44" s="40"/>
      <c r="T44" s="40"/>
      <c r="U44" s="40"/>
      <c r="V44" s="40"/>
      <c r="W44" s="40"/>
      <c r="X44" s="40"/>
      <c r="Y44" s="40"/>
      <c r="Z44" s="41"/>
      <c r="AA44" s="28"/>
      <c r="AC44" s="27" t="str">
        <f t="shared" si="4"/>
        <v>"1.受注状態.項目内容":"example1.受注状態.項目内容",</v>
      </c>
    </row>
    <row r="45" spans="1:31" s="36" customFormat="1">
      <c r="A45" s="174"/>
      <c r="C45" s="365">
        <v>14</v>
      </c>
      <c r="D45" s="365"/>
      <c r="E45" s="60"/>
      <c r="F45" s="175" t="s">
        <v>1048</v>
      </c>
      <c r="G45" s="61"/>
      <c r="H45" s="61"/>
      <c r="I45" s="62"/>
      <c r="J45" s="57" t="s">
        <v>1049</v>
      </c>
      <c r="K45" s="61"/>
      <c r="L45" s="61"/>
      <c r="M45" s="61"/>
      <c r="N45" s="61"/>
      <c r="O45" s="61"/>
      <c r="P45" s="61"/>
      <c r="Q45" s="61"/>
      <c r="R45" s="61"/>
      <c r="S45" s="61"/>
      <c r="T45" s="61"/>
      <c r="U45" s="61"/>
      <c r="V45" s="61"/>
      <c r="W45" s="61"/>
      <c r="X45" s="61"/>
      <c r="Y45" s="61"/>
      <c r="Z45" s="62"/>
      <c r="AA45" s="176"/>
      <c r="AC45" s="36" t="str">
        <f t="shared" ref="AC45" si="5">""""&amp;J45&amp;""":""example"&amp;J45&amp;""","</f>
        <v>"1.顧客情報.案件契約日":"example1.顧客情報.案件契約日",</v>
      </c>
      <c r="AE45" s="36" t="s">
        <v>1052</v>
      </c>
    </row>
    <row r="46" spans="1:31">
      <c r="A46" s="26"/>
      <c r="C46" s="334">
        <v>15</v>
      </c>
      <c r="D46" s="334"/>
      <c r="E46" s="50"/>
      <c r="F46" s="40" t="s">
        <v>471</v>
      </c>
      <c r="G46" s="40"/>
      <c r="H46" s="40"/>
      <c r="I46" s="41"/>
      <c r="J46" s="39" t="s">
        <v>472</v>
      </c>
      <c r="K46" s="40"/>
      <c r="L46" s="40"/>
      <c r="M46" s="40"/>
      <c r="N46" s="40"/>
      <c r="O46" s="40"/>
      <c r="P46" s="40"/>
      <c r="Q46" s="40"/>
      <c r="R46" s="40"/>
      <c r="S46" s="40"/>
      <c r="T46" s="40"/>
      <c r="U46" s="40"/>
      <c r="V46" s="40"/>
      <c r="W46" s="40"/>
      <c r="X46" s="40"/>
      <c r="Y46" s="40"/>
      <c r="Z46" s="41"/>
      <c r="AA46" s="28"/>
      <c r="AC46" s="27" t="str">
        <f>""""&amp;J47&amp;""":""example"&amp;J47&amp;""","</f>
        <v>"1.顧客情報.顧客名":"example1.顧客情報.顧客名",</v>
      </c>
    </row>
    <row r="47" spans="1:31">
      <c r="A47" s="26"/>
      <c r="C47" s="334">
        <v>16</v>
      </c>
      <c r="D47" s="334"/>
      <c r="E47" s="50"/>
      <c r="F47" s="27" t="s">
        <v>160</v>
      </c>
      <c r="G47" s="40"/>
      <c r="H47" s="40"/>
      <c r="I47" s="41"/>
      <c r="J47" s="39" t="s">
        <v>168</v>
      </c>
      <c r="K47" s="40"/>
      <c r="L47" s="40"/>
      <c r="M47" s="40"/>
      <c r="N47" s="40"/>
      <c r="O47" s="40"/>
      <c r="P47" s="40"/>
      <c r="Q47" s="40"/>
      <c r="R47" s="40"/>
      <c r="S47" s="40"/>
      <c r="T47" s="40"/>
      <c r="U47" s="40"/>
      <c r="V47" s="40"/>
      <c r="W47" s="40"/>
      <c r="X47" s="40"/>
      <c r="Y47" s="40"/>
      <c r="Z47" s="41"/>
      <c r="AA47" s="28"/>
      <c r="AC47" s="27" t="str">
        <f>"{"""&amp;J52&amp;""":""example"&amp;J52&amp;""","</f>
        <v>{"1.案件情報.郵便番号":"example1.案件情報.郵便番号",</v>
      </c>
    </row>
    <row r="48" spans="1:31">
      <c r="A48" s="26"/>
      <c r="C48" s="334">
        <v>17</v>
      </c>
      <c r="D48" s="334"/>
      <c r="E48" s="39"/>
      <c r="F48" s="40" t="s">
        <v>136</v>
      </c>
      <c r="G48" s="40"/>
      <c r="H48" s="40"/>
      <c r="I48" s="41"/>
      <c r="J48" s="39" t="s">
        <v>320</v>
      </c>
      <c r="K48" s="40"/>
      <c r="L48" s="40"/>
      <c r="M48" s="40"/>
      <c r="N48" s="40"/>
      <c r="O48" s="40"/>
      <c r="P48" s="40"/>
      <c r="Q48" s="40"/>
      <c r="R48" s="40"/>
      <c r="S48" s="40"/>
      <c r="T48" s="40"/>
      <c r="U48" s="40"/>
      <c r="V48" s="40"/>
      <c r="W48" s="40"/>
      <c r="X48" s="40"/>
      <c r="Y48" s="40"/>
      <c r="Z48" s="41"/>
      <c r="AA48" s="28"/>
      <c r="AC48" s="27" t="str">
        <f>""""&amp;J53&amp;""":""example"&amp;J53&amp;""","</f>
        <v>"1.案件情報.現場住所1":"example1.案件情報.現場住所1",</v>
      </c>
    </row>
    <row r="49" spans="1:29">
      <c r="A49" s="26"/>
      <c r="C49" s="334">
        <v>18</v>
      </c>
      <c r="D49" s="334"/>
      <c r="E49" s="39"/>
      <c r="F49" s="27" t="s">
        <v>170</v>
      </c>
      <c r="G49" s="40"/>
      <c r="H49" s="40"/>
      <c r="I49" s="41"/>
      <c r="J49" s="39" t="s">
        <v>169</v>
      </c>
      <c r="K49" s="40"/>
      <c r="L49" s="40"/>
      <c r="M49" s="40"/>
      <c r="N49" s="40"/>
      <c r="O49" s="40"/>
      <c r="P49" s="40"/>
      <c r="Q49" s="40"/>
      <c r="R49" s="40"/>
      <c r="S49" s="40"/>
      <c r="T49" s="40"/>
      <c r="U49" s="40"/>
      <c r="V49" s="40"/>
      <c r="W49" s="40"/>
      <c r="X49" s="40"/>
      <c r="Y49" s="40"/>
      <c r="Z49" s="41"/>
      <c r="AA49" s="28"/>
      <c r="AC49" s="27" t="str">
        <f t="shared" ref="AC49:AC50" si="6">""""&amp;J54&amp;""":""example"&amp;J54&amp;""","</f>
        <v>"1.案件情報.現場住所2":"example1.案件情報.現場住所2",</v>
      </c>
    </row>
    <row r="50" spans="1:29">
      <c r="A50" s="26"/>
      <c r="C50" s="334">
        <v>19</v>
      </c>
      <c r="D50" s="334"/>
      <c r="E50" s="39"/>
      <c r="F50" s="64" t="s">
        <v>171</v>
      </c>
      <c r="G50" s="40"/>
      <c r="H50" s="40"/>
      <c r="I50" s="41"/>
      <c r="J50" s="39" t="s">
        <v>473</v>
      </c>
      <c r="K50" s="40"/>
      <c r="L50" s="40"/>
      <c r="M50" s="40"/>
      <c r="N50" s="40"/>
      <c r="O50" s="40"/>
      <c r="P50" s="40"/>
      <c r="Q50" s="40"/>
      <c r="R50" s="40"/>
      <c r="S50" s="40"/>
      <c r="T50" s="40"/>
      <c r="U50" s="40"/>
      <c r="V50" s="40"/>
      <c r="W50" s="40"/>
      <c r="X50" s="40"/>
      <c r="Y50" s="40"/>
      <c r="Z50" s="41"/>
      <c r="AA50" s="28"/>
      <c r="AC50" s="27" t="str">
        <f t="shared" si="6"/>
        <v>"1.案件情報.受注見込日":"example1.案件情報.受注見込日",</v>
      </c>
    </row>
    <row r="51" spans="1:29">
      <c r="A51" s="26"/>
      <c r="C51" s="334">
        <v>20</v>
      </c>
      <c r="D51" s="334"/>
      <c r="E51" s="50"/>
      <c r="F51" s="40" t="s">
        <v>172</v>
      </c>
      <c r="G51" s="40"/>
      <c r="H51" s="40"/>
      <c r="I51" s="41"/>
      <c r="J51" s="39" t="s">
        <v>474</v>
      </c>
      <c r="K51" s="40"/>
      <c r="L51" s="40"/>
      <c r="M51" s="40"/>
      <c r="N51" s="40"/>
      <c r="O51" s="40"/>
      <c r="P51" s="40"/>
      <c r="Q51" s="40"/>
      <c r="R51" s="40"/>
      <c r="S51" s="40"/>
      <c r="T51" s="40"/>
      <c r="U51" s="40"/>
      <c r="V51" s="40"/>
      <c r="W51" s="40"/>
      <c r="X51" s="40"/>
      <c r="Y51" s="40"/>
      <c r="Z51" s="41"/>
      <c r="AA51" s="28"/>
      <c r="AC51" s="27" t="str">
        <f>""""&amp;J57&amp;""":""example"&amp;J57&amp;""","</f>
        <v>"1.案件情報.完了希望日":"example1.案件情報.完了希望日",</v>
      </c>
    </row>
    <row r="52" spans="1:29">
      <c r="A52" s="26"/>
      <c r="C52" s="334">
        <v>21</v>
      </c>
      <c r="D52" s="334"/>
      <c r="E52" s="39"/>
      <c r="F52" s="27" t="s">
        <v>137</v>
      </c>
      <c r="G52" s="40"/>
      <c r="H52" s="40"/>
      <c r="I52" s="41"/>
      <c r="J52" s="39" t="s">
        <v>321</v>
      </c>
      <c r="K52" s="40"/>
      <c r="L52" s="40"/>
      <c r="M52" s="40"/>
      <c r="N52" s="40"/>
      <c r="O52" s="40"/>
      <c r="P52" s="40"/>
      <c r="Q52" s="40"/>
      <c r="R52" s="40"/>
      <c r="S52" s="40"/>
      <c r="T52" s="40"/>
      <c r="U52" s="40"/>
      <c r="V52" s="40"/>
      <c r="W52" s="40"/>
      <c r="X52" s="40"/>
      <c r="Y52" s="40"/>
      <c r="Z52" s="41"/>
      <c r="AA52" s="28"/>
      <c r="AC52" s="27" t="str">
        <f>""""&amp;J58&amp;""":""example"&amp;J58&amp;""","</f>
        <v>"1.案件情報.営業部門コード":"example1.案件情報.営業部門コード",</v>
      </c>
    </row>
    <row r="53" spans="1:29">
      <c r="A53" s="26"/>
      <c r="C53" s="334">
        <v>22</v>
      </c>
      <c r="D53" s="334"/>
      <c r="E53" s="39"/>
      <c r="F53" s="40" t="s">
        <v>138</v>
      </c>
      <c r="G53" s="40"/>
      <c r="H53" s="40"/>
      <c r="I53" s="41"/>
      <c r="J53" s="39" t="s">
        <v>322</v>
      </c>
      <c r="K53" s="40"/>
      <c r="L53" s="40"/>
      <c r="M53" s="40"/>
      <c r="N53" s="40"/>
      <c r="O53" s="40"/>
      <c r="P53" s="40"/>
      <c r="Q53" s="40"/>
      <c r="R53" s="40"/>
      <c r="S53" s="40"/>
      <c r="T53" s="40"/>
      <c r="U53" s="40"/>
      <c r="V53" s="40"/>
      <c r="W53" s="40"/>
      <c r="X53" s="40"/>
      <c r="Y53" s="40"/>
      <c r="Z53" s="41"/>
      <c r="AA53" s="28"/>
      <c r="AC53" s="27" t="str">
        <f>""""&amp;J59&amp;""":""example"&amp;J59&amp;""","</f>
        <v>"1.組織情報.組織名":"example1.組織情報.組織名",</v>
      </c>
    </row>
    <row r="54" spans="1:29">
      <c r="A54" s="26"/>
      <c r="C54" s="334">
        <v>23</v>
      </c>
      <c r="D54" s="334"/>
      <c r="E54" s="50"/>
      <c r="F54" s="27" t="s">
        <v>139</v>
      </c>
      <c r="G54" s="40"/>
      <c r="H54" s="40"/>
      <c r="I54" s="41"/>
      <c r="J54" s="39" t="s">
        <v>323</v>
      </c>
      <c r="K54" s="40"/>
      <c r="L54" s="40"/>
      <c r="M54" s="40"/>
      <c r="N54" s="40"/>
      <c r="O54" s="40"/>
      <c r="P54" s="40"/>
      <c r="Q54" s="40"/>
      <c r="R54" s="40"/>
      <c r="S54" s="40"/>
      <c r="T54" s="40"/>
      <c r="U54" s="40"/>
      <c r="V54" s="40"/>
      <c r="W54" s="40"/>
      <c r="X54" s="40"/>
      <c r="Y54" s="40"/>
      <c r="Z54" s="41"/>
      <c r="AA54" s="28"/>
      <c r="AC54" s="27" t="str">
        <f>""""&amp;J60&amp;""":""example"&amp;J60&amp;"""},"</f>
        <v>"1.案件情報.営業管理職コード":"example1.案件情報.営業管理職コード"},</v>
      </c>
    </row>
    <row r="55" spans="1:29">
      <c r="A55" s="26"/>
      <c r="C55" s="334">
        <v>24</v>
      </c>
      <c r="D55" s="334"/>
      <c r="E55" s="50"/>
      <c r="F55" s="64" t="s">
        <v>64</v>
      </c>
      <c r="G55" s="40"/>
      <c r="H55" s="40"/>
      <c r="I55" s="41"/>
      <c r="J55" s="39" t="s">
        <v>324</v>
      </c>
      <c r="K55" s="40"/>
      <c r="L55" s="40"/>
      <c r="M55" s="40"/>
      <c r="N55" s="40"/>
      <c r="O55" s="40"/>
      <c r="P55" s="40"/>
      <c r="Q55" s="40"/>
      <c r="R55" s="40"/>
      <c r="S55" s="40"/>
      <c r="T55" s="40"/>
      <c r="U55" s="40"/>
      <c r="V55" s="40"/>
      <c r="W55" s="40"/>
      <c r="X55" s="40"/>
      <c r="Y55" s="40"/>
      <c r="Z55" s="41"/>
      <c r="AA55" s="28"/>
      <c r="AC55" s="27" t="str">
        <f>""""&amp;J61&amp;""":""example"&amp;J61&amp;"""},"</f>
        <v>"1.営業管理職.従業員氏名":"example1.営業管理職.従業員氏名"},</v>
      </c>
    </row>
    <row r="56" spans="1:29">
      <c r="A56" s="26"/>
      <c r="C56" s="334">
        <v>25</v>
      </c>
      <c r="D56" s="334"/>
      <c r="E56" s="50"/>
      <c r="F56" s="40" t="s">
        <v>65</v>
      </c>
      <c r="G56" s="40"/>
      <c r="H56" s="40"/>
      <c r="I56" s="41"/>
      <c r="J56" s="39" t="s">
        <v>325</v>
      </c>
      <c r="K56" s="40"/>
      <c r="L56" s="40"/>
      <c r="M56" s="40"/>
      <c r="N56" s="40"/>
      <c r="O56" s="40"/>
      <c r="P56" s="40"/>
      <c r="Q56" s="40"/>
      <c r="R56" s="40"/>
      <c r="S56" s="40"/>
      <c r="T56" s="40"/>
      <c r="U56" s="40"/>
      <c r="V56" s="40"/>
      <c r="W56" s="40"/>
      <c r="X56" s="40"/>
      <c r="Y56" s="40"/>
      <c r="Z56" s="41"/>
      <c r="AA56" s="28"/>
      <c r="AC56" s="27" t="e">
        <f>""""&amp;#REF!&amp;""": ["</f>
        <v>#REF!</v>
      </c>
    </row>
    <row r="57" spans="1:29">
      <c r="A57" s="26"/>
      <c r="C57" s="334">
        <v>26</v>
      </c>
      <c r="D57" s="334"/>
      <c r="E57" s="50"/>
      <c r="F57" s="40" t="s">
        <v>475</v>
      </c>
      <c r="G57" s="40"/>
      <c r="H57" s="40"/>
      <c r="I57" s="41"/>
      <c r="J57" s="39" t="s">
        <v>476</v>
      </c>
      <c r="K57" s="40"/>
      <c r="L57" s="40"/>
      <c r="M57" s="40"/>
      <c r="N57" s="40"/>
      <c r="O57" s="40"/>
      <c r="P57" s="40"/>
      <c r="Q57" s="40"/>
      <c r="R57" s="40"/>
      <c r="S57" s="40"/>
      <c r="T57" s="40"/>
      <c r="U57" s="40"/>
      <c r="V57" s="40"/>
      <c r="W57" s="40"/>
      <c r="X57" s="40"/>
      <c r="Y57" s="40"/>
      <c r="Z57" s="41"/>
      <c r="AA57" s="28"/>
      <c r="AC57" s="27" t="str">
        <f>""""&amp;J62&amp;""": ["</f>
        <v>"1.案件情報.営業担当者コード": [</v>
      </c>
    </row>
    <row r="58" spans="1:29">
      <c r="A58" s="26"/>
      <c r="C58" s="334">
        <v>27</v>
      </c>
      <c r="D58" s="334"/>
      <c r="E58" s="50"/>
      <c r="F58" s="40" t="s">
        <v>477</v>
      </c>
      <c r="G58" s="40"/>
      <c r="H58" s="40"/>
      <c r="I58" s="41"/>
      <c r="J58" s="39" t="str">
        <f>"1.案件情報."&amp;F58</f>
        <v>1.案件情報.営業部門コード</v>
      </c>
      <c r="K58" s="40"/>
      <c r="L58" s="40"/>
      <c r="M58" s="40"/>
      <c r="N58" s="40"/>
      <c r="O58" s="40"/>
      <c r="P58" s="40"/>
      <c r="Q58" s="40"/>
      <c r="R58" s="40"/>
      <c r="S58" s="40"/>
      <c r="T58" s="40"/>
      <c r="U58" s="40"/>
      <c r="V58" s="40"/>
      <c r="W58" s="40"/>
      <c r="X58" s="40"/>
      <c r="Y58" s="40"/>
      <c r="Z58" s="41"/>
      <c r="AA58" s="28"/>
      <c r="AC58" s="27" t="str">
        <f>"{"""&amp;J63&amp;""":""example"&amp;J63&amp;""","</f>
        <v>{"1.営業担当者.従業員氏名":"example1.営業担当者.従業員氏名",</v>
      </c>
    </row>
    <row r="59" spans="1:29">
      <c r="A59" s="26"/>
      <c r="C59" s="334">
        <v>28</v>
      </c>
      <c r="D59" s="334"/>
      <c r="E59" s="39"/>
      <c r="F59" s="27" t="s">
        <v>162</v>
      </c>
      <c r="G59" s="40"/>
      <c r="H59" s="40"/>
      <c r="I59" s="41"/>
      <c r="J59" s="39" t="s">
        <v>326</v>
      </c>
      <c r="K59" s="40"/>
      <c r="L59" s="40"/>
      <c r="M59" s="40"/>
      <c r="N59" s="40"/>
      <c r="O59" s="40"/>
      <c r="P59" s="40"/>
      <c r="Q59" s="40"/>
      <c r="R59" s="40"/>
      <c r="S59" s="40"/>
      <c r="T59" s="40"/>
      <c r="U59" s="40"/>
      <c r="V59" s="40"/>
      <c r="W59" s="40"/>
      <c r="X59" s="40"/>
      <c r="Y59" s="40"/>
      <c r="Z59" s="41"/>
      <c r="AA59" s="28"/>
      <c r="AC59" s="27" t="e">
        <f>""""&amp;#REF!&amp;""":""example"&amp;#REF!&amp;""","</f>
        <v>#REF!</v>
      </c>
    </row>
    <row r="60" spans="1:29">
      <c r="A60" s="26"/>
      <c r="C60" s="334">
        <v>29</v>
      </c>
      <c r="D60" s="334"/>
      <c r="E60" s="50"/>
      <c r="F60" s="64" t="s">
        <v>140</v>
      </c>
      <c r="G60" s="40"/>
      <c r="H60" s="40"/>
      <c r="I60" s="41"/>
      <c r="J60" s="39" t="str">
        <f>"1.案件情報."&amp;F60</f>
        <v>1.案件情報.営業管理職コード</v>
      </c>
      <c r="K60" s="40"/>
      <c r="L60" s="40"/>
      <c r="M60" s="40"/>
      <c r="N60" s="40"/>
      <c r="O60" s="40"/>
      <c r="P60" s="40"/>
      <c r="Q60" s="40"/>
      <c r="R60" s="40"/>
      <c r="S60" s="40"/>
      <c r="T60" s="40"/>
      <c r="U60" s="40"/>
      <c r="V60" s="40"/>
      <c r="W60" s="40"/>
      <c r="X60" s="40"/>
      <c r="Y60" s="40"/>
      <c r="Z60" s="41"/>
      <c r="AA60" s="28"/>
      <c r="AC60" s="27" t="str">
        <f t="shared" ref="AC60:AC61" si="7">""""&amp;J64&amp;""":""example"&amp;J64&amp;""","</f>
        <v>"1.案件情報.進捗度コード":"example1.案件情報.進捗度コード",</v>
      </c>
    </row>
    <row r="61" spans="1:29">
      <c r="A61" s="26"/>
      <c r="C61" s="334">
        <v>30</v>
      </c>
      <c r="D61" s="334"/>
      <c r="E61" s="50"/>
      <c r="F61" s="66" t="s">
        <v>478</v>
      </c>
      <c r="G61" s="40"/>
      <c r="H61" s="40"/>
      <c r="I61" s="41"/>
      <c r="J61" s="39" t="s">
        <v>479</v>
      </c>
      <c r="K61" s="40"/>
      <c r="L61" s="40"/>
      <c r="M61" s="40"/>
      <c r="N61" s="40"/>
      <c r="O61" s="40"/>
      <c r="P61" s="40"/>
      <c r="Q61" s="40"/>
      <c r="R61" s="40"/>
      <c r="S61" s="40"/>
      <c r="T61" s="40"/>
      <c r="U61" s="40"/>
      <c r="V61" s="40"/>
      <c r="W61" s="40"/>
      <c r="X61" s="40"/>
      <c r="Y61" s="40"/>
      <c r="Z61" s="41"/>
      <c r="AA61" s="28"/>
      <c r="AC61" s="27" t="str">
        <f t="shared" si="7"/>
        <v>"1.進捗度.項目内容":"example1.進捗度.項目内容",</v>
      </c>
    </row>
    <row r="62" spans="1:29">
      <c r="A62" s="26"/>
      <c r="C62" s="334">
        <v>31</v>
      </c>
      <c r="D62" s="334"/>
      <c r="E62" s="39"/>
      <c r="F62" s="40" t="s">
        <v>141</v>
      </c>
      <c r="G62" s="40"/>
      <c r="H62" s="40"/>
      <c r="I62" s="41"/>
      <c r="J62" s="39" t="str">
        <f>"1.案件情報."&amp;F62</f>
        <v>1.案件情報.営業担当者コード</v>
      </c>
      <c r="K62" s="40"/>
      <c r="L62" s="40"/>
      <c r="M62" s="40"/>
      <c r="N62" s="40"/>
      <c r="O62" s="40"/>
      <c r="P62" s="40"/>
      <c r="Q62" s="40"/>
      <c r="R62" s="40"/>
      <c r="S62" s="40"/>
      <c r="T62" s="40"/>
      <c r="U62" s="40"/>
      <c r="V62" s="40"/>
      <c r="W62" s="40"/>
      <c r="X62" s="40"/>
      <c r="Y62" s="40"/>
      <c r="Z62" s="41"/>
      <c r="AA62" s="28"/>
      <c r="AC62" s="27" t="str">
        <f>""""&amp;J67&amp;""":""example"&amp;J67&amp;"""},"</f>
        <v>"1.案件区分.項目内容":"example1.案件区分.項目内容"},</v>
      </c>
    </row>
    <row r="63" spans="1:29">
      <c r="A63" s="26"/>
      <c r="C63" s="334">
        <v>32</v>
      </c>
      <c r="D63" s="334"/>
      <c r="E63" s="39"/>
      <c r="F63" s="27" t="s">
        <v>173</v>
      </c>
      <c r="G63" s="40"/>
      <c r="H63" s="40"/>
      <c r="I63" s="41"/>
      <c r="J63" s="39" t="s">
        <v>480</v>
      </c>
      <c r="K63" s="40"/>
      <c r="L63" s="40"/>
      <c r="M63" s="40"/>
      <c r="N63" s="40"/>
      <c r="O63" s="40"/>
      <c r="P63" s="40"/>
      <c r="Q63" s="40"/>
      <c r="R63" s="40"/>
      <c r="S63" s="40"/>
      <c r="T63" s="40"/>
      <c r="U63" s="40"/>
      <c r="V63" s="40"/>
      <c r="W63" s="40"/>
      <c r="X63" s="40"/>
      <c r="Y63" s="40"/>
      <c r="Z63" s="41"/>
      <c r="AA63" s="28"/>
      <c r="AC63" s="27" t="str">
        <f>""""&amp;J69&amp;""": ["</f>
        <v>"1.官民区分.項目内容": [</v>
      </c>
    </row>
    <row r="64" spans="1:29">
      <c r="A64" s="26"/>
      <c r="C64" s="334">
        <v>33</v>
      </c>
      <c r="D64" s="334"/>
      <c r="E64" s="50"/>
      <c r="F64" s="64" t="s">
        <v>142</v>
      </c>
      <c r="G64" s="40"/>
      <c r="H64" s="40"/>
      <c r="I64" s="41"/>
      <c r="J64" s="39" t="str">
        <f>"1.案件情報."&amp;F64</f>
        <v>1.案件情報.進捗度コード</v>
      </c>
      <c r="K64" s="40"/>
      <c r="L64" s="40"/>
      <c r="M64" s="40"/>
      <c r="N64" s="40"/>
      <c r="O64" s="40"/>
      <c r="P64" s="40"/>
      <c r="Q64" s="40"/>
      <c r="R64" s="40"/>
      <c r="S64" s="40"/>
      <c r="T64" s="40"/>
      <c r="U64" s="40"/>
      <c r="V64" s="40"/>
      <c r="W64" s="40"/>
      <c r="X64" s="40"/>
      <c r="Y64" s="40"/>
      <c r="Z64" s="41"/>
      <c r="AA64" s="28"/>
      <c r="AC64" s="27" t="str">
        <f>""""&amp;J70&amp;""":""example"&amp;J70&amp;""","</f>
        <v>"1.案件情報.見積提出期限":"example1.案件情報.見積提出期限",</v>
      </c>
    </row>
    <row r="65" spans="1:29">
      <c r="A65" s="26"/>
      <c r="C65" s="334">
        <v>34</v>
      </c>
      <c r="D65" s="334"/>
      <c r="E65" s="50"/>
      <c r="F65" s="64" t="s">
        <v>163</v>
      </c>
      <c r="G65" s="40"/>
      <c r="H65" s="40"/>
      <c r="I65" s="41"/>
      <c r="J65" s="39" t="s">
        <v>174</v>
      </c>
      <c r="K65" s="40"/>
      <c r="L65" s="40"/>
      <c r="M65" s="40"/>
      <c r="N65" s="40"/>
      <c r="O65" s="40"/>
      <c r="P65" s="40"/>
      <c r="Q65" s="40"/>
      <c r="R65" s="40"/>
      <c r="S65" s="40"/>
      <c r="T65" s="40"/>
      <c r="U65" s="40"/>
      <c r="V65" s="40"/>
      <c r="W65" s="40"/>
      <c r="X65" s="40"/>
      <c r="Y65" s="40"/>
      <c r="Z65" s="41"/>
      <c r="AA65" s="28"/>
      <c r="AC65" s="27" t="str">
        <f t="shared" ref="AC65:AC68" si="8">""""&amp;J71&amp;""":""example"&amp;J71&amp;""","</f>
        <v>"1.案件情報.敷地面積":"example1.案件情報.敷地面積",</v>
      </c>
    </row>
    <row r="66" spans="1:29">
      <c r="A66" s="26"/>
      <c r="C66" s="334">
        <v>35</v>
      </c>
      <c r="D66" s="334"/>
      <c r="E66" s="50"/>
      <c r="F66" s="40" t="s">
        <v>143</v>
      </c>
      <c r="G66" s="40"/>
      <c r="H66" s="40"/>
      <c r="I66" s="41"/>
      <c r="J66" s="39" t="s">
        <v>327</v>
      </c>
      <c r="K66" s="40"/>
      <c r="L66" s="40"/>
      <c r="M66" s="40"/>
      <c r="N66" s="40"/>
      <c r="O66" s="40"/>
      <c r="P66" s="40"/>
      <c r="Q66" s="40"/>
      <c r="R66" s="40"/>
      <c r="S66" s="40"/>
      <c r="T66" s="40"/>
      <c r="U66" s="40"/>
      <c r="V66" s="40"/>
      <c r="W66" s="40"/>
      <c r="X66" s="40"/>
      <c r="Y66" s="40"/>
      <c r="Z66" s="41"/>
      <c r="AA66" s="28"/>
      <c r="AC66" s="27" t="str">
        <f t="shared" si="8"/>
        <v>"1.案件情報.建築面積":"example1.案件情報.建築面積",</v>
      </c>
    </row>
    <row r="67" spans="1:29">
      <c r="A67" s="26"/>
      <c r="C67" s="334">
        <v>36</v>
      </c>
      <c r="D67" s="334"/>
      <c r="E67" s="50"/>
      <c r="F67" s="27" t="s">
        <v>481</v>
      </c>
      <c r="G67" s="40"/>
      <c r="H67" s="40"/>
      <c r="I67" s="41"/>
      <c r="J67" s="39" t="s">
        <v>175</v>
      </c>
      <c r="K67" s="40"/>
      <c r="L67" s="40"/>
      <c r="M67" s="40"/>
      <c r="N67" s="40"/>
      <c r="O67" s="40"/>
      <c r="P67" s="40"/>
      <c r="Q67" s="40"/>
      <c r="R67" s="40"/>
      <c r="S67" s="40"/>
      <c r="T67" s="40"/>
      <c r="U67" s="40"/>
      <c r="V67" s="40"/>
      <c r="W67" s="40"/>
      <c r="X67" s="40"/>
      <c r="Y67" s="40"/>
      <c r="Z67" s="41"/>
      <c r="AA67" s="28"/>
      <c r="AC67" s="27" t="str">
        <f t="shared" si="8"/>
        <v>"1.案件情報.延床面積":"example1.案件情報.延床面積",</v>
      </c>
    </row>
    <row r="68" spans="1:29">
      <c r="A68" s="26"/>
      <c r="C68" s="334">
        <v>37</v>
      </c>
      <c r="D68" s="334"/>
      <c r="E68" s="39"/>
      <c r="F68" s="64" t="s">
        <v>61</v>
      </c>
      <c r="G68" s="40"/>
      <c r="H68" s="40"/>
      <c r="I68" s="41"/>
      <c r="J68" s="39" t="s">
        <v>328</v>
      </c>
      <c r="K68" s="40"/>
      <c r="L68" s="40"/>
      <c r="M68" s="40"/>
      <c r="N68" s="40"/>
      <c r="O68" s="40"/>
      <c r="P68" s="40"/>
      <c r="Q68" s="40"/>
      <c r="R68" s="40"/>
      <c r="S68" s="40"/>
      <c r="T68" s="40"/>
      <c r="U68" s="40"/>
      <c r="V68" s="40"/>
      <c r="W68" s="40"/>
      <c r="X68" s="40"/>
      <c r="Y68" s="40"/>
      <c r="Z68" s="41"/>
      <c r="AA68" s="28"/>
      <c r="AC68" s="27" t="str">
        <f t="shared" si="8"/>
        <v>"1.案件情報.施工床面積":"example1.案件情報.施工床面積",</v>
      </c>
    </row>
    <row r="69" spans="1:29">
      <c r="A69" s="26"/>
      <c r="C69" s="334">
        <v>38</v>
      </c>
      <c r="D69" s="334"/>
      <c r="E69" s="39"/>
      <c r="F69" s="64" t="s">
        <v>482</v>
      </c>
      <c r="G69" s="40"/>
      <c r="H69" s="40"/>
      <c r="I69" s="41"/>
      <c r="J69" s="39" t="s">
        <v>176</v>
      </c>
      <c r="K69" s="40"/>
      <c r="L69" s="40"/>
      <c r="M69" s="40"/>
      <c r="N69" s="40"/>
      <c r="O69" s="40"/>
      <c r="P69" s="40"/>
      <c r="Q69" s="40"/>
      <c r="R69" s="40"/>
      <c r="S69" s="40"/>
      <c r="T69" s="40"/>
      <c r="U69" s="40"/>
      <c r="V69" s="40"/>
      <c r="W69" s="40"/>
      <c r="X69" s="40"/>
      <c r="Y69" s="40"/>
      <c r="Z69" s="41"/>
      <c r="AA69" s="28"/>
      <c r="AC69" s="27" t="str">
        <f>""""&amp;J75&amp;""":""example"&amp;J75&amp;"""},"</f>
        <v>"1.案件情報.専有面積":"example1.案件情報.専有面積"},</v>
      </c>
    </row>
    <row r="70" spans="1:29">
      <c r="A70" s="26"/>
      <c r="C70" s="334">
        <v>39</v>
      </c>
      <c r="D70" s="334"/>
      <c r="E70" s="39"/>
      <c r="F70" s="40" t="s">
        <v>62</v>
      </c>
      <c r="G70" s="40"/>
      <c r="H70" s="40"/>
      <c r="I70" s="41"/>
      <c r="J70" s="39" t="str">
        <f t="shared" ref="J70:J87" si="9">"1.案件情報."&amp;F70</f>
        <v>1.案件情報.見積提出期限</v>
      </c>
      <c r="K70" s="40"/>
      <c r="L70" s="40"/>
      <c r="M70" s="40"/>
      <c r="N70" s="40"/>
      <c r="O70" s="40"/>
      <c r="P70" s="40"/>
      <c r="Q70" s="40"/>
      <c r="R70" s="40"/>
      <c r="S70" s="40"/>
      <c r="T70" s="40"/>
      <c r="U70" s="40"/>
      <c r="V70" s="40"/>
      <c r="W70" s="40"/>
      <c r="X70" s="40"/>
      <c r="Y70" s="40"/>
      <c r="Z70" s="41"/>
      <c r="AA70" s="28"/>
      <c r="AC70" s="27" t="str">
        <f>""""&amp;J76&amp;""":""example"&amp;J76&amp;"""},"</f>
        <v>"1.案件情報.施工面積":"example1.案件情報.施工面積"},</v>
      </c>
    </row>
    <row r="71" spans="1:29">
      <c r="A71" s="26"/>
      <c r="C71" s="334">
        <v>40</v>
      </c>
      <c r="D71" s="334"/>
      <c r="E71" s="50"/>
      <c r="F71" s="40" t="s">
        <v>144</v>
      </c>
      <c r="G71" s="40"/>
      <c r="H71" s="40"/>
      <c r="I71" s="41"/>
      <c r="J71" s="39" t="str">
        <f t="shared" si="9"/>
        <v>1.案件情報.敷地面積</v>
      </c>
      <c r="K71" s="40"/>
      <c r="L71" s="40"/>
      <c r="M71" s="40"/>
      <c r="N71" s="40"/>
      <c r="O71" s="40"/>
      <c r="P71" s="40"/>
      <c r="Q71" s="40"/>
      <c r="R71" s="40"/>
      <c r="S71" s="40"/>
      <c r="T71" s="40"/>
      <c r="U71" s="40"/>
      <c r="V71" s="40"/>
      <c r="W71" s="40"/>
      <c r="X71" s="40"/>
      <c r="Y71" s="40"/>
      <c r="Z71" s="41"/>
      <c r="AA71" s="28"/>
      <c r="AC71" s="27" t="str">
        <f>""""&amp;J84&amp;""":""example"&amp;J84&amp;"""},"</f>
        <v>"1.案件情報.調整金額":"example1.案件情報.調整金額"},</v>
      </c>
    </row>
    <row r="72" spans="1:29">
      <c r="A72" s="26"/>
      <c r="C72" s="334">
        <v>41</v>
      </c>
      <c r="D72" s="334"/>
      <c r="E72" s="50"/>
      <c r="F72" s="45" t="s">
        <v>145</v>
      </c>
      <c r="G72" s="40"/>
      <c r="H72" s="40"/>
      <c r="I72" s="41"/>
      <c r="J72" s="39" t="str">
        <f t="shared" si="9"/>
        <v>1.案件情報.建築面積</v>
      </c>
      <c r="K72" s="40"/>
      <c r="L72" s="40"/>
      <c r="M72" s="40"/>
      <c r="N72" s="40"/>
      <c r="O72" s="40"/>
      <c r="P72" s="40"/>
      <c r="Q72" s="40"/>
      <c r="R72" s="40"/>
      <c r="S72" s="40"/>
      <c r="T72" s="40"/>
      <c r="U72" s="40"/>
      <c r="V72" s="40"/>
      <c r="W72" s="40"/>
      <c r="X72" s="40"/>
      <c r="Y72" s="40"/>
      <c r="Z72" s="41"/>
      <c r="AA72" s="28"/>
      <c r="AC72" s="27" t="str">
        <f>""""&amp;J85&amp;""": ["</f>
        <v>"1.案件情報.雇用保険率": [</v>
      </c>
    </row>
    <row r="73" spans="1:29">
      <c r="A73" s="26"/>
      <c r="C73" s="334">
        <v>42</v>
      </c>
      <c r="D73" s="334"/>
      <c r="E73" s="50"/>
      <c r="F73" s="27" t="s">
        <v>146</v>
      </c>
      <c r="G73" s="40"/>
      <c r="H73" s="40"/>
      <c r="I73" s="41"/>
      <c r="J73" s="39" t="str">
        <f t="shared" si="9"/>
        <v>1.案件情報.延床面積</v>
      </c>
      <c r="K73" s="40"/>
      <c r="L73" s="40"/>
      <c r="M73" s="40"/>
      <c r="N73" s="40"/>
      <c r="O73" s="40"/>
      <c r="P73" s="40"/>
      <c r="Q73" s="40"/>
      <c r="R73" s="40"/>
      <c r="S73" s="40"/>
      <c r="T73" s="40"/>
      <c r="U73" s="40"/>
      <c r="V73" s="40"/>
      <c r="W73" s="40"/>
      <c r="X73" s="40"/>
      <c r="Y73" s="40"/>
      <c r="Z73" s="41"/>
      <c r="AA73" s="28"/>
      <c r="AC73" s="27" t="str">
        <f>""""&amp;J86&amp;""": ["</f>
        <v>"1.案件情報.健康保険保険率": [</v>
      </c>
    </row>
    <row r="74" spans="1:29">
      <c r="A74" s="26"/>
      <c r="C74" s="334">
        <v>43</v>
      </c>
      <c r="D74" s="334"/>
      <c r="E74" s="39"/>
      <c r="F74" s="40" t="s">
        <v>147</v>
      </c>
      <c r="G74" s="40"/>
      <c r="H74" s="40"/>
      <c r="I74" s="41"/>
      <c r="J74" s="39" t="str">
        <f t="shared" si="9"/>
        <v>1.案件情報.施工床面積</v>
      </c>
      <c r="K74" s="40"/>
      <c r="L74" s="40"/>
      <c r="M74" s="40"/>
      <c r="N74" s="40"/>
      <c r="O74" s="40"/>
      <c r="P74" s="40"/>
      <c r="Q74" s="40"/>
      <c r="R74" s="40"/>
      <c r="S74" s="40"/>
      <c r="T74" s="40"/>
      <c r="U74" s="40"/>
      <c r="V74" s="40"/>
      <c r="W74" s="40"/>
      <c r="X74" s="40"/>
      <c r="Y74" s="40"/>
      <c r="Z74" s="41"/>
      <c r="AA74" s="28"/>
    </row>
    <row r="75" spans="1:29">
      <c r="A75" s="26"/>
      <c r="C75" s="334">
        <v>44</v>
      </c>
      <c r="D75" s="334"/>
      <c r="E75" s="50"/>
      <c r="F75" s="27" t="s">
        <v>148</v>
      </c>
      <c r="G75" s="40"/>
      <c r="H75" s="40"/>
      <c r="I75" s="41"/>
      <c r="J75" s="39" t="str">
        <f t="shared" si="9"/>
        <v>1.案件情報.専有面積</v>
      </c>
      <c r="K75" s="40"/>
      <c r="L75" s="40"/>
      <c r="M75" s="40"/>
      <c r="N75" s="40"/>
      <c r="O75" s="40"/>
      <c r="P75" s="40"/>
      <c r="Q75" s="40"/>
      <c r="R75" s="40"/>
      <c r="S75" s="40"/>
      <c r="T75" s="40"/>
      <c r="U75" s="40"/>
      <c r="V75" s="40"/>
      <c r="W75" s="40"/>
      <c r="X75" s="40"/>
      <c r="Y75" s="40"/>
      <c r="Z75" s="41"/>
      <c r="AA75" s="28"/>
    </row>
    <row r="76" spans="1:29">
      <c r="A76" s="26"/>
      <c r="C76" s="334">
        <v>45</v>
      </c>
      <c r="D76" s="334"/>
      <c r="E76" s="50"/>
      <c r="F76" s="40" t="s">
        <v>149</v>
      </c>
      <c r="G76" s="40"/>
      <c r="H76" s="40"/>
      <c r="I76" s="41"/>
      <c r="J76" s="39" t="str">
        <f t="shared" si="9"/>
        <v>1.案件情報.施工面積</v>
      </c>
      <c r="K76" s="40"/>
      <c r="L76" s="40"/>
      <c r="M76" s="40"/>
      <c r="N76" s="40"/>
      <c r="O76" s="40"/>
      <c r="P76" s="40"/>
      <c r="Q76" s="40"/>
      <c r="R76" s="40"/>
      <c r="S76" s="40"/>
      <c r="T76" s="40"/>
      <c r="U76" s="40"/>
      <c r="V76" s="40"/>
      <c r="W76" s="40"/>
      <c r="X76" s="40"/>
      <c r="Y76" s="40"/>
      <c r="Z76" s="41"/>
      <c r="AA76" s="28"/>
      <c r="AC76" s="27" t="e">
        <f>"{"""&amp;#REF!&amp;""":""example"&amp;#REF!&amp;""","</f>
        <v>#REF!</v>
      </c>
    </row>
    <row r="77" spans="1:29">
      <c r="A77" s="26"/>
      <c r="C77" s="334">
        <v>46</v>
      </c>
      <c r="D77" s="334"/>
      <c r="E77" s="50"/>
      <c r="F77" s="27" t="s">
        <v>63</v>
      </c>
      <c r="G77" s="40"/>
      <c r="H77" s="40"/>
      <c r="I77" s="41"/>
      <c r="J77" s="39" t="str">
        <f t="shared" ref="J77:J83" si="10">"1.案件情報."&amp;F77</f>
        <v>1.案件情報.戸数</v>
      </c>
      <c r="K77" s="40"/>
      <c r="L77" s="40"/>
      <c r="M77" s="40"/>
      <c r="N77" s="40"/>
      <c r="O77" s="40"/>
      <c r="P77" s="40"/>
      <c r="Q77" s="40"/>
      <c r="R77" s="40"/>
      <c r="S77" s="40"/>
      <c r="T77" s="40"/>
      <c r="U77" s="40"/>
      <c r="V77" s="40"/>
      <c r="W77" s="40"/>
      <c r="X77" s="40"/>
      <c r="Y77" s="40"/>
      <c r="Z77" s="41"/>
      <c r="AA77" s="28"/>
      <c r="AC77" s="27" t="e">
        <f>"{"""&amp;#REF!&amp;""":""example"&amp;#REF!&amp;""","</f>
        <v>#REF!</v>
      </c>
    </row>
    <row r="78" spans="1:29">
      <c r="A78" s="26"/>
      <c r="C78" s="334">
        <v>47</v>
      </c>
      <c r="D78" s="334"/>
      <c r="E78" s="39"/>
      <c r="F78" s="66" t="s">
        <v>150</v>
      </c>
      <c r="G78" s="40"/>
      <c r="H78" s="40"/>
      <c r="I78" s="41"/>
      <c r="J78" s="39" t="str">
        <f t="shared" si="10"/>
        <v>1.案件情報.階数（地上）</v>
      </c>
      <c r="K78" s="40"/>
      <c r="L78" s="40"/>
      <c r="M78" s="40"/>
      <c r="N78" s="40"/>
      <c r="O78" s="40"/>
      <c r="P78" s="40"/>
      <c r="Q78" s="40"/>
      <c r="R78" s="40"/>
      <c r="S78" s="40"/>
      <c r="T78" s="40"/>
      <c r="U78" s="40"/>
      <c r="V78" s="40"/>
      <c r="W78" s="40"/>
      <c r="X78" s="40"/>
      <c r="Y78" s="40"/>
      <c r="Z78" s="41"/>
      <c r="AA78" s="28"/>
    </row>
    <row r="79" spans="1:29">
      <c r="A79" s="26"/>
      <c r="C79" s="334">
        <v>48</v>
      </c>
      <c r="D79" s="334"/>
      <c r="E79" s="39"/>
      <c r="F79" s="64" t="s">
        <v>151</v>
      </c>
      <c r="G79" s="40"/>
      <c r="H79" s="40"/>
      <c r="I79" s="41"/>
      <c r="J79" s="39" t="str">
        <f t="shared" si="10"/>
        <v>1.案件情報.階数（地下）</v>
      </c>
      <c r="K79" s="40"/>
      <c r="L79" s="40"/>
      <c r="M79" s="40"/>
      <c r="N79" s="40"/>
      <c r="O79" s="40"/>
      <c r="P79" s="40"/>
      <c r="Q79" s="40"/>
      <c r="R79" s="40"/>
      <c r="S79" s="40"/>
      <c r="T79" s="40"/>
      <c r="U79" s="40"/>
      <c r="V79" s="40"/>
      <c r="W79" s="40"/>
      <c r="X79" s="40"/>
      <c r="Y79" s="40"/>
      <c r="Z79" s="41"/>
      <c r="AA79" s="28"/>
    </row>
    <row r="80" spans="1:29">
      <c r="A80" s="26"/>
      <c r="C80" s="334">
        <v>49</v>
      </c>
      <c r="D80" s="334"/>
      <c r="E80" s="39"/>
      <c r="F80" s="40" t="s">
        <v>396</v>
      </c>
      <c r="G80" s="40"/>
      <c r="H80" s="40"/>
      <c r="I80" s="41"/>
      <c r="J80" s="39" t="str">
        <f t="shared" si="10"/>
        <v>1.案件情報.工事経費率</v>
      </c>
      <c r="K80" s="40"/>
      <c r="L80" s="40"/>
      <c r="M80" s="40"/>
      <c r="N80" s="40"/>
      <c r="O80" s="40"/>
      <c r="P80" s="40"/>
      <c r="Q80" s="40"/>
      <c r="R80" s="40"/>
      <c r="S80" s="40"/>
      <c r="T80" s="40"/>
      <c r="U80" s="40"/>
      <c r="V80" s="40"/>
      <c r="W80" s="40"/>
      <c r="X80" s="40"/>
      <c r="Y80" s="40"/>
      <c r="Z80" s="41"/>
      <c r="AA80" s="28"/>
    </row>
    <row r="81" spans="1:32">
      <c r="A81" s="26"/>
      <c r="C81" s="334">
        <v>50</v>
      </c>
      <c r="D81" s="334"/>
      <c r="E81" s="39"/>
      <c r="F81" s="27" t="s">
        <v>397</v>
      </c>
      <c r="G81" s="40"/>
      <c r="H81" s="40"/>
      <c r="I81" s="41"/>
      <c r="J81" s="39" t="str">
        <f t="shared" si="10"/>
        <v>1.案件情報.工事経費金額</v>
      </c>
      <c r="K81" s="40"/>
      <c r="L81" s="40"/>
      <c r="M81" s="40"/>
      <c r="N81" s="40"/>
      <c r="O81" s="40"/>
      <c r="P81" s="40"/>
      <c r="Q81" s="40"/>
      <c r="R81" s="40"/>
      <c r="S81" s="40"/>
      <c r="T81" s="40"/>
      <c r="U81" s="40"/>
      <c r="V81" s="40"/>
      <c r="W81" s="40"/>
      <c r="X81" s="40"/>
      <c r="Y81" s="40"/>
      <c r="Z81" s="41"/>
      <c r="AA81" s="28"/>
    </row>
    <row r="82" spans="1:32">
      <c r="A82" s="26"/>
      <c r="C82" s="334">
        <v>51</v>
      </c>
      <c r="D82" s="334"/>
      <c r="E82" s="39"/>
      <c r="F82" s="40" t="s">
        <v>398</v>
      </c>
      <c r="G82" s="40"/>
      <c r="H82" s="40"/>
      <c r="I82" s="41"/>
      <c r="J82" s="39" t="str">
        <f t="shared" si="10"/>
        <v>1.案件情報.販売管理費率</v>
      </c>
      <c r="K82" s="40"/>
      <c r="L82" s="40"/>
      <c r="M82" s="40"/>
      <c r="N82" s="40"/>
      <c r="O82" s="40"/>
      <c r="P82" s="40"/>
      <c r="Q82" s="40"/>
      <c r="R82" s="40"/>
      <c r="S82" s="40"/>
      <c r="T82" s="40"/>
      <c r="U82" s="40"/>
      <c r="V82" s="40"/>
      <c r="W82" s="40"/>
      <c r="X82" s="40"/>
      <c r="Y82" s="40"/>
      <c r="Z82" s="41"/>
      <c r="AA82" s="28"/>
    </row>
    <row r="83" spans="1:32">
      <c r="A83" s="26"/>
      <c r="C83" s="334">
        <v>52</v>
      </c>
      <c r="D83" s="334"/>
      <c r="E83" s="39"/>
      <c r="F83" s="44" t="s">
        <v>399</v>
      </c>
      <c r="G83" s="40"/>
      <c r="H83" s="40"/>
      <c r="I83" s="41"/>
      <c r="J83" s="39" t="str">
        <f t="shared" si="10"/>
        <v>1.案件情報.販売管理費金額</v>
      </c>
      <c r="K83" s="40"/>
      <c r="L83" s="40"/>
      <c r="M83" s="40"/>
      <c r="N83" s="40"/>
      <c r="O83" s="40"/>
      <c r="P83" s="40"/>
      <c r="Q83" s="40"/>
      <c r="R83" s="40"/>
      <c r="S83" s="40"/>
      <c r="T83" s="40"/>
      <c r="U83" s="40"/>
      <c r="V83" s="40"/>
      <c r="W83" s="40"/>
      <c r="X83" s="40"/>
      <c r="Y83" s="40"/>
      <c r="Z83" s="41"/>
      <c r="AA83" s="28"/>
    </row>
    <row r="84" spans="1:32">
      <c r="A84" s="26"/>
      <c r="C84" s="334">
        <v>53</v>
      </c>
      <c r="D84" s="334"/>
      <c r="E84" s="50"/>
      <c r="F84" s="27" t="s">
        <v>400</v>
      </c>
      <c r="G84" s="40"/>
      <c r="H84" s="40"/>
      <c r="I84" s="41"/>
      <c r="J84" s="39" t="str">
        <f t="shared" si="9"/>
        <v>1.案件情報.調整金額</v>
      </c>
      <c r="K84" s="40"/>
      <c r="L84" s="40"/>
      <c r="M84" s="40"/>
      <c r="N84" s="40"/>
      <c r="O84" s="40"/>
      <c r="P84" s="40"/>
      <c r="Q84" s="40"/>
      <c r="R84" s="40"/>
      <c r="S84" s="40"/>
      <c r="T84" s="40"/>
      <c r="U84" s="40"/>
      <c r="V84" s="40"/>
      <c r="W84" s="40"/>
      <c r="X84" s="40"/>
      <c r="Y84" s="40"/>
      <c r="Z84" s="41"/>
      <c r="AA84" s="28"/>
      <c r="AC84" s="27" t="e">
        <f>""""&amp;#REF!&amp;""":""example"&amp;#REF!&amp;""","</f>
        <v>#REF!</v>
      </c>
    </row>
    <row r="85" spans="1:32">
      <c r="A85" s="26"/>
      <c r="C85" s="334">
        <v>54</v>
      </c>
      <c r="D85" s="334"/>
      <c r="E85" s="39"/>
      <c r="F85" s="66" t="s">
        <v>401</v>
      </c>
      <c r="G85" s="40"/>
      <c r="H85" s="40"/>
      <c r="I85" s="41"/>
      <c r="J85" s="39" t="str">
        <f t="shared" si="9"/>
        <v>1.案件情報.雇用保険率</v>
      </c>
      <c r="K85" s="40"/>
      <c r="L85" s="40"/>
      <c r="M85" s="40"/>
      <c r="N85" s="40"/>
      <c r="O85" s="40"/>
      <c r="P85" s="40"/>
      <c r="Q85" s="40"/>
      <c r="R85" s="40"/>
      <c r="S85" s="40"/>
      <c r="T85" s="40"/>
      <c r="U85" s="40"/>
      <c r="V85" s="40"/>
      <c r="W85" s="40"/>
      <c r="X85" s="40"/>
      <c r="Y85" s="40"/>
      <c r="Z85" s="41"/>
      <c r="AA85" s="28"/>
      <c r="AC85" s="27" t="e">
        <f>""""&amp;#REF!&amp;""":""example"&amp;#REF!&amp;""","</f>
        <v>#REF!</v>
      </c>
    </row>
    <row r="86" spans="1:32">
      <c r="A86" s="26"/>
      <c r="C86" s="334">
        <v>55</v>
      </c>
      <c r="D86" s="334"/>
      <c r="E86" s="39"/>
      <c r="F86" s="64" t="s">
        <v>402</v>
      </c>
      <c r="G86" s="40"/>
      <c r="H86" s="40"/>
      <c r="I86" s="41"/>
      <c r="J86" s="39" t="str">
        <f t="shared" si="9"/>
        <v>1.案件情報.健康保険保険率</v>
      </c>
      <c r="K86" s="40"/>
      <c r="L86" s="40"/>
      <c r="M86" s="40"/>
      <c r="N86" s="40"/>
      <c r="O86" s="40"/>
      <c r="P86" s="40"/>
      <c r="Q86" s="40"/>
      <c r="R86" s="40"/>
      <c r="S86" s="40"/>
      <c r="T86" s="40"/>
      <c r="U86" s="40"/>
      <c r="V86" s="40"/>
      <c r="W86" s="40"/>
      <c r="X86" s="40"/>
      <c r="Y86" s="40"/>
      <c r="Z86" s="41"/>
      <c r="AA86" s="28"/>
      <c r="AC86" s="27" t="str">
        <f>""""&amp;J108&amp;""":""example"&amp;J108&amp;""","</f>
        <v>"1.現場情報.現場コード":"example1.現場情報.現場コード",</v>
      </c>
    </row>
    <row r="87" spans="1:32">
      <c r="A87" s="26"/>
      <c r="C87" s="334">
        <v>56</v>
      </c>
      <c r="D87" s="334"/>
      <c r="E87" s="39"/>
      <c r="F87" s="40" t="s">
        <v>403</v>
      </c>
      <c r="G87" s="40"/>
      <c r="H87" s="40"/>
      <c r="I87" s="41"/>
      <c r="J87" s="39" t="str">
        <f t="shared" si="9"/>
        <v>1.案件情報.介護保険率</v>
      </c>
      <c r="K87" s="40"/>
      <c r="L87" s="40"/>
      <c r="M87" s="40"/>
      <c r="N87" s="40"/>
      <c r="O87" s="40"/>
      <c r="P87" s="40"/>
      <c r="Q87" s="40"/>
      <c r="R87" s="40"/>
      <c r="S87" s="40"/>
      <c r="T87" s="40"/>
      <c r="U87" s="40"/>
      <c r="V87" s="40"/>
      <c r="W87" s="40"/>
      <c r="X87" s="40"/>
      <c r="Y87" s="40"/>
      <c r="Z87" s="41"/>
      <c r="AA87" s="28"/>
      <c r="AC87" s="27" t="str">
        <f>""""&amp;J110&amp;""":""example"&amp;J110&amp;"""},"</f>
        <v>"1.物件情報.物件コード":"example1.物件情報.物件コード"},</v>
      </c>
    </row>
    <row r="88" spans="1:32">
      <c r="A88" s="26"/>
      <c r="C88" s="334">
        <v>57</v>
      </c>
      <c r="D88" s="334"/>
      <c r="E88" s="39"/>
      <c r="F88" s="66" t="s">
        <v>404</v>
      </c>
      <c r="G88" s="40"/>
      <c r="H88" s="40"/>
      <c r="I88" s="41"/>
      <c r="J88" s="39" t="str">
        <f t="shared" ref="J88:J93" si="11">"1.案件情報."&amp;F88</f>
        <v>1.案件情報.厚生年金率</v>
      </c>
      <c r="K88" s="40"/>
      <c r="L88" s="40"/>
      <c r="M88" s="40"/>
      <c r="N88" s="40"/>
      <c r="O88" s="40"/>
      <c r="P88" s="40"/>
      <c r="Q88" s="40"/>
      <c r="R88" s="40"/>
      <c r="S88" s="40"/>
      <c r="T88" s="40"/>
      <c r="U88" s="40"/>
      <c r="V88" s="40"/>
      <c r="W88" s="40"/>
      <c r="X88" s="40"/>
      <c r="Y88" s="40"/>
      <c r="Z88" s="41"/>
      <c r="AA88" s="28"/>
      <c r="AC88" s="27" t="str">
        <f>""""&amp;J111&amp;""":""example"&amp;J111&amp;"""},"</f>
        <v>"1.物件情報.物件名":"example1.物件情報.物件名"},</v>
      </c>
    </row>
    <row r="89" spans="1:32">
      <c r="A89" s="26"/>
      <c r="C89" s="334">
        <v>58</v>
      </c>
      <c r="D89" s="334"/>
      <c r="E89" s="39"/>
      <c r="F89" s="61" t="s">
        <v>152</v>
      </c>
      <c r="G89" s="61"/>
      <c r="H89" s="61"/>
      <c r="I89" s="62"/>
      <c r="J89" s="57" t="s">
        <v>601</v>
      </c>
      <c r="K89" s="40"/>
      <c r="L89" s="40"/>
      <c r="M89" s="40"/>
      <c r="N89" s="40"/>
      <c r="O89" s="40"/>
      <c r="P89" s="40"/>
      <c r="Q89" s="40"/>
      <c r="R89" s="40"/>
      <c r="S89" s="40"/>
      <c r="T89" s="40"/>
      <c r="U89" s="40"/>
      <c r="V89" s="40"/>
      <c r="W89" s="40"/>
      <c r="X89" s="40"/>
      <c r="Y89" s="40"/>
      <c r="Z89" s="41"/>
      <c r="AA89" s="28"/>
    </row>
    <row r="90" spans="1:32">
      <c r="A90" s="26"/>
      <c r="C90" s="334">
        <v>59</v>
      </c>
      <c r="D90" s="334"/>
      <c r="E90" s="39"/>
      <c r="F90" s="61" t="s">
        <v>329</v>
      </c>
      <c r="G90" s="61"/>
      <c r="H90" s="61"/>
      <c r="I90" s="62"/>
      <c r="J90" s="57" t="str">
        <f t="shared" ref="J90" si="12">"1.案件情報."&amp;F90</f>
        <v>1.案件情報.支払区分</v>
      </c>
      <c r="K90" s="40"/>
      <c r="L90" s="40"/>
      <c r="M90" s="40"/>
      <c r="N90" s="40"/>
      <c r="O90" s="40"/>
      <c r="P90" s="40"/>
      <c r="Q90" s="40"/>
      <c r="R90" s="40"/>
      <c r="S90" s="40"/>
      <c r="T90" s="40"/>
      <c r="U90" s="40"/>
      <c r="V90" s="40"/>
      <c r="W90" s="40"/>
      <c r="X90" s="40"/>
      <c r="Y90" s="40"/>
      <c r="Z90" s="41"/>
      <c r="AA90" s="28"/>
    </row>
    <row r="91" spans="1:32">
      <c r="A91" s="26"/>
      <c r="C91" s="334">
        <v>60</v>
      </c>
      <c r="D91" s="334"/>
      <c r="E91" s="43"/>
      <c r="F91" s="36" t="s">
        <v>602</v>
      </c>
      <c r="G91" s="84"/>
      <c r="H91" s="84"/>
      <c r="I91" s="85"/>
      <c r="J91" s="57" t="str">
        <f t="shared" si="11"/>
        <v>1.案件情報.支払区分名</v>
      </c>
      <c r="K91" s="40"/>
      <c r="L91" s="40"/>
      <c r="M91" s="40"/>
      <c r="N91" s="40"/>
      <c r="O91" s="40"/>
      <c r="P91" s="40"/>
      <c r="Q91" s="40"/>
      <c r="R91" s="40"/>
      <c r="S91" s="40"/>
      <c r="T91" s="40"/>
      <c r="U91" s="40"/>
      <c r="V91" s="40"/>
      <c r="W91" s="40"/>
      <c r="X91" s="40"/>
      <c r="Y91" s="40"/>
      <c r="Z91" s="41"/>
      <c r="AA91" s="28"/>
      <c r="AF91" s="36" t="s">
        <v>603</v>
      </c>
    </row>
    <row r="92" spans="1:32">
      <c r="A92" s="26"/>
      <c r="C92" s="334">
        <v>61</v>
      </c>
      <c r="D92" s="334"/>
      <c r="E92" s="39"/>
      <c r="F92" s="61" t="s">
        <v>153</v>
      </c>
      <c r="G92" s="61"/>
      <c r="H92" s="61"/>
      <c r="I92" s="62"/>
      <c r="J92" s="57" t="str">
        <f t="shared" si="11"/>
        <v>1.案件情報.支払日</v>
      </c>
      <c r="K92" s="40"/>
      <c r="L92" s="40"/>
      <c r="M92" s="40"/>
      <c r="N92" s="40"/>
      <c r="O92" s="40"/>
      <c r="P92" s="40"/>
      <c r="Q92" s="40"/>
      <c r="R92" s="40"/>
      <c r="S92" s="40"/>
      <c r="T92" s="40"/>
      <c r="U92" s="40"/>
      <c r="V92" s="40"/>
      <c r="W92" s="40"/>
      <c r="X92" s="40"/>
      <c r="Y92" s="40"/>
      <c r="Z92" s="41"/>
      <c r="AA92" s="28"/>
    </row>
    <row r="93" spans="1:32">
      <c r="A93" s="26"/>
      <c r="C93" s="334">
        <v>62</v>
      </c>
      <c r="D93" s="334"/>
      <c r="E93" s="39"/>
      <c r="F93" s="44" t="s">
        <v>154</v>
      </c>
      <c r="G93" s="40"/>
      <c r="H93" s="40"/>
      <c r="I93" s="41"/>
      <c r="J93" s="39" t="str">
        <f t="shared" si="11"/>
        <v>1.案件情報.不成約理由</v>
      </c>
      <c r="K93" s="40"/>
      <c r="L93" s="40"/>
      <c r="M93" s="40"/>
      <c r="N93" s="40"/>
      <c r="O93" s="40"/>
      <c r="P93" s="40"/>
      <c r="Q93" s="40"/>
      <c r="R93" s="40"/>
      <c r="S93" s="40"/>
      <c r="T93" s="40"/>
      <c r="U93" s="40"/>
      <c r="V93" s="40"/>
      <c r="W93" s="40"/>
      <c r="X93" s="40"/>
      <c r="Y93" s="40"/>
      <c r="Z93" s="41"/>
      <c r="AA93" s="28"/>
    </row>
    <row r="94" spans="1:32" ht="36" customHeight="1">
      <c r="A94" s="26"/>
      <c r="C94" s="334">
        <v>63</v>
      </c>
      <c r="D94" s="334"/>
      <c r="E94" s="71"/>
      <c r="F94" s="366" t="s">
        <v>805</v>
      </c>
      <c r="G94" s="366"/>
      <c r="H94" s="366"/>
      <c r="I94" s="367"/>
      <c r="J94" s="71" t="str">
        <f>"１．案件情報．"&amp;F94</f>
        <v>１．案件情報．出来高請求案件フラグ</v>
      </c>
      <c r="K94" s="72"/>
      <c r="L94" s="72"/>
      <c r="M94" s="72"/>
      <c r="N94" s="72"/>
      <c r="O94" s="72"/>
      <c r="P94" s="72"/>
      <c r="Q94" s="72"/>
      <c r="R94" s="72"/>
      <c r="S94" s="72"/>
      <c r="T94" s="72"/>
      <c r="U94" s="72"/>
      <c r="V94" s="72"/>
      <c r="W94" s="72"/>
      <c r="X94" s="72"/>
      <c r="Y94" s="72"/>
      <c r="Z94" s="73"/>
      <c r="AA94" s="28"/>
      <c r="AE94" s="70" t="s">
        <v>737</v>
      </c>
    </row>
    <row r="95" spans="1:32">
      <c r="A95" s="26"/>
      <c r="C95" s="38"/>
      <c r="D95" s="38"/>
      <c r="F95" s="52"/>
      <c r="AA95" s="28"/>
      <c r="AC95" s="27" t="str">
        <f>""""&amp;J229&amp;""": ["</f>
        <v>"6.単価情報.工事連番": [</v>
      </c>
    </row>
    <row r="96" spans="1:32">
      <c r="A96" s="26"/>
      <c r="C96" s="38"/>
      <c r="D96" s="38"/>
      <c r="F96" s="52"/>
      <c r="AA96" s="28"/>
      <c r="AC96" s="27" t="str">
        <f>"{"""&amp;J232&amp;""":""example"&amp;J232&amp;""","</f>
        <v>{"6.先行作業明細.計画概要":"example6.先行作業明細.計画概要",</v>
      </c>
    </row>
    <row r="97" spans="1:29">
      <c r="A97" s="26"/>
      <c r="C97" s="35" t="s">
        <v>68</v>
      </c>
      <c r="D97" s="27" t="s">
        <v>177</v>
      </c>
      <c r="AA97" s="28"/>
      <c r="AC97" s="27" t="str">
        <f t="shared" ref="AC97" si="13">""""&amp;J232&amp;""":""example"&amp;J232&amp;""","</f>
        <v>"6.先行作業明細.計画概要":"example6.先行作業明細.計画概要",</v>
      </c>
    </row>
    <row r="98" spans="1:29">
      <c r="A98" s="26"/>
      <c r="C98" s="340" t="s">
        <v>483</v>
      </c>
      <c r="D98" s="341"/>
      <c r="E98" s="341"/>
      <c r="F98" s="342"/>
      <c r="G98" s="332" t="s">
        <v>429</v>
      </c>
      <c r="H98" s="333"/>
      <c r="I98" s="333"/>
      <c r="J98" s="333"/>
      <c r="K98" s="333"/>
      <c r="L98" s="333"/>
      <c r="M98" s="333"/>
      <c r="N98" s="333"/>
      <c r="O98" s="333"/>
      <c r="P98" s="333"/>
      <c r="Q98" s="333"/>
      <c r="R98" s="333"/>
      <c r="S98" s="333"/>
      <c r="T98" s="333"/>
      <c r="U98" s="333"/>
      <c r="V98" s="333"/>
      <c r="W98" s="333"/>
      <c r="X98" s="333"/>
      <c r="Y98" s="333"/>
      <c r="Z98" s="333"/>
      <c r="AA98" s="28"/>
      <c r="AC98" s="27" t="str">
        <f>""""&amp;J229&amp;""":""example"&amp;J229&amp;""","</f>
        <v>"6.単価情報.工事連番":"example6.単価情報.工事連番",</v>
      </c>
    </row>
    <row r="99" spans="1:29">
      <c r="A99" s="26"/>
      <c r="C99" s="340" t="s">
        <v>129</v>
      </c>
      <c r="D99" s="341"/>
      <c r="E99" s="341"/>
      <c r="F99" s="342"/>
      <c r="G99" s="332" t="s">
        <v>484</v>
      </c>
      <c r="H99" s="333"/>
      <c r="I99" s="333"/>
      <c r="J99" s="333"/>
      <c r="K99" s="333"/>
      <c r="L99" s="333"/>
      <c r="M99" s="333"/>
      <c r="N99" s="333"/>
      <c r="O99" s="333"/>
      <c r="P99" s="33" t="s">
        <v>130</v>
      </c>
      <c r="Q99" s="333" t="s">
        <v>131</v>
      </c>
      <c r="R99" s="333"/>
      <c r="S99" s="333"/>
      <c r="T99" s="333"/>
      <c r="U99" s="333"/>
      <c r="V99" s="333"/>
      <c r="W99" s="333"/>
      <c r="X99" s="333"/>
      <c r="Y99" s="333"/>
      <c r="Z99" s="333"/>
      <c r="AA99" s="28"/>
      <c r="AC99" s="27" t="e">
        <f>""""&amp;#REF!&amp;""":""example"&amp;#REF!&amp;""","</f>
        <v>#REF!</v>
      </c>
    </row>
    <row r="100" spans="1:29">
      <c r="A100" s="26"/>
      <c r="C100" s="340" t="s">
        <v>132</v>
      </c>
      <c r="D100" s="341"/>
      <c r="E100" s="341"/>
      <c r="F100" s="342"/>
      <c r="G100" s="332" t="s">
        <v>485</v>
      </c>
      <c r="H100" s="333"/>
      <c r="I100" s="333"/>
      <c r="J100" s="333"/>
      <c r="K100" s="333"/>
      <c r="L100" s="333"/>
      <c r="M100" s="333"/>
      <c r="N100" s="333"/>
      <c r="O100" s="333"/>
      <c r="P100" s="333"/>
      <c r="Q100" s="333"/>
      <c r="R100" s="333"/>
      <c r="S100" s="333"/>
      <c r="T100" s="333"/>
      <c r="U100" s="333"/>
      <c r="V100" s="333"/>
      <c r="W100" s="333"/>
      <c r="X100" s="333"/>
      <c r="Y100" s="333"/>
      <c r="Z100" s="333"/>
      <c r="AA100" s="28"/>
      <c r="AC100" s="27" t="str">
        <f>""""&amp;J229&amp;""":""example"&amp;J229&amp;""","</f>
        <v>"6.単価情報.工事連番":"example6.単価情報.工事連番",</v>
      </c>
    </row>
    <row r="101" spans="1:29">
      <c r="A101" s="26"/>
      <c r="C101" s="340" t="s">
        <v>129</v>
      </c>
      <c r="D101" s="341"/>
      <c r="E101" s="341"/>
      <c r="F101" s="342"/>
      <c r="G101" s="332" t="s">
        <v>486</v>
      </c>
      <c r="H101" s="333"/>
      <c r="I101" s="333"/>
      <c r="J101" s="333"/>
      <c r="K101" s="333"/>
      <c r="L101" s="333"/>
      <c r="M101" s="333"/>
      <c r="N101" s="333"/>
      <c r="O101" s="333"/>
      <c r="P101" s="33" t="s">
        <v>130</v>
      </c>
      <c r="Q101" s="333" t="s">
        <v>487</v>
      </c>
      <c r="R101" s="333"/>
      <c r="S101" s="333"/>
      <c r="T101" s="333"/>
      <c r="U101" s="333"/>
      <c r="V101" s="333"/>
      <c r="W101" s="333"/>
      <c r="X101" s="333"/>
      <c r="Y101" s="333"/>
      <c r="Z101" s="333"/>
      <c r="AA101" s="28"/>
      <c r="AC101" s="27" t="e">
        <f>""""&amp;#REF!&amp;""":""example"&amp;#REF!&amp;""","</f>
        <v>#REF!</v>
      </c>
    </row>
    <row r="102" spans="1:29">
      <c r="A102" s="26"/>
      <c r="C102" s="340" t="s">
        <v>132</v>
      </c>
      <c r="D102" s="341"/>
      <c r="E102" s="341"/>
      <c r="F102" s="342"/>
      <c r="G102" s="332" t="s">
        <v>488</v>
      </c>
      <c r="H102" s="333"/>
      <c r="I102" s="333"/>
      <c r="J102" s="333"/>
      <c r="K102" s="333"/>
      <c r="L102" s="333"/>
      <c r="M102" s="333"/>
      <c r="N102" s="333"/>
      <c r="O102" s="333"/>
      <c r="P102" s="333"/>
      <c r="Q102" s="333"/>
      <c r="R102" s="333"/>
      <c r="S102" s="333"/>
      <c r="T102" s="333"/>
      <c r="U102" s="333"/>
      <c r="V102" s="333"/>
      <c r="W102" s="333"/>
      <c r="X102" s="333"/>
      <c r="Y102" s="333"/>
      <c r="Z102" s="333"/>
      <c r="AA102" s="28"/>
      <c r="AC102" s="27" t="str">
        <f>""""&amp;J233&amp;""":""example"&amp;J233&amp;""","</f>
        <v>"6.見積日付":"example6.見積日付",</v>
      </c>
    </row>
    <row r="103" spans="1:29">
      <c r="A103" s="26"/>
      <c r="C103" s="340" t="s">
        <v>129</v>
      </c>
      <c r="D103" s="341"/>
      <c r="E103" s="341"/>
      <c r="F103" s="342"/>
      <c r="G103" s="332" t="s">
        <v>489</v>
      </c>
      <c r="H103" s="333"/>
      <c r="I103" s="333"/>
      <c r="J103" s="333"/>
      <c r="K103" s="333"/>
      <c r="L103" s="333"/>
      <c r="M103" s="333"/>
      <c r="N103" s="333"/>
      <c r="O103" s="333"/>
      <c r="P103" s="33" t="s">
        <v>130</v>
      </c>
      <c r="Q103" s="333" t="s">
        <v>131</v>
      </c>
      <c r="R103" s="333"/>
      <c r="S103" s="333"/>
      <c r="T103" s="333"/>
      <c r="U103" s="333"/>
      <c r="V103" s="333"/>
      <c r="W103" s="333"/>
      <c r="X103" s="333"/>
      <c r="Y103" s="333"/>
      <c r="Z103" s="333"/>
      <c r="AA103" s="28"/>
      <c r="AC103" s="27" t="e">
        <f>""""&amp;#REF!&amp;""":""example"&amp;#REF!&amp;""","</f>
        <v>#REF!</v>
      </c>
    </row>
    <row r="104" spans="1:29">
      <c r="A104" s="26"/>
      <c r="C104" s="65"/>
      <c r="D104" s="65"/>
      <c r="E104" s="65"/>
      <c r="F104" s="86"/>
      <c r="G104" s="87"/>
      <c r="H104" s="88"/>
      <c r="I104" s="88"/>
      <c r="J104" s="88"/>
      <c r="K104" s="88"/>
      <c r="L104" s="88"/>
      <c r="M104" s="88"/>
      <c r="N104" s="88"/>
      <c r="O104" s="88"/>
      <c r="P104" s="88"/>
      <c r="Q104" s="88"/>
      <c r="R104" s="88"/>
      <c r="S104" s="88"/>
      <c r="T104" s="88"/>
      <c r="U104" s="88"/>
      <c r="V104" s="88"/>
      <c r="W104" s="88"/>
      <c r="X104" s="88"/>
      <c r="Y104" s="88"/>
      <c r="Z104" s="88"/>
      <c r="AA104" s="28"/>
      <c r="AC104" s="27" t="str">
        <f>""""&amp;J127&amp;""":""example"&amp;J127&amp;""","</f>
        <v>"3.請求条件情報.請求条件名":"example3.請求条件情報.請求条件名",</v>
      </c>
    </row>
    <row r="105" spans="1:29">
      <c r="A105" s="26"/>
      <c r="C105" s="89" t="s">
        <v>70</v>
      </c>
      <c r="D105" s="90"/>
      <c r="E105" s="44"/>
      <c r="F105" s="91"/>
      <c r="G105" s="44"/>
      <c r="H105" s="44"/>
      <c r="I105" s="44"/>
      <c r="J105" s="44"/>
      <c r="K105" s="44"/>
      <c r="L105" s="44"/>
      <c r="M105" s="44"/>
      <c r="N105" s="44"/>
      <c r="O105" s="44"/>
      <c r="P105" s="44"/>
      <c r="Q105" s="44"/>
      <c r="R105" s="44"/>
      <c r="S105" s="44"/>
      <c r="T105" s="44"/>
      <c r="U105" s="44"/>
      <c r="V105" s="44"/>
      <c r="W105" s="44"/>
      <c r="X105" s="44"/>
      <c r="Y105" s="44"/>
      <c r="Z105" s="44"/>
      <c r="AA105" s="28"/>
      <c r="AC105" s="27" t="str">
        <f>""""&amp;J128&amp;""":""example"&amp;J128&amp;""","</f>
        <v>"3.案件請求条件.割合":"example3.案件請求条件.割合",</v>
      </c>
    </row>
    <row r="106" spans="1:29">
      <c r="A106" s="26"/>
      <c r="C106" s="337" t="s">
        <v>7</v>
      </c>
      <c r="D106" s="337"/>
      <c r="E106" s="337" t="s">
        <v>9</v>
      </c>
      <c r="F106" s="337"/>
      <c r="G106" s="337"/>
      <c r="H106" s="337"/>
      <c r="I106" s="337"/>
      <c r="J106" s="343" t="s">
        <v>18</v>
      </c>
      <c r="K106" s="344"/>
      <c r="L106" s="344"/>
      <c r="M106" s="344"/>
      <c r="N106" s="344"/>
      <c r="O106" s="344"/>
      <c r="P106" s="344"/>
      <c r="Q106" s="344"/>
      <c r="R106" s="344"/>
      <c r="S106" s="344"/>
      <c r="T106" s="344"/>
      <c r="U106" s="344"/>
      <c r="V106" s="344"/>
      <c r="W106" s="344"/>
      <c r="X106" s="344"/>
      <c r="Y106" s="344"/>
      <c r="Z106" s="345"/>
      <c r="AA106" s="28"/>
      <c r="AC106" s="27" t="e">
        <f>""""&amp;#REF!&amp;""":""example"&amp;#REF!&amp;"""},"</f>
        <v>#REF!</v>
      </c>
    </row>
    <row r="107" spans="1:29">
      <c r="A107" s="26"/>
      <c r="C107" s="334">
        <v>1</v>
      </c>
      <c r="D107" s="334"/>
      <c r="E107" s="47" t="s">
        <v>232</v>
      </c>
      <c r="F107" s="40"/>
      <c r="G107" s="40"/>
      <c r="H107" s="40"/>
      <c r="I107" s="41"/>
      <c r="J107" s="39"/>
      <c r="K107" s="40"/>
      <c r="L107" s="40"/>
      <c r="M107" s="40"/>
      <c r="N107" s="40"/>
      <c r="O107" s="40"/>
      <c r="P107" s="40"/>
      <c r="Q107" s="40"/>
      <c r="R107" s="40"/>
      <c r="S107" s="40"/>
      <c r="T107" s="40"/>
      <c r="U107" s="40"/>
      <c r="V107" s="40"/>
      <c r="W107" s="40"/>
      <c r="X107" s="40"/>
      <c r="Y107" s="40"/>
      <c r="Z107" s="41"/>
      <c r="AA107" s="28"/>
      <c r="AC107" s="27" t="str">
        <f t="shared" ref="AC107:AC108" si="14">""""&amp;J129&amp;""":""example"&amp;J129&amp;""","</f>
        <v>"3.案件請求条件.税抜請求金額":"example3.案件請求条件.税抜請求金額",</v>
      </c>
    </row>
    <row r="108" spans="1:29">
      <c r="A108" s="26"/>
      <c r="C108" s="334">
        <v>2</v>
      </c>
      <c r="D108" s="334"/>
      <c r="E108" s="50"/>
      <c r="F108" s="40" t="s">
        <v>121</v>
      </c>
      <c r="G108" s="40"/>
      <c r="H108" s="40"/>
      <c r="I108" s="41"/>
      <c r="J108" s="39" t="s">
        <v>330</v>
      </c>
      <c r="K108" s="40"/>
      <c r="L108" s="40"/>
      <c r="M108" s="40"/>
      <c r="N108" s="40"/>
      <c r="O108" s="40"/>
      <c r="P108" s="40"/>
      <c r="Q108" s="40"/>
      <c r="R108" s="40"/>
      <c r="S108" s="40"/>
      <c r="T108" s="40"/>
      <c r="U108" s="40"/>
      <c r="V108" s="40"/>
      <c r="W108" s="40"/>
      <c r="X108" s="40"/>
      <c r="Y108" s="40"/>
      <c r="Z108" s="41"/>
      <c r="AA108" s="28"/>
      <c r="AC108" s="27" t="str">
        <f t="shared" si="14"/>
        <v>"3.案件請求条件.消費税率ID":"example3.案件請求条件.消費税率ID",</v>
      </c>
    </row>
    <row r="109" spans="1:29">
      <c r="A109" s="26"/>
      <c r="C109" s="334">
        <v>3</v>
      </c>
      <c r="D109" s="334"/>
      <c r="E109" s="39"/>
      <c r="F109" s="40" t="s">
        <v>122</v>
      </c>
      <c r="G109" s="40"/>
      <c r="H109" s="40"/>
      <c r="I109" s="41"/>
      <c r="J109" s="39" t="s">
        <v>331</v>
      </c>
      <c r="K109" s="40"/>
      <c r="L109" s="40"/>
      <c r="M109" s="40"/>
      <c r="N109" s="40"/>
      <c r="O109" s="40"/>
      <c r="P109" s="40"/>
      <c r="Q109" s="40"/>
      <c r="R109" s="40"/>
      <c r="S109" s="40"/>
      <c r="T109" s="40"/>
      <c r="U109" s="40"/>
      <c r="V109" s="40"/>
      <c r="W109" s="40"/>
      <c r="X109" s="40"/>
      <c r="Y109" s="40"/>
      <c r="Z109" s="41"/>
      <c r="AA109" s="28"/>
      <c r="AC109" s="27" t="str">
        <f>""""&amp;J133&amp;""":""example"&amp;J133&amp;"""},"</f>
        <v>"3.案件請求条件.税込請求金額":"example3.案件請求条件.税込請求金額"},</v>
      </c>
    </row>
    <row r="110" spans="1:29">
      <c r="A110" s="26"/>
      <c r="C110" s="334">
        <v>4</v>
      </c>
      <c r="D110" s="334"/>
      <c r="E110" s="50"/>
      <c r="F110" s="40" t="s">
        <v>123</v>
      </c>
      <c r="G110" s="40"/>
      <c r="H110" s="40"/>
      <c r="I110" s="41"/>
      <c r="J110" s="39" t="s">
        <v>332</v>
      </c>
      <c r="K110" s="40"/>
      <c r="L110" s="40"/>
      <c r="M110" s="40"/>
      <c r="N110" s="40"/>
      <c r="O110" s="40"/>
      <c r="P110" s="40"/>
      <c r="Q110" s="40"/>
      <c r="R110" s="40"/>
      <c r="S110" s="40"/>
      <c r="T110" s="40"/>
      <c r="U110" s="40"/>
      <c r="V110" s="40"/>
      <c r="W110" s="40"/>
      <c r="X110" s="40"/>
      <c r="Y110" s="40"/>
      <c r="Z110" s="41"/>
      <c r="AA110" s="28"/>
      <c r="AC110" s="27" t="e">
        <f>""""&amp;#REF!&amp;""":""example"&amp;#REF!&amp;"""},"</f>
        <v>#REF!</v>
      </c>
    </row>
    <row r="111" spans="1:29">
      <c r="A111" s="26"/>
      <c r="C111" s="334">
        <v>5</v>
      </c>
      <c r="D111" s="334"/>
      <c r="E111" s="50"/>
      <c r="F111" s="40" t="s">
        <v>124</v>
      </c>
      <c r="G111" s="40"/>
      <c r="H111" s="40"/>
      <c r="I111" s="41"/>
      <c r="J111" s="39" t="s">
        <v>333</v>
      </c>
      <c r="K111" s="40"/>
      <c r="L111" s="40"/>
      <c r="M111" s="40"/>
      <c r="N111" s="40"/>
      <c r="O111" s="40"/>
      <c r="P111" s="40"/>
      <c r="Q111" s="40"/>
      <c r="R111" s="40"/>
      <c r="S111" s="40"/>
      <c r="T111" s="40"/>
      <c r="U111" s="40"/>
      <c r="V111" s="40"/>
      <c r="W111" s="40"/>
      <c r="X111" s="40"/>
      <c r="Y111" s="40"/>
      <c r="Z111" s="41"/>
      <c r="AA111" s="28"/>
      <c r="AC111" s="27" t="e">
        <f>""""&amp;#REF!&amp;""":""example"&amp;#REF!&amp;"""},"</f>
        <v>#REF!</v>
      </c>
    </row>
    <row r="112" spans="1:29">
      <c r="A112" s="26"/>
      <c r="C112" s="334">
        <v>6</v>
      </c>
      <c r="D112" s="334"/>
      <c r="E112" s="39"/>
      <c r="F112" s="92" t="s">
        <v>125</v>
      </c>
      <c r="G112" s="40"/>
      <c r="H112" s="40"/>
      <c r="I112" s="41"/>
      <c r="J112" s="39" t="s">
        <v>334</v>
      </c>
      <c r="K112" s="40"/>
      <c r="L112" s="40"/>
      <c r="M112" s="40"/>
      <c r="N112" s="40"/>
      <c r="O112" s="40"/>
      <c r="P112" s="40"/>
      <c r="Q112" s="40"/>
      <c r="R112" s="40"/>
      <c r="S112" s="40"/>
      <c r="T112" s="40"/>
      <c r="U112" s="40"/>
      <c r="V112" s="40"/>
      <c r="W112" s="40"/>
      <c r="X112" s="40"/>
      <c r="Y112" s="40"/>
      <c r="Z112" s="41"/>
      <c r="AA112" s="28"/>
      <c r="AC112" s="27" t="e">
        <f>""""&amp;#REF!&amp;""":""example"&amp;#REF!&amp;"""},"</f>
        <v>#REF!</v>
      </c>
    </row>
    <row r="113" spans="1:29">
      <c r="A113" s="26"/>
      <c r="C113" s="334">
        <v>7</v>
      </c>
      <c r="D113" s="334"/>
      <c r="E113" s="39"/>
      <c r="F113" s="92" t="s">
        <v>126</v>
      </c>
      <c r="G113" s="40"/>
      <c r="H113" s="40"/>
      <c r="I113" s="41"/>
      <c r="J113" s="39" t="s">
        <v>335</v>
      </c>
      <c r="K113" s="40"/>
      <c r="L113" s="40"/>
      <c r="M113" s="40"/>
      <c r="N113" s="40"/>
      <c r="O113" s="40"/>
      <c r="P113" s="40"/>
      <c r="Q113" s="40"/>
      <c r="R113" s="40"/>
      <c r="S113" s="40"/>
      <c r="T113" s="40"/>
      <c r="U113" s="40"/>
      <c r="V113" s="40"/>
      <c r="W113" s="40"/>
      <c r="X113" s="40"/>
      <c r="Y113" s="40"/>
      <c r="Z113" s="41"/>
      <c r="AA113" s="28"/>
    </row>
    <row r="114" spans="1:29">
      <c r="A114" s="26"/>
      <c r="L114" s="38"/>
      <c r="M114" s="38"/>
      <c r="N114" s="38"/>
      <c r="O114" s="38"/>
      <c r="P114" s="38"/>
      <c r="Q114" s="38"/>
      <c r="R114" s="38"/>
      <c r="S114" s="38"/>
      <c r="T114" s="38"/>
      <c r="U114" s="38"/>
      <c r="V114" s="38"/>
      <c r="W114" s="38"/>
      <c r="X114" s="38"/>
      <c r="Y114" s="38"/>
      <c r="Z114" s="38"/>
      <c r="AA114" s="28"/>
    </row>
    <row r="115" spans="1:29">
      <c r="A115" s="26"/>
      <c r="C115" s="35" t="s">
        <v>31</v>
      </c>
      <c r="D115" s="27" t="s">
        <v>178</v>
      </c>
      <c r="AA115" s="28"/>
    </row>
    <row r="116" spans="1:29">
      <c r="A116" s="26"/>
      <c r="C116" s="319" t="s">
        <v>35</v>
      </c>
      <c r="D116" s="319"/>
      <c r="E116" s="319"/>
      <c r="F116" s="319"/>
      <c r="G116" s="332" t="s">
        <v>336</v>
      </c>
      <c r="H116" s="333"/>
      <c r="I116" s="333"/>
      <c r="J116" s="333"/>
      <c r="K116" s="333"/>
      <c r="L116" s="333"/>
      <c r="M116" s="333"/>
      <c r="N116" s="333"/>
      <c r="O116" s="333"/>
      <c r="P116" s="333"/>
      <c r="Q116" s="333"/>
      <c r="R116" s="333"/>
      <c r="S116" s="333"/>
      <c r="T116" s="333"/>
      <c r="U116" s="333"/>
      <c r="V116" s="333"/>
      <c r="W116" s="333"/>
      <c r="X116" s="333"/>
      <c r="Y116" s="333"/>
      <c r="Z116" s="333"/>
      <c r="AA116" s="28"/>
    </row>
    <row r="117" spans="1:29" ht="110.45" customHeight="1">
      <c r="A117" s="26"/>
      <c r="C117" s="340" t="s">
        <v>17</v>
      </c>
      <c r="D117" s="341"/>
      <c r="E117" s="341"/>
      <c r="F117" s="342"/>
      <c r="G117" s="332" t="s">
        <v>493</v>
      </c>
      <c r="H117" s="333"/>
      <c r="I117" s="333"/>
      <c r="J117" s="333"/>
      <c r="K117" s="333"/>
      <c r="L117" s="333"/>
      <c r="M117" s="333"/>
      <c r="N117" s="333"/>
      <c r="O117" s="333"/>
      <c r="P117" s="333"/>
      <c r="Q117" s="333"/>
      <c r="R117" s="333"/>
      <c r="S117" s="333"/>
      <c r="T117" s="333"/>
      <c r="U117" s="333"/>
      <c r="V117" s="333"/>
      <c r="W117" s="333"/>
      <c r="X117" s="333"/>
      <c r="Y117" s="333"/>
      <c r="Z117" s="333"/>
      <c r="AA117" s="28"/>
    </row>
    <row r="118" spans="1:29">
      <c r="A118" s="26"/>
      <c r="C118" s="319" t="s">
        <v>463</v>
      </c>
      <c r="D118" s="319"/>
      <c r="E118" s="319"/>
      <c r="F118" s="319"/>
      <c r="G118" s="332" t="s">
        <v>1045</v>
      </c>
      <c r="H118" s="333"/>
      <c r="I118" s="333"/>
      <c r="J118" s="333"/>
      <c r="K118" s="333"/>
      <c r="L118" s="333"/>
      <c r="M118" s="333"/>
      <c r="N118" s="333"/>
      <c r="O118" s="333"/>
      <c r="P118" s="333"/>
      <c r="Q118" s="333"/>
      <c r="R118" s="333"/>
      <c r="S118" s="333"/>
      <c r="T118" s="333"/>
      <c r="U118" s="333"/>
      <c r="V118" s="333"/>
      <c r="W118" s="333"/>
      <c r="X118" s="333"/>
      <c r="Y118" s="333"/>
      <c r="Z118" s="333"/>
      <c r="AA118" s="28"/>
    </row>
    <row r="119" spans="1:29">
      <c r="A119" s="26"/>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28"/>
      <c r="AC119" s="27" t="e">
        <f>""""&amp;#REF!&amp;""": ["</f>
        <v>#REF!</v>
      </c>
    </row>
    <row r="120" spans="1:29">
      <c r="A120" s="26"/>
      <c r="C120" s="53" t="s">
        <v>69</v>
      </c>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28"/>
      <c r="AC120" s="27" t="e">
        <f>""""&amp;#REF!&amp;""": ["</f>
        <v>#REF!</v>
      </c>
    </row>
    <row r="121" spans="1:29">
      <c r="A121" s="26"/>
      <c r="C121" s="337" t="s">
        <v>7</v>
      </c>
      <c r="D121" s="337"/>
      <c r="E121" s="337" t="s">
        <v>9</v>
      </c>
      <c r="F121" s="337"/>
      <c r="G121" s="337"/>
      <c r="H121" s="337"/>
      <c r="I121" s="337"/>
      <c r="J121" s="343" t="s">
        <v>18</v>
      </c>
      <c r="K121" s="344"/>
      <c r="L121" s="344"/>
      <c r="M121" s="344"/>
      <c r="N121" s="344"/>
      <c r="O121" s="344"/>
      <c r="P121" s="344"/>
      <c r="Q121" s="344"/>
      <c r="R121" s="344"/>
      <c r="S121" s="344"/>
      <c r="T121" s="344"/>
      <c r="U121" s="344"/>
      <c r="V121" s="344"/>
      <c r="W121" s="344"/>
      <c r="X121" s="344"/>
      <c r="Y121" s="344"/>
      <c r="Z121" s="345"/>
      <c r="AA121" s="28"/>
      <c r="AC121" s="27" t="str">
        <f>""""&amp;J219&amp;""": ["</f>
        <v>"": [</v>
      </c>
    </row>
    <row r="122" spans="1:29">
      <c r="A122" s="26"/>
      <c r="C122" s="334">
        <v>1</v>
      </c>
      <c r="D122" s="334"/>
      <c r="E122" s="333" t="s">
        <v>196</v>
      </c>
      <c r="F122" s="333"/>
      <c r="G122" s="333"/>
      <c r="H122" s="333"/>
      <c r="I122" s="333"/>
      <c r="J122" s="39"/>
      <c r="K122" s="40"/>
      <c r="L122" s="40"/>
      <c r="M122" s="40"/>
      <c r="N122" s="40"/>
      <c r="O122" s="40"/>
      <c r="P122" s="40"/>
      <c r="Q122" s="40"/>
      <c r="R122" s="40"/>
      <c r="S122" s="40"/>
      <c r="T122" s="40"/>
      <c r="U122" s="40"/>
      <c r="V122" s="40"/>
      <c r="W122" s="40"/>
      <c r="X122" s="40"/>
      <c r="Y122" s="40"/>
      <c r="Z122" s="41"/>
      <c r="AA122" s="28"/>
      <c r="AC122" s="27" t="str">
        <f t="shared" ref="AC122" si="15">""""&amp;J233&amp;""":""example"&amp;J233&amp;""","</f>
        <v>"6.見積日付":"example6.見積日付",</v>
      </c>
    </row>
    <row r="123" spans="1:29">
      <c r="A123" s="26"/>
      <c r="C123" s="334">
        <v>2</v>
      </c>
      <c r="D123" s="334"/>
      <c r="E123" s="39"/>
      <c r="F123" s="40" t="s">
        <v>179</v>
      </c>
      <c r="G123" s="40"/>
      <c r="H123" s="40"/>
      <c r="I123" s="41"/>
      <c r="J123" s="39" t="s">
        <v>337</v>
      </c>
      <c r="K123" s="40"/>
      <c r="L123" s="40"/>
      <c r="M123" s="40"/>
      <c r="N123" s="40"/>
      <c r="O123" s="40"/>
      <c r="P123" s="40"/>
      <c r="Q123" s="40"/>
      <c r="R123" s="40"/>
      <c r="S123" s="40"/>
      <c r="T123" s="40"/>
      <c r="U123" s="40"/>
      <c r="V123" s="40"/>
      <c r="W123" s="40"/>
      <c r="X123" s="40"/>
      <c r="Y123" s="40"/>
      <c r="Z123" s="41"/>
      <c r="AA123" s="28"/>
      <c r="AC123" s="27" t="str">
        <f>""""&amp;J146&amp;""":""example"&amp;J146&amp;""","</f>
        <v>"4.現場棟明細.棟番号工事名":"example4.現場棟明細.棟番号工事名",</v>
      </c>
    </row>
    <row r="124" spans="1:29">
      <c r="A124" s="26"/>
      <c r="C124" s="334">
        <v>3</v>
      </c>
      <c r="D124" s="334"/>
      <c r="E124" s="50"/>
      <c r="F124" s="40" t="s">
        <v>180</v>
      </c>
      <c r="G124" s="40"/>
      <c r="H124" s="40"/>
      <c r="I124" s="41"/>
      <c r="J124" s="39" t="s">
        <v>338</v>
      </c>
      <c r="K124" s="40"/>
      <c r="L124" s="40"/>
      <c r="M124" s="40"/>
      <c r="N124" s="40"/>
      <c r="O124" s="40"/>
      <c r="P124" s="40"/>
      <c r="Q124" s="40"/>
      <c r="R124" s="40"/>
      <c r="S124" s="40"/>
      <c r="T124" s="40"/>
      <c r="U124" s="40"/>
      <c r="V124" s="40"/>
      <c r="W124" s="40"/>
      <c r="X124" s="40"/>
      <c r="Y124" s="40"/>
      <c r="Z124" s="41"/>
      <c r="AA124" s="28"/>
      <c r="AC124" s="27" t="e">
        <f>""""&amp;#REF!&amp;""":""example"&amp;#REF!&amp;""","</f>
        <v>#REF!</v>
      </c>
    </row>
    <row r="125" spans="1:29">
      <c r="A125" s="26"/>
      <c r="C125" s="334">
        <v>4</v>
      </c>
      <c r="D125" s="334"/>
      <c r="E125" s="50"/>
      <c r="F125" s="40" t="s">
        <v>190</v>
      </c>
      <c r="G125" s="40"/>
      <c r="H125" s="40"/>
      <c r="I125" s="41"/>
      <c r="J125" s="39" t="s">
        <v>490</v>
      </c>
      <c r="K125" s="40"/>
      <c r="L125" s="40"/>
      <c r="M125" s="40"/>
      <c r="N125" s="40"/>
      <c r="O125" s="40"/>
      <c r="P125" s="40"/>
      <c r="Q125" s="40"/>
      <c r="R125" s="40"/>
      <c r="S125" s="40"/>
      <c r="T125" s="40"/>
      <c r="U125" s="40"/>
      <c r="V125" s="40"/>
      <c r="W125" s="40"/>
      <c r="X125" s="40"/>
      <c r="Y125" s="40"/>
      <c r="Z125" s="41"/>
      <c r="AA125" s="28"/>
      <c r="AC125" s="27" t="e">
        <f>""""&amp;#REF!&amp;""":""example"&amp;#REF!&amp;""","</f>
        <v>#REF!</v>
      </c>
    </row>
    <row r="126" spans="1:29">
      <c r="A126" s="26"/>
      <c r="C126" s="334">
        <v>5</v>
      </c>
      <c r="D126" s="334"/>
      <c r="E126" s="50"/>
      <c r="F126" s="40" t="s">
        <v>184</v>
      </c>
      <c r="G126" s="40"/>
      <c r="H126" s="40"/>
      <c r="I126" s="41"/>
      <c r="J126" s="39" t="s">
        <v>339</v>
      </c>
      <c r="K126" s="40"/>
      <c r="L126" s="40"/>
      <c r="M126" s="40"/>
      <c r="N126" s="40"/>
      <c r="O126" s="40"/>
      <c r="P126" s="40"/>
      <c r="Q126" s="40"/>
      <c r="R126" s="40"/>
      <c r="S126" s="40"/>
      <c r="T126" s="40"/>
      <c r="U126" s="40"/>
      <c r="V126" s="40"/>
      <c r="W126" s="40"/>
      <c r="X126" s="40"/>
      <c r="Y126" s="40"/>
      <c r="Z126" s="41"/>
      <c r="AA126" s="28"/>
      <c r="AC126" s="27" t="e">
        <f>""""&amp;#REF!&amp;""":""example"&amp;#REF!&amp;""","</f>
        <v>#REF!</v>
      </c>
    </row>
    <row r="127" spans="1:29">
      <c r="A127" s="26"/>
      <c r="C127" s="334">
        <v>6</v>
      </c>
      <c r="D127" s="334"/>
      <c r="E127" s="50"/>
      <c r="F127" s="40" t="s">
        <v>186</v>
      </c>
      <c r="G127" s="40"/>
      <c r="H127" s="40"/>
      <c r="I127" s="41"/>
      <c r="J127" s="39" t="s">
        <v>491</v>
      </c>
      <c r="K127" s="40"/>
      <c r="L127" s="40"/>
      <c r="M127" s="40"/>
      <c r="N127" s="40"/>
      <c r="O127" s="40"/>
      <c r="P127" s="40"/>
      <c r="Q127" s="40"/>
      <c r="R127" s="40"/>
      <c r="S127" s="40"/>
      <c r="T127" s="40"/>
      <c r="U127" s="40"/>
      <c r="V127" s="40"/>
      <c r="W127" s="40"/>
      <c r="X127" s="40"/>
      <c r="Y127" s="40"/>
      <c r="Z127" s="41"/>
      <c r="AA127" s="28"/>
      <c r="AC127" s="27" t="e">
        <f>""""&amp;#REF!&amp;""":""example"&amp;#REF!&amp;"""},"</f>
        <v>#REF!</v>
      </c>
    </row>
    <row r="128" spans="1:29">
      <c r="A128" s="26"/>
      <c r="C128" s="334">
        <v>7</v>
      </c>
      <c r="D128" s="334"/>
      <c r="E128" s="50"/>
      <c r="F128" s="40" t="s">
        <v>181</v>
      </c>
      <c r="G128" s="40"/>
      <c r="H128" s="40"/>
      <c r="I128" s="41"/>
      <c r="J128" s="39" t="s">
        <v>340</v>
      </c>
      <c r="K128" s="40"/>
      <c r="L128" s="40"/>
      <c r="M128" s="40"/>
      <c r="N128" s="40"/>
      <c r="O128" s="40"/>
      <c r="P128" s="40"/>
      <c r="Q128" s="40"/>
      <c r="R128" s="40"/>
      <c r="S128" s="40"/>
      <c r="T128" s="40"/>
      <c r="U128" s="40"/>
      <c r="V128" s="40"/>
      <c r="W128" s="40"/>
      <c r="X128" s="40"/>
      <c r="Y128" s="40"/>
      <c r="Z128" s="41"/>
      <c r="AA128" s="28"/>
      <c r="AC128" s="27" t="e">
        <f>""""&amp;#REF!&amp;""":""example"&amp;#REF!&amp;"""},"</f>
        <v>#REF!</v>
      </c>
    </row>
    <row r="129" spans="1:32">
      <c r="A129" s="26"/>
      <c r="C129" s="334">
        <v>8</v>
      </c>
      <c r="D129" s="334"/>
      <c r="E129" s="50"/>
      <c r="F129" s="40" t="s">
        <v>182</v>
      </c>
      <c r="G129" s="40"/>
      <c r="H129" s="40"/>
      <c r="I129" s="41"/>
      <c r="J129" s="39" t="s">
        <v>341</v>
      </c>
      <c r="K129" s="40"/>
      <c r="L129" s="40"/>
      <c r="M129" s="40"/>
      <c r="N129" s="40"/>
      <c r="O129" s="40"/>
      <c r="P129" s="40"/>
      <c r="Q129" s="40"/>
      <c r="R129" s="40"/>
      <c r="S129" s="40"/>
      <c r="T129" s="40"/>
      <c r="U129" s="40"/>
      <c r="V129" s="40"/>
      <c r="W129" s="40"/>
      <c r="X129" s="40"/>
      <c r="Y129" s="40"/>
      <c r="Z129" s="41"/>
      <c r="AA129" s="28"/>
      <c r="AC129" s="27" t="e">
        <f>""""&amp;#REF!&amp;""":""example"&amp;#REF!&amp;"""},"</f>
        <v>#REF!</v>
      </c>
    </row>
    <row r="130" spans="1:32">
      <c r="A130" s="26"/>
      <c r="C130" s="334">
        <v>9</v>
      </c>
      <c r="D130" s="334"/>
      <c r="E130" s="39"/>
      <c r="F130" s="40" t="s">
        <v>183</v>
      </c>
      <c r="G130" s="40"/>
      <c r="H130" s="40"/>
      <c r="I130" s="41"/>
      <c r="J130" s="39" t="s">
        <v>342</v>
      </c>
      <c r="K130" s="40"/>
      <c r="L130" s="40"/>
      <c r="M130" s="40"/>
      <c r="N130" s="40"/>
      <c r="O130" s="40"/>
      <c r="P130" s="40"/>
      <c r="Q130" s="40"/>
      <c r="R130" s="40"/>
      <c r="S130" s="40"/>
      <c r="T130" s="40"/>
      <c r="U130" s="40"/>
      <c r="V130" s="40"/>
      <c r="W130" s="40"/>
      <c r="X130" s="40"/>
      <c r="Y130" s="40"/>
      <c r="Z130" s="41"/>
      <c r="AA130" s="28"/>
      <c r="AC130" s="27" t="e">
        <f>""""&amp;#REF!&amp;""":""example"&amp;#REF!&amp;"""},"</f>
        <v>#REF!</v>
      </c>
    </row>
    <row r="131" spans="1:32">
      <c r="A131" s="26"/>
      <c r="C131" s="334">
        <v>10</v>
      </c>
      <c r="D131" s="334"/>
      <c r="E131" s="50"/>
      <c r="F131" s="40" t="s">
        <v>97</v>
      </c>
      <c r="G131" s="40"/>
      <c r="H131" s="40"/>
      <c r="I131" s="41"/>
      <c r="J131" s="39" t="s">
        <v>492</v>
      </c>
      <c r="K131" s="40"/>
      <c r="L131" s="40"/>
      <c r="M131" s="40"/>
      <c r="N131" s="40"/>
      <c r="O131" s="40"/>
      <c r="P131" s="40"/>
      <c r="Q131" s="40"/>
      <c r="R131" s="40"/>
      <c r="S131" s="40"/>
      <c r="T131" s="40"/>
      <c r="U131" s="40"/>
      <c r="V131" s="40"/>
      <c r="W131" s="40"/>
      <c r="X131" s="40"/>
      <c r="Y131" s="40"/>
      <c r="Z131" s="41"/>
      <c r="AA131" s="28"/>
    </row>
    <row r="132" spans="1:32">
      <c r="A132" s="26"/>
      <c r="C132" s="334">
        <v>11</v>
      </c>
      <c r="D132" s="334"/>
      <c r="E132" s="50"/>
      <c r="F132" s="40" t="s">
        <v>187</v>
      </c>
      <c r="G132" s="40"/>
      <c r="H132" s="40"/>
      <c r="I132" s="41"/>
      <c r="J132" s="39" t="s">
        <v>343</v>
      </c>
      <c r="K132" s="40"/>
      <c r="L132" s="40"/>
      <c r="M132" s="40"/>
      <c r="N132" s="40"/>
      <c r="O132" s="40"/>
      <c r="P132" s="40"/>
      <c r="Q132" s="40"/>
      <c r="R132" s="40"/>
      <c r="S132" s="40"/>
      <c r="T132" s="40"/>
      <c r="U132" s="40"/>
      <c r="V132" s="40"/>
      <c r="W132" s="40"/>
      <c r="X132" s="40"/>
      <c r="Y132" s="40"/>
      <c r="Z132" s="41"/>
      <c r="AA132" s="28"/>
    </row>
    <row r="133" spans="1:32">
      <c r="A133" s="26"/>
      <c r="C133" s="334">
        <v>12</v>
      </c>
      <c r="D133" s="334"/>
      <c r="E133" s="50"/>
      <c r="F133" s="40" t="s">
        <v>188</v>
      </c>
      <c r="G133" s="40"/>
      <c r="H133" s="40"/>
      <c r="I133" s="41"/>
      <c r="J133" s="39" t="s">
        <v>344</v>
      </c>
      <c r="K133" s="40"/>
      <c r="L133" s="40"/>
      <c r="M133" s="40"/>
      <c r="N133" s="40"/>
      <c r="O133" s="40"/>
      <c r="P133" s="40"/>
      <c r="Q133" s="40"/>
      <c r="R133" s="40"/>
      <c r="S133" s="40"/>
      <c r="T133" s="40"/>
      <c r="U133" s="40"/>
      <c r="V133" s="40"/>
      <c r="W133" s="40"/>
      <c r="X133" s="40"/>
      <c r="Y133" s="40"/>
      <c r="Z133" s="41"/>
      <c r="AA133" s="28"/>
      <c r="AC133" s="27" t="str">
        <f t="shared" ref="AC133" si="16">""""&amp;J243&amp;""":""example"&amp;J243&amp;""","</f>
        <v>"6.添付ファイル情報.先行工事作業処理区分":"example6.添付ファイル情報.先行工事作業処理区分",</v>
      </c>
    </row>
    <row r="134" spans="1:32">
      <c r="A134" s="26"/>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28"/>
      <c r="AC134" s="27" t="str">
        <f>""""&amp;J159&amp;""":""example"&amp;J159&amp;""","</f>
        <v>"4.案件要望明細.要望回答内容":"example4.案件要望明細.要望回答内容",</v>
      </c>
    </row>
    <row r="135" spans="1:32" ht="36" customHeight="1">
      <c r="A135" s="26"/>
      <c r="C135" s="35" t="s">
        <v>75</v>
      </c>
      <c r="D135" s="27" t="s">
        <v>189</v>
      </c>
      <c r="AA135" s="28"/>
      <c r="AC135" s="27" t="e">
        <f>""""&amp;#REF!&amp;""":""example"&amp;#REF!&amp;""","</f>
        <v>#REF!</v>
      </c>
    </row>
    <row r="136" spans="1:32">
      <c r="A136" s="26"/>
      <c r="C136" s="319" t="s">
        <v>35</v>
      </c>
      <c r="D136" s="319"/>
      <c r="E136" s="319"/>
      <c r="F136" s="319"/>
      <c r="G136" s="332" t="s">
        <v>1041</v>
      </c>
      <c r="H136" s="333"/>
      <c r="I136" s="333"/>
      <c r="J136" s="333"/>
      <c r="K136" s="333"/>
      <c r="L136" s="333"/>
      <c r="M136" s="333"/>
      <c r="N136" s="333"/>
      <c r="O136" s="333"/>
      <c r="P136" s="333"/>
      <c r="Q136" s="333"/>
      <c r="R136" s="333"/>
      <c r="S136" s="333"/>
      <c r="T136" s="333"/>
      <c r="U136" s="333"/>
      <c r="V136" s="333"/>
      <c r="W136" s="333"/>
      <c r="X136" s="333"/>
      <c r="Y136" s="333"/>
      <c r="Z136" s="333"/>
      <c r="AA136" s="28"/>
      <c r="AC136" s="27" t="e">
        <f>""""&amp;#REF!&amp;""":""example"&amp;#REF!&amp;""","</f>
        <v>#REF!</v>
      </c>
    </row>
    <row r="137" spans="1:32">
      <c r="A137" s="26"/>
      <c r="C137" s="319" t="s">
        <v>1040</v>
      </c>
      <c r="D137" s="319"/>
      <c r="E137" s="319"/>
      <c r="F137" s="319"/>
      <c r="G137" s="332" t="s">
        <v>1042</v>
      </c>
      <c r="H137" s="333"/>
      <c r="I137" s="333"/>
      <c r="J137" s="333"/>
      <c r="K137" s="333"/>
      <c r="L137" s="333"/>
      <c r="M137" s="333"/>
      <c r="N137" s="333"/>
      <c r="O137" s="333"/>
      <c r="P137" s="333"/>
      <c r="Q137" s="333"/>
      <c r="R137" s="333"/>
      <c r="S137" s="333"/>
      <c r="T137" s="333"/>
      <c r="U137" s="333"/>
      <c r="V137" s="333"/>
      <c r="W137" s="333"/>
      <c r="X137" s="333"/>
      <c r="Y137" s="333"/>
      <c r="Z137" s="333"/>
      <c r="AA137" s="28"/>
      <c r="AC137" s="27" t="e">
        <f>""""&amp;#REF!&amp;""":""example"&amp;#REF!&amp;""","</f>
        <v>#REF!</v>
      </c>
    </row>
    <row r="138" spans="1:32">
      <c r="A138" s="26"/>
      <c r="C138" s="319" t="s">
        <v>463</v>
      </c>
      <c r="D138" s="319"/>
      <c r="E138" s="319"/>
      <c r="F138" s="319"/>
      <c r="G138" s="332" t="s">
        <v>1044</v>
      </c>
      <c r="H138" s="333"/>
      <c r="I138" s="333"/>
      <c r="J138" s="333"/>
      <c r="K138" s="333"/>
      <c r="L138" s="333"/>
      <c r="M138" s="333"/>
      <c r="N138" s="333"/>
      <c r="O138" s="333"/>
      <c r="P138" s="333"/>
      <c r="Q138" s="333"/>
      <c r="R138" s="333"/>
      <c r="S138" s="333"/>
      <c r="T138" s="333"/>
      <c r="U138" s="333"/>
      <c r="V138" s="333"/>
      <c r="W138" s="333"/>
      <c r="X138" s="333"/>
      <c r="Y138" s="333"/>
      <c r="Z138" s="333"/>
      <c r="AA138" s="28"/>
      <c r="AC138" s="27" t="e">
        <f>""""&amp;#REF!&amp;""":""example"&amp;#REF!&amp;""","</f>
        <v>#REF!</v>
      </c>
      <c r="AF138" s="27" t="s">
        <v>1043</v>
      </c>
    </row>
    <row r="139" spans="1:32">
      <c r="A139" s="26"/>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28"/>
      <c r="AC139" s="27" t="e">
        <f>""""&amp;#REF!&amp;""":""example"&amp;#REF!&amp;""","</f>
        <v>#REF!</v>
      </c>
    </row>
    <row r="140" spans="1:32">
      <c r="A140" s="26"/>
      <c r="C140" s="53" t="s">
        <v>193</v>
      </c>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28"/>
      <c r="AC140" s="27" t="e">
        <f>""""&amp;#REF!&amp;""":""example"&amp;#REF!&amp;"""},"</f>
        <v>#REF!</v>
      </c>
    </row>
    <row r="141" spans="1:32">
      <c r="A141" s="26"/>
      <c r="C141" s="337" t="s">
        <v>7</v>
      </c>
      <c r="D141" s="337"/>
      <c r="E141" s="337" t="s">
        <v>9</v>
      </c>
      <c r="F141" s="337"/>
      <c r="G141" s="337"/>
      <c r="H141" s="337"/>
      <c r="I141" s="337"/>
      <c r="J141" s="343" t="s">
        <v>18</v>
      </c>
      <c r="K141" s="344"/>
      <c r="L141" s="344"/>
      <c r="M141" s="344"/>
      <c r="N141" s="344"/>
      <c r="O141" s="344"/>
      <c r="P141" s="344"/>
      <c r="Q141" s="344"/>
      <c r="R141" s="344"/>
      <c r="S141" s="344"/>
      <c r="T141" s="344"/>
      <c r="U141" s="344"/>
      <c r="V141" s="344"/>
      <c r="W141" s="344"/>
      <c r="X141" s="344"/>
      <c r="Y141" s="344"/>
      <c r="Z141" s="345"/>
      <c r="AA141" s="28"/>
      <c r="AC141" s="27" t="e">
        <f>""""&amp;#REF!&amp;""":""example"&amp;#REF!&amp;"""},"</f>
        <v>#REF!</v>
      </c>
    </row>
    <row r="142" spans="1:32">
      <c r="A142" s="26"/>
      <c r="C142" s="334">
        <v>1</v>
      </c>
      <c r="D142" s="334"/>
      <c r="E142" s="333" t="s">
        <v>194</v>
      </c>
      <c r="F142" s="333"/>
      <c r="G142" s="333"/>
      <c r="H142" s="333"/>
      <c r="I142" s="333"/>
      <c r="J142" s="39"/>
      <c r="K142" s="40"/>
      <c r="L142" s="40"/>
      <c r="M142" s="40"/>
      <c r="N142" s="40"/>
      <c r="O142" s="40"/>
      <c r="P142" s="40"/>
      <c r="Q142" s="40"/>
      <c r="R142" s="40"/>
      <c r="S142" s="40"/>
      <c r="T142" s="40"/>
      <c r="U142" s="40"/>
      <c r="V142" s="40"/>
      <c r="W142" s="40"/>
      <c r="X142" s="40"/>
      <c r="Y142" s="40"/>
      <c r="Z142" s="41"/>
      <c r="AA142" s="28"/>
      <c r="AC142" s="27" t="e">
        <f>""""&amp;#REF!&amp;""":""example"&amp;#REF!&amp;"""},"</f>
        <v>#REF!</v>
      </c>
    </row>
    <row r="143" spans="1:32">
      <c r="A143" s="26"/>
      <c r="C143" s="334">
        <v>2</v>
      </c>
      <c r="D143" s="334"/>
      <c r="E143" s="39"/>
      <c r="F143" s="40" t="s">
        <v>179</v>
      </c>
      <c r="G143" s="40"/>
      <c r="H143" s="40"/>
      <c r="I143" s="41"/>
      <c r="J143" s="39" t="s">
        <v>345</v>
      </c>
      <c r="K143" s="40"/>
      <c r="L143" s="40"/>
      <c r="M143" s="40"/>
      <c r="N143" s="40"/>
      <c r="O143" s="40"/>
      <c r="P143" s="40"/>
      <c r="Q143" s="40"/>
      <c r="R143" s="40"/>
      <c r="S143" s="40"/>
      <c r="T143" s="40"/>
      <c r="U143" s="40"/>
      <c r="V143" s="40"/>
      <c r="W143" s="40"/>
      <c r="X143" s="40"/>
      <c r="Y143" s="40"/>
      <c r="Z143" s="41"/>
      <c r="AA143" s="28"/>
      <c r="AC143" s="27" t="e">
        <f>""""&amp;#REF!&amp;""":""example"&amp;#REF!&amp;"""},"</f>
        <v>#REF!</v>
      </c>
    </row>
    <row r="144" spans="1:32">
      <c r="A144" s="26"/>
      <c r="C144" s="334">
        <v>3</v>
      </c>
      <c r="D144" s="334"/>
      <c r="E144" s="50"/>
      <c r="F144" s="40" t="s">
        <v>180</v>
      </c>
      <c r="G144" s="40"/>
      <c r="H144" s="40"/>
      <c r="I144" s="41"/>
      <c r="J144" s="39" t="s">
        <v>346</v>
      </c>
      <c r="K144" s="40"/>
      <c r="L144" s="40"/>
      <c r="M144" s="40"/>
      <c r="N144" s="40"/>
      <c r="O144" s="40"/>
      <c r="P144" s="40"/>
      <c r="Q144" s="40"/>
      <c r="R144" s="40"/>
      <c r="S144" s="40"/>
      <c r="T144" s="40"/>
      <c r="U144" s="40"/>
      <c r="V144" s="40"/>
      <c r="W144" s="40"/>
      <c r="X144" s="40"/>
      <c r="Y144" s="40"/>
      <c r="Z144" s="41"/>
      <c r="AA144" s="28"/>
    </row>
    <row r="145" spans="1:32">
      <c r="A145" s="26"/>
      <c r="C145" s="334">
        <v>4</v>
      </c>
      <c r="D145" s="334"/>
      <c r="E145" s="50"/>
      <c r="F145" s="40" t="s">
        <v>190</v>
      </c>
      <c r="G145" s="40"/>
      <c r="H145" s="40"/>
      <c r="I145" s="41"/>
      <c r="J145" s="39" t="s">
        <v>347</v>
      </c>
      <c r="K145" s="40"/>
      <c r="L145" s="40"/>
      <c r="M145" s="40"/>
      <c r="N145" s="40"/>
      <c r="O145" s="40"/>
      <c r="P145" s="40"/>
      <c r="Q145" s="40"/>
      <c r="R145" s="40"/>
      <c r="S145" s="40"/>
      <c r="T145" s="40"/>
      <c r="U145" s="40"/>
      <c r="V145" s="40"/>
      <c r="W145" s="40"/>
      <c r="X145" s="40"/>
      <c r="Y145" s="40"/>
      <c r="Z145" s="41"/>
      <c r="AA145" s="28"/>
    </row>
    <row r="146" spans="1:32">
      <c r="A146" s="26"/>
      <c r="C146" s="334">
        <v>5</v>
      </c>
      <c r="D146" s="334"/>
      <c r="E146" s="50"/>
      <c r="F146" s="54" t="s">
        <v>191</v>
      </c>
      <c r="G146" s="40"/>
      <c r="H146" s="40"/>
      <c r="I146" s="41"/>
      <c r="J146" s="39" t="s">
        <v>348</v>
      </c>
      <c r="K146" s="40"/>
      <c r="L146" s="40"/>
      <c r="M146" s="40"/>
      <c r="N146" s="40"/>
      <c r="O146" s="40"/>
      <c r="P146" s="40"/>
      <c r="Q146" s="40"/>
      <c r="R146" s="40"/>
      <c r="S146" s="40"/>
      <c r="T146" s="40"/>
      <c r="U146" s="40"/>
      <c r="V146" s="40"/>
      <c r="W146" s="40"/>
      <c r="X146" s="40"/>
      <c r="Y146" s="40"/>
      <c r="Z146" s="41"/>
      <c r="AA146" s="28"/>
    </row>
    <row r="147" spans="1:32">
      <c r="A147" s="26"/>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28"/>
      <c r="AC147" s="27" t="str">
        <f t="shared" ref="AC147" si="17">""""&amp;J243&amp;""":""example"&amp;J243&amp;""","</f>
        <v>"6.添付ファイル情報.先行工事作業処理区分":"example6.添付ファイル情報.先行工事作業処理区分",</v>
      </c>
    </row>
    <row r="148" spans="1:32">
      <c r="A148" s="26"/>
      <c r="C148" s="35" t="s">
        <v>200</v>
      </c>
      <c r="D148" s="27" t="s">
        <v>197</v>
      </c>
      <c r="AA148" s="28"/>
      <c r="AC148" s="27" t="e">
        <f>""""&amp;#REF!&amp;""":""example"&amp;#REF!&amp;""","</f>
        <v>#REF!</v>
      </c>
    </row>
    <row r="149" spans="1:32" ht="36" customHeight="1">
      <c r="A149" s="26"/>
      <c r="C149" s="319" t="s">
        <v>35</v>
      </c>
      <c r="D149" s="319"/>
      <c r="E149" s="319"/>
      <c r="F149" s="319"/>
      <c r="G149" s="332" t="s">
        <v>349</v>
      </c>
      <c r="H149" s="333"/>
      <c r="I149" s="333"/>
      <c r="J149" s="333"/>
      <c r="K149" s="333"/>
      <c r="L149" s="333"/>
      <c r="M149" s="333"/>
      <c r="N149" s="333"/>
      <c r="O149" s="333"/>
      <c r="P149" s="333"/>
      <c r="Q149" s="333"/>
      <c r="R149" s="333"/>
      <c r="S149" s="333"/>
      <c r="T149" s="333"/>
      <c r="U149" s="333"/>
      <c r="V149" s="333"/>
      <c r="W149" s="333"/>
      <c r="X149" s="333"/>
      <c r="Y149" s="333"/>
      <c r="Z149" s="333"/>
      <c r="AA149" s="28"/>
      <c r="AC149" s="27" t="e">
        <f>""""&amp;#REF!&amp;""":""example"&amp;#REF!&amp;""","</f>
        <v>#REF!</v>
      </c>
    </row>
    <row r="150" spans="1:32">
      <c r="A150" s="26"/>
      <c r="C150" s="319" t="s">
        <v>463</v>
      </c>
      <c r="D150" s="319"/>
      <c r="E150" s="319"/>
      <c r="F150" s="319"/>
      <c r="G150" s="332" t="s">
        <v>1046</v>
      </c>
      <c r="H150" s="333"/>
      <c r="I150" s="333"/>
      <c r="J150" s="333"/>
      <c r="K150" s="333"/>
      <c r="L150" s="333"/>
      <c r="M150" s="333"/>
      <c r="N150" s="333"/>
      <c r="O150" s="333"/>
      <c r="P150" s="333"/>
      <c r="Q150" s="333"/>
      <c r="R150" s="333"/>
      <c r="S150" s="333"/>
      <c r="T150" s="333"/>
      <c r="U150" s="333"/>
      <c r="V150" s="333"/>
      <c r="W150" s="333"/>
      <c r="X150" s="333"/>
      <c r="Y150" s="333"/>
      <c r="Z150" s="333"/>
      <c r="AA150" s="28"/>
      <c r="AC150" s="27" t="e">
        <f>""""&amp;#REF!&amp;""":""example"&amp;#REF!&amp;""","</f>
        <v>#REF!</v>
      </c>
      <c r="AF150" s="27" t="s">
        <v>1043</v>
      </c>
    </row>
    <row r="151" spans="1:32">
      <c r="A151" s="26"/>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28"/>
      <c r="AC151" s="27" t="e">
        <f>""""&amp;#REF!&amp;""":""example"&amp;#REF!&amp;"""},"</f>
        <v>#REF!</v>
      </c>
    </row>
    <row r="152" spans="1:32">
      <c r="A152" s="26"/>
      <c r="C152" s="53" t="s">
        <v>201</v>
      </c>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28"/>
      <c r="AC152" s="27" t="e">
        <f>""""&amp;#REF!&amp;""":""example"&amp;#REF!&amp;""","</f>
        <v>#REF!</v>
      </c>
    </row>
    <row r="153" spans="1:32">
      <c r="A153" s="26"/>
      <c r="C153" s="337" t="s">
        <v>7</v>
      </c>
      <c r="D153" s="337"/>
      <c r="E153" s="337" t="s">
        <v>9</v>
      </c>
      <c r="F153" s="337"/>
      <c r="G153" s="337"/>
      <c r="H153" s="337"/>
      <c r="I153" s="337"/>
      <c r="J153" s="343" t="s">
        <v>18</v>
      </c>
      <c r="K153" s="344"/>
      <c r="L153" s="344"/>
      <c r="M153" s="344"/>
      <c r="N153" s="344"/>
      <c r="O153" s="344"/>
      <c r="P153" s="344"/>
      <c r="Q153" s="344"/>
      <c r="R153" s="344"/>
      <c r="S153" s="344"/>
      <c r="T153" s="344"/>
      <c r="U153" s="344"/>
      <c r="V153" s="344"/>
      <c r="W153" s="344"/>
      <c r="X153" s="344"/>
      <c r="Y153" s="344"/>
      <c r="Z153" s="345"/>
      <c r="AA153" s="28"/>
      <c r="AC153" s="27" t="e">
        <f>""""&amp;#REF!&amp;""":""example"&amp;#REF!&amp;""","</f>
        <v>#REF!</v>
      </c>
    </row>
    <row r="154" spans="1:32">
      <c r="A154" s="26"/>
      <c r="C154" s="334">
        <v>1</v>
      </c>
      <c r="D154" s="334"/>
      <c r="E154" s="333" t="s">
        <v>199</v>
      </c>
      <c r="F154" s="333"/>
      <c r="G154" s="333"/>
      <c r="H154" s="333"/>
      <c r="I154" s="333"/>
      <c r="J154" s="39"/>
      <c r="K154" s="40"/>
      <c r="L154" s="40"/>
      <c r="M154" s="40"/>
      <c r="N154" s="40"/>
      <c r="O154" s="40"/>
      <c r="P154" s="40"/>
      <c r="Q154" s="40"/>
      <c r="R154" s="40"/>
      <c r="S154" s="40"/>
      <c r="T154" s="40"/>
      <c r="U154" s="40"/>
      <c r="V154" s="40"/>
      <c r="W154" s="40"/>
      <c r="X154" s="40"/>
      <c r="Y154" s="40"/>
      <c r="Z154" s="41"/>
      <c r="AA154" s="28"/>
      <c r="AC154" s="27" t="e">
        <f>""""&amp;#REF!&amp;""":""example"&amp;#REF!&amp;"""},"</f>
        <v>#REF!</v>
      </c>
    </row>
    <row r="155" spans="1:32">
      <c r="A155" s="26"/>
      <c r="C155" s="334">
        <v>2</v>
      </c>
      <c r="D155" s="334"/>
      <c r="E155" s="39"/>
      <c r="F155" s="40" t="s">
        <v>179</v>
      </c>
      <c r="G155" s="40"/>
      <c r="H155" s="40"/>
      <c r="I155" s="41"/>
      <c r="J155" s="39" t="s">
        <v>351</v>
      </c>
      <c r="K155" s="40"/>
      <c r="L155" s="40"/>
      <c r="M155" s="40"/>
      <c r="N155" s="40"/>
      <c r="O155" s="40"/>
      <c r="P155" s="40"/>
      <c r="Q155" s="40"/>
      <c r="R155" s="40"/>
      <c r="S155" s="40"/>
      <c r="T155" s="40"/>
      <c r="U155" s="40"/>
      <c r="V155" s="40"/>
      <c r="W155" s="40"/>
      <c r="X155" s="40"/>
      <c r="Y155" s="40"/>
      <c r="Z155" s="41"/>
      <c r="AA155" s="28"/>
      <c r="AC155" s="27" t="e">
        <f>""""&amp;#REF!&amp;""":""example"&amp;#REF!&amp;"""},"</f>
        <v>#REF!</v>
      </c>
    </row>
    <row r="156" spans="1:32">
      <c r="A156" s="26"/>
      <c r="C156" s="334">
        <v>3</v>
      </c>
      <c r="D156" s="334"/>
      <c r="E156" s="50"/>
      <c r="F156" s="40" t="s">
        <v>180</v>
      </c>
      <c r="G156" s="40"/>
      <c r="H156" s="40"/>
      <c r="I156" s="41"/>
      <c r="J156" s="39" t="s">
        <v>352</v>
      </c>
      <c r="K156" s="40"/>
      <c r="L156" s="40"/>
      <c r="M156" s="40"/>
      <c r="N156" s="40"/>
      <c r="O156" s="40"/>
      <c r="P156" s="40"/>
      <c r="Q156" s="40"/>
      <c r="R156" s="40"/>
      <c r="S156" s="40"/>
      <c r="T156" s="40"/>
      <c r="U156" s="40"/>
      <c r="V156" s="40"/>
      <c r="W156" s="40"/>
      <c r="X156" s="40"/>
      <c r="Y156" s="40"/>
      <c r="Z156" s="41"/>
      <c r="AA156" s="28"/>
      <c r="AC156" s="27" t="e">
        <f>""""&amp;#REF!&amp;""":""example"&amp;#REF!&amp;"""},"</f>
        <v>#REF!</v>
      </c>
    </row>
    <row r="157" spans="1:32">
      <c r="A157" s="26"/>
      <c r="C157" s="334">
        <v>4</v>
      </c>
      <c r="D157" s="334"/>
      <c r="E157" s="50"/>
      <c r="F157" s="40" t="s">
        <v>202</v>
      </c>
      <c r="G157" s="40"/>
      <c r="H157" s="40"/>
      <c r="I157" s="41"/>
      <c r="J157" s="39" t="s">
        <v>353</v>
      </c>
      <c r="K157" s="40"/>
      <c r="L157" s="40"/>
      <c r="M157" s="40"/>
      <c r="N157" s="40"/>
      <c r="O157" s="40"/>
      <c r="P157" s="40"/>
      <c r="Q157" s="40"/>
      <c r="R157" s="40"/>
      <c r="S157" s="40"/>
      <c r="T157" s="40"/>
      <c r="U157" s="40"/>
      <c r="V157" s="40"/>
      <c r="W157" s="40"/>
      <c r="X157" s="40"/>
      <c r="Y157" s="40"/>
      <c r="Z157" s="41"/>
      <c r="AA157" s="28"/>
      <c r="AC157" s="27" t="e">
        <f>""""&amp;#REF!&amp;""":""example"&amp;#REF!&amp;"""},"</f>
        <v>#REF!</v>
      </c>
    </row>
    <row r="158" spans="1:32">
      <c r="A158" s="26"/>
      <c r="C158" s="334">
        <v>5</v>
      </c>
      <c r="D158" s="334"/>
      <c r="E158" s="50"/>
      <c r="F158" s="54" t="s">
        <v>203</v>
      </c>
      <c r="G158" s="40"/>
      <c r="H158" s="40"/>
      <c r="I158" s="41"/>
      <c r="J158" s="39" t="s">
        <v>354</v>
      </c>
      <c r="K158" s="40"/>
      <c r="L158" s="40"/>
      <c r="M158" s="40"/>
      <c r="N158" s="40"/>
      <c r="O158" s="40"/>
      <c r="P158" s="40"/>
      <c r="Q158" s="40"/>
      <c r="R158" s="40"/>
      <c r="S158" s="40"/>
      <c r="T158" s="40"/>
      <c r="U158" s="40"/>
      <c r="V158" s="40"/>
      <c r="W158" s="40"/>
      <c r="X158" s="40"/>
      <c r="Y158" s="40"/>
      <c r="Z158" s="41"/>
      <c r="AA158" s="28"/>
    </row>
    <row r="159" spans="1:32">
      <c r="A159" s="26"/>
      <c r="C159" s="334">
        <v>6</v>
      </c>
      <c r="D159" s="334"/>
      <c r="E159" s="50"/>
      <c r="F159" s="54" t="s">
        <v>204</v>
      </c>
      <c r="G159" s="40"/>
      <c r="H159" s="40"/>
      <c r="I159" s="41"/>
      <c r="J159" s="39" t="s">
        <v>355</v>
      </c>
      <c r="K159" s="40"/>
      <c r="L159" s="40"/>
      <c r="M159" s="40"/>
      <c r="N159" s="40"/>
      <c r="O159" s="40"/>
      <c r="P159" s="40"/>
      <c r="Q159" s="40"/>
      <c r="R159" s="40"/>
      <c r="S159" s="40"/>
      <c r="T159" s="40"/>
      <c r="U159" s="40"/>
      <c r="V159" s="40"/>
      <c r="W159" s="40"/>
      <c r="X159" s="40"/>
      <c r="Y159" s="40"/>
      <c r="Z159" s="41"/>
      <c r="AA159" s="28"/>
    </row>
    <row r="160" spans="1:32">
      <c r="A160" s="26"/>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28"/>
    </row>
    <row r="161" spans="1:32">
      <c r="A161" s="26"/>
      <c r="C161" s="35" t="s">
        <v>205</v>
      </c>
      <c r="D161" s="27" t="s">
        <v>206</v>
      </c>
      <c r="AA161" s="28"/>
    </row>
    <row r="162" spans="1:32" ht="31.5" customHeight="1">
      <c r="A162" s="26"/>
      <c r="C162" s="350" t="s">
        <v>35</v>
      </c>
      <c r="D162" s="350"/>
      <c r="E162" s="350"/>
      <c r="F162" s="350"/>
      <c r="G162" s="351" t="s">
        <v>350</v>
      </c>
      <c r="H162" s="352"/>
      <c r="I162" s="352"/>
      <c r="J162" s="352"/>
      <c r="K162" s="352"/>
      <c r="L162" s="352"/>
      <c r="M162" s="352"/>
      <c r="N162" s="352"/>
      <c r="O162" s="352"/>
      <c r="P162" s="352"/>
      <c r="Q162" s="352"/>
      <c r="R162" s="352"/>
      <c r="S162" s="352"/>
      <c r="T162" s="352"/>
      <c r="U162" s="352"/>
      <c r="V162" s="352"/>
      <c r="W162" s="352"/>
      <c r="X162" s="352"/>
      <c r="Y162" s="352"/>
      <c r="Z162" s="352"/>
      <c r="AA162" s="28"/>
      <c r="AC162" s="27" t="e">
        <f>""""&amp;#REF!&amp;""":""example"&amp;#REF!&amp;"""},"</f>
        <v>#REF!</v>
      </c>
      <c r="AE162" s="188" t="s">
        <v>1242</v>
      </c>
    </row>
    <row r="163" spans="1:32" ht="181.9" customHeight="1">
      <c r="A163" s="26"/>
      <c r="C163" s="373" t="s">
        <v>17</v>
      </c>
      <c r="D163" s="374"/>
      <c r="E163" s="374"/>
      <c r="F163" s="375"/>
      <c r="G163" s="351" t="s">
        <v>593</v>
      </c>
      <c r="H163" s="352"/>
      <c r="I163" s="352"/>
      <c r="J163" s="352"/>
      <c r="K163" s="352"/>
      <c r="L163" s="352"/>
      <c r="M163" s="352"/>
      <c r="N163" s="352"/>
      <c r="O163" s="352"/>
      <c r="P163" s="352"/>
      <c r="Q163" s="352"/>
      <c r="R163" s="352"/>
      <c r="S163" s="352"/>
      <c r="T163" s="352"/>
      <c r="U163" s="352"/>
      <c r="V163" s="352"/>
      <c r="W163" s="352"/>
      <c r="X163" s="352"/>
      <c r="Y163" s="352"/>
      <c r="Z163" s="352"/>
      <c r="AA163" s="28"/>
      <c r="AC163" s="27" t="e">
        <f>""""&amp;#REF!&amp;""":""example"&amp;#REF!&amp;"""},"</f>
        <v>#REF!</v>
      </c>
      <c r="AE163" s="188" t="s">
        <v>1242</v>
      </c>
    </row>
    <row r="164" spans="1:32">
      <c r="A164" s="26"/>
      <c r="C164" s="350" t="s">
        <v>463</v>
      </c>
      <c r="D164" s="350"/>
      <c r="E164" s="350"/>
      <c r="F164" s="350"/>
      <c r="G164" s="351" t="s">
        <v>1047</v>
      </c>
      <c r="H164" s="352"/>
      <c r="I164" s="352"/>
      <c r="J164" s="352"/>
      <c r="K164" s="352"/>
      <c r="L164" s="352"/>
      <c r="M164" s="352"/>
      <c r="N164" s="352"/>
      <c r="O164" s="352"/>
      <c r="P164" s="352"/>
      <c r="Q164" s="352"/>
      <c r="R164" s="352"/>
      <c r="S164" s="352"/>
      <c r="T164" s="352"/>
      <c r="U164" s="352"/>
      <c r="V164" s="352"/>
      <c r="W164" s="352"/>
      <c r="X164" s="352"/>
      <c r="Y164" s="352"/>
      <c r="Z164" s="352"/>
      <c r="AA164" s="28"/>
      <c r="AC164" s="27" t="e">
        <f>""""&amp;#REF!&amp;""":""example"&amp;#REF!&amp;""","</f>
        <v>#REF!</v>
      </c>
      <c r="AE164" s="188" t="s">
        <v>1242</v>
      </c>
      <c r="AF164" s="27" t="s">
        <v>1043</v>
      </c>
    </row>
    <row r="165" spans="1:32">
      <c r="A165" s="26"/>
      <c r="C165" s="38"/>
      <c r="D165" s="38"/>
      <c r="E165" s="38"/>
      <c r="F165" s="38"/>
      <c r="G165" s="74"/>
      <c r="H165" s="46"/>
      <c r="I165" s="46"/>
      <c r="J165" s="46"/>
      <c r="K165" s="46"/>
      <c r="L165" s="46"/>
      <c r="M165" s="46"/>
      <c r="N165" s="46"/>
      <c r="O165" s="46"/>
      <c r="P165" s="46"/>
      <c r="Q165" s="46"/>
      <c r="R165" s="46"/>
      <c r="S165" s="46"/>
      <c r="T165" s="46"/>
      <c r="U165" s="46"/>
      <c r="V165" s="46"/>
      <c r="W165" s="46"/>
      <c r="X165" s="46"/>
      <c r="Y165" s="46"/>
      <c r="Z165" s="46"/>
      <c r="AA165" s="28"/>
      <c r="AE165" s="188" t="s">
        <v>1242</v>
      </c>
    </row>
    <row r="166" spans="1:32">
      <c r="A166" s="26"/>
      <c r="C166" s="63" t="s">
        <v>941</v>
      </c>
      <c r="D166" s="63"/>
      <c r="E166" s="46"/>
      <c r="F166" s="46"/>
      <c r="G166" s="74"/>
      <c r="H166" s="46"/>
      <c r="I166" s="46"/>
      <c r="J166" s="46"/>
      <c r="K166" s="46"/>
      <c r="L166" s="46"/>
      <c r="M166" s="46"/>
      <c r="N166" s="46"/>
      <c r="O166" s="46"/>
      <c r="P166" s="46"/>
      <c r="Q166" s="46"/>
      <c r="R166" s="46"/>
      <c r="S166" s="46"/>
      <c r="T166" s="46"/>
      <c r="U166" s="46"/>
      <c r="V166" s="46"/>
      <c r="W166" s="46"/>
      <c r="X166" s="46"/>
      <c r="Y166" s="46"/>
      <c r="Z166" s="46"/>
      <c r="AA166" s="28"/>
      <c r="AE166" s="188" t="s">
        <v>1242</v>
      </c>
    </row>
    <row r="167" spans="1:32">
      <c r="A167" s="26"/>
      <c r="C167" s="63"/>
      <c r="D167" s="63" t="s">
        <v>1060</v>
      </c>
      <c r="E167" s="46"/>
      <c r="F167" s="46"/>
      <c r="G167" s="74"/>
      <c r="H167" s="46"/>
      <c r="I167" s="46"/>
      <c r="J167" s="46"/>
      <c r="K167" s="46"/>
      <c r="L167" s="46"/>
      <c r="M167" s="46"/>
      <c r="N167" s="46"/>
      <c r="O167" s="46"/>
      <c r="P167" s="46"/>
      <c r="Q167" s="46"/>
      <c r="R167" s="46"/>
      <c r="S167" s="46"/>
      <c r="T167" s="46"/>
      <c r="U167" s="46"/>
      <c r="V167" s="46"/>
      <c r="X167" s="46"/>
      <c r="Y167" s="46"/>
      <c r="Z167" s="46"/>
      <c r="AA167" s="28"/>
      <c r="AE167" s="188" t="s">
        <v>1242</v>
      </c>
    </row>
    <row r="168" spans="1:32">
      <c r="A168" s="26"/>
      <c r="C168" s="46"/>
      <c r="D168" s="46"/>
      <c r="E168" s="63" t="s">
        <v>1115</v>
      </c>
      <c r="F168" s="46"/>
      <c r="G168" s="74"/>
      <c r="H168" s="46"/>
      <c r="I168" s="46"/>
      <c r="J168" s="46"/>
      <c r="K168" s="46"/>
      <c r="L168" s="46"/>
      <c r="M168" s="46"/>
      <c r="N168" s="46"/>
      <c r="O168" s="46"/>
      <c r="P168" s="46"/>
      <c r="Q168" s="46"/>
      <c r="R168" s="46"/>
      <c r="S168" s="46"/>
      <c r="T168" s="46"/>
      <c r="U168" s="46"/>
      <c r="V168" s="46"/>
      <c r="W168" s="46"/>
      <c r="X168" s="46"/>
      <c r="Y168" s="46"/>
      <c r="Z168" s="46"/>
      <c r="AA168" s="28"/>
      <c r="AE168" s="188" t="s">
        <v>1242</v>
      </c>
    </row>
    <row r="169" spans="1:32">
      <c r="A169" s="26"/>
      <c r="C169" s="46"/>
      <c r="D169" s="46"/>
      <c r="E169" s="63" t="s">
        <v>1138</v>
      </c>
      <c r="F169" s="46"/>
      <c r="G169" s="74"/>
      <c r="I169" s="46"/>
      <c r="J169" s="46"/>
      <c r="K169" s="46"/>
      <c r="L169" s="46"/>
      <c r="M169" s="46"/>
      <c r="N169" s="46"/>
      <c r="O169" s="46"/>
      <c r="P169" s="46"/>
      <c r="Q169" s="46"/>
      <c r="R169" s="46"/>
      <c r="S169" s="46"/>
      <c r="T169" s="46"/>
      <c r="U169" s="46"/>
      <c r="V169" s="46"/>
      <c r="W169" s="46"/>
      <c r="X169" s="46"/>
      <c r="Y169" s="46"/>
      <c r="Z169" s="46"/>
      <c r="AA169" s="28"/>
      <c r="AE169" s="188" t="s">
        <v>1242</v>
      </c>
    </row>
    <row r="170" spans="1:32">
      <c r="A170" s="26"/>
      <c r="C170" s="46"/>
      <c r="D170" s="46"/>
      <c r="E170" s="63" t="s">
        <v>1116</v>
      </c>
      <c r="F170" s="46"/>
      <c r="G170" s="74"/>
      <c r="H170" s="46"/>
      <c r="I170" s="46"/>
      <c r="J170" s="46"/>
      <c r="K170" s="46"/>
      <c r="L170" s="46"/>
      <c r="M170" s="46"/>
      <c r="N170" s="46"/>
      <c r="O170" s="46"/>
      <c r="P170" s="46"/>
      <c r="Q170" s="46"/>
      <c r="R170" s="46"/>
      <c r="S170" s="46"/>
      <c r="T170" s="46"/>
      <c r="U170" s="46"/>
      <c r="V170" s="46"/>
      <c r="W170" s="46"/>
      <c r="X170" s="46"/>
      <c r="Y170" s="46"/>
      <c r="Z170" s="46"/>
      <c r="AA170" s="28"/>
      <c r="AE170" s="188" t="s">
        <v>1242</v>
      </c>
    </row>
    <row r="171" spans="1:32">
      <c r="A171" s="26"/>
      <c r="C171" s="46"/>
      <c r="D171" s="46"/>
      <c r="E171" s="63" t="s">
        <v>1117</v>
      </c>
      <c r="F171" s="46"/>
      <c r="G171" s="74"/>
      <c r="H171" s="46"/>
      <c r="I171" s="46"/>
      <c r="J171" s="46"/>
      <c r="K171" s="46"/>
      <c r="L171" s="46"/>
      <c r="M171" s="46"/>
      <c r="N171" s="46"/>
      <c r="O171" s="46"/>
      <c r="P171" s="46"/>
      <c r="Q171" s="46"/>
      <c r="R171" s="46"/>
      <c r="S171" s="46"/>
      <c r="T171" s="46"/>
      <c r="U171" s="46"/>
      <c r="V171" s="46"/>
      <c r="W171" s="46"/>
      <c r="X171" s="46"/>
      <c r="Y171" s="46"/>
      <c r="Z171" s="46"/>
      <c r="AA171" s="28"/>
      <c r="AE171" s="188" t="s">
        <v>1242</v>
      </c>
    </row>
    <row r="172" spans="1:32">
      <c r="A172" s="26"/>
      <c r="C172" s="46"/>
      <c r="D172" s="46"/>
      <c r="E172" s="63" t="s">
        <v>1118</v>
      </c>
      <c r="F172" s="46"/>
      <c r="G172" s="74"/>
      <c r="H172" s="46"/>
      <c r="I172" s="46"/>
      <c r="J172" s="46"/>
      <c r="K172" s="46"/>
      <c r="L172" s="46"/>
      <c r="M172" s="46"/>
      <c r="N172" s="46"/>
      <c r="O172" s="46"/>
      <c r="P172" s="46"/>
      <c r="Q172" s="46"/>
      <c r="R172" s="46"/>
      <c r="S172" s="46"/>
      <c r="T172" s="46"/>
      <c r="U172" s="46"/>
      <c r="V172" s="46"/>
      <c r="W172" s="46"/>
      <c r="X172" s="46"/>
      <c r="Y172" s="46"/>
      <c r="Z172" s="46"/>
      <c r="AA172" s="28"/>
      <c r="AE172" s="188" t="s">
        <v>1242</v>
      </c>
    </row>
    <row r="173" spans="1:32">
      <c r="A173" s="26"/>
      <c r="C173" s="46"/>
      <c r="D173" s="46"/>
      <c r="E173" s="63" t="s">
        <v>1119</v>
      </c>
      <c r="F173" s="46"/>
      <c r="G173" s="74"/>
      <c r="H173" s="46"/>
      <c r="I173" s="46"/>
      <c r="J173" s="46"/>
      <c r="K173" s="46"/>
      <c r="L173" s="46"/>
      <c r="M173" s="46"/>
      <c r="N173" s="46"/>
      <c r="O173" s="46"/>
      <c r="P173" s="46"/>
      <c r="Q173" s="46"/>
      <c r="R173" s="46"/>
      <c r="S173" s="46"/>
      <c r="T173" s="46"/>
      <c r="U173" s="46"/>
      <c r="V173" s="46"/>
      <c r="W173" s="46"/>
      <c r="X173" s="46"/>
      <c r="Y173" s="46"/>
      <c r="Z173" s="46"/>
      <c r="AA173" s="28"/>
      <c r="AE173" s="188" t="s">
        <v>1242</v>
      </c>
    </row>
    <row r="174" spans="1:32">
      <c r="A174" s="26"/>
      <c r="C174" s="46"/>
      <c r="D174" s="46"/>
      <c r="E174" s="63" t="s">
        <v>1120</v>
      </c>
      <c r="F174" s="46"/>
      <c r="G174" s="74"/>
      <c r="H174" s="46"/>
      <c r="I174" s="46"/>
      <c r="J174" s="46"/>
      <c r="K174" s="46"/>
      <c r="L174" s="46"/>
      <c r="M174" s="46"/>
      <c r="N174" s="46"/>
      <c r="O174" s="46"/>
      <c r="P174" s="46"/>
      <c r="Q174" s="46"/>
      <c r="R174" s="46"/>
      <c r="S174" s="46"/>
      <c r="T174" s="46"/>
      <c r="U174" s="46"/>
      <c r="V174" s="46"/>
      <c r="W174" s="46"/>
      <c r="X174" s="46"/>
      <c r="Y174" s="46"/>
      <c r="Z174" s="46"/>
      <c r="AA174" s="28"/>
      <c r="AE174" s="188" t="s">
        <v>1242</v>
      </c>
    </row>
    <row r="175" spans="1:32">
      <c r="A175" s="26"/>
      <c r="C175" s="46"/>
      <c r="D175" s="46"/>
      <c r="E175" s="63" t="s">
        <v>1121</v>
      </c>
      <c r="F175" s="46"/>
      <c r="G175" s="74"/>
      <c r="H175" s="46"/>
      <c r="I175" s="46"/>
      <c r="J175" s="46"/>
      <c r="K175" s="46"/>
      <c r="L175" s="46"/>
      <c r="M175" s="46"/>
      <c r="N175" s="46"/>
      <c r="O175" s="46"/>
      <c r="P175" s="46"/>
      <c r="Q175" s="46"/>
      <c r="R175" s="46"/>
      <c r="S175" s="46"/>
      <c r="T175" s="46"/>
      <c r="U175" s="46"/>
      <c r="V175" s="46"/>
      <c r="W175" s="46"/>
      <c r="X175" s="46"/>
      <c r="Y175" s="46"/>
      <c r="Z175" s="46"/>
      <c r="AA175" s="28"/>
      <c r="AE175" s="188" t="s">
        <v>1242</v>
      </c>
    </row>
    <row r="176" spans="1:32">
      <c r="A176" s="26"/>
      <c r="C176" s="46"/>
      <c r="D176" s="46"/>
      <c r="E176" s="63" t="s">
        <v>1122</v>
      </c>
      <c r="F176" s="46"/>
      <c r="G176" s="74"/>
      <c r="H176" s="46"/>
      <c r="I176" s="46"/>
      <c r="J176" s="46"/>
      <c r="K176" s="46"/>
      <c r="L176" s="46"/>
      <c r="M176" s="46"/>
      <c r="N176" s="46"/>
      <c r="O176" s="46"/>
      <c r="P176" s="46"/>
      <c r="Q176" s="46"/>
      <c r="R176" s="46"/>
      <c r="S176" s="46"/>
      <c r="T176" s="46"/>
      <c r="U176" s="46"/>
      <c r="V176" s="46"/>
      <c r="W176" s="46"/>
      <c r="X176" s="46"/>
      <c r="Y176" s="46"/>
      <c r="Z176" s="46"/>
      <c r="AA176" s="28"/>
      <c r="AE176" s="188" t="s">
        <v>1242</v>
      </c>
    </row>
    <row r="177" spans="1:31">
      <c r="A177" s="26"/>
      <c r="C177" s="46"/>
      <c r="D177" s="46"/>
      <c r="E177" s="36" t="s">
        <v>1126</v>
      </c>
      <c r="F177" s="46"/>
      <c r="G177" s="74"/>
      <c r="H177" s="46"/>
      <c r="I177" s="46"/>
      <c r="J177" s="46"/>
      <c r="K177" s="46"/>
      <c r="L177" s="46"/>
      <c r="M177" s="46"/>
      <c r="N177" s="46"/>
      <c r="O177" s="46"/>
      <c r="P177" s="46"/>
      <c r="Q177" s="46"/>
      <c r="R177" s="46"/>
      <c r="S177" s="46"/>
      <c r="T177" s="46"/>
      <c r="U177" s="46"/>
      <c r="V177" s="46"/>
      <c r="W177" s="46"/>
      <c r="X177" s="46"/>
      <c r="Y177" s="46"/>
      <c r="Z177" s="46"/>
      <c r="AA177" s="28"/>
      <c r="AE177" s="188" t="s">
        <v>1242</v>
      </c>
    </row>
    <row r="178" spans="1:31">
      <c r="A178" s="26"/>
      <c r="C178" s="46"/>
      <c r="D178" s="46"/>
      <c r="E178" s="36" t="s">
        <v>1127</v>
      </c>
      <c r="F178" s="46"/>
      <c r="G178" s="74"/>
      <c r="H178" s="46"/>
      <c r="I178" s="46"/>
      <c r="J178" s="46"/>
      <c r="K178" s="46"/>
      <c r="L178" s="46"/>
      <c r="M178" s="46"/>
      <c r="N178" s="46"/>
      <c r="O178" s="46"/>
      <c r="P178" s="46"/>
      <c r="Q178" s="46"/>
      <c r="R178" s="46"/>
      <c r="S178" s="46"/>
      <c r="T178" s="46"/>
      <c r="U178" s="46"/>
      <c r="V178" s="46"/>
      <c r="W178" s="46"/>
      <c r="X178" s="46"/>
      <c r="Y178" s="46"/>
      <c r="Z178" s="46"/>
      <c r="AA178" s="28"/>
      <c r="AE178" s="188" t="s">
        <v>1242</v>
      </c>
    </row>
    <row r="179" spans="1:31">
      <c r="A179" s="26"/>
      <c r="C179" s="46"/>
      <c r="D179" s="46"/>
      <c r="E179" s="36" t="s">
        <v>1128</v>
      </c>
      <c r="F179" s="46"/>
      <c r="G179" s="74"/>
      <c r="H179" s="46"/>
      <c r="I179" s="46"/>
      <c r="J179" s="46"/>
      <c r="K179" s="46"/>
      <c r="L179" s="46"/>
      <c r="M179" s="46"/>
      <c r="N179" s="46"/>
      <c r="O179" s="46"/>
      <c r="P179" s="46"/>
      <c r="Q179" s="46"/>
      <c r="R179" s="46"/>
      <c r="S179" s="46"/>
      <c r="T179" s="46"/>
      <c r="U179" s="46"/>
      <c r="V179" s="46"/>
      <c r="W179" s="46"/>
      <c r="X179" s="46"/>
      <c r="Y179" s="46"/>
      <c r="Z179" s="46"/>
      <c r="AA179" s="28"/>
      <c r="AE179" s="188" t="s">
        <v>1242</v>
      </c>
    </row>
    <row r="180" spans="1:31">
      <c r="A180" s="26"/>
      <c r="C180" s="46"/>
      <c r="D180" s="46"/>
      <c r="E180" s="36" t="s">
        <v>1129</v>
      </c>
      <c r="F180" s="46"/>
      <c r="G180" s="74"/>
      <c r="H180" s="46"/>
      <c r="I180" s="46"/>
      <c r="J180" s="46"/>
      <c r="K180" s="46"/>
      <c r="L180" s="46"/>
      <c r="M180" s="46"/>
      <c r="N180" s="46"/>
      <c r="O180" s="46"/>
      <c r="P180" s="46"/>
      <c r="Q180" s="46"/>
      <c r="R180" s="46"/>
      <c r="S180" s="46"/>
      <c r="T180" s="46"/>
      <c r="U180" s="46"/>
      <c r="V180" s="46"/>
      <c r="W180" s="46"/>
      <c r="X180" s="46"/>
      <c r="Y180" s="46"/>
      <c r="Z180" s="46"/>
      <c r="AA180" s="28"/>
      <c r="AE180" s="188" t="s">
        <v>1242</v>
      </c>
    </row>
    <row r="181" spans="1:31">
      <c r="A181" s="26"/>
      <c r="C181" s="46"/>
      <c r="D181" s="46"/>
      <c r="E181" s="63" t="s">
        <v>1133</v>
      </c>
      <c r="F181" s="46"/>
      <c r="G181" s="74"/>
      <c r="H181" s="46"/>
      <c r="I181" s="46"/>
      <c r="J181" s="46"/>
      <c r="K181" s="46"/>
      <c r="L181" s="46"/>
      <c r="M181" s="46"/>
      <c r="N181" s="46"/>
      <c r="O181" s="46"/>
      <c r="P181" s="46"/>
      <c r="Q181" s="46"/>
      <c r="R181" s="46"/>
      <c r="S181" s="46"/>
      <c r="T181" s="46"/>
      <c r="U181" s="46"/>
      <c r="V181" s="46"/>
      <c r="W181" s="46"/>
      <c r="X181" s="46"/>
      <c r="Y181" s="46"/>
      <c r="Z181" s="46"/>
      <c r="AA181" s="28"/>
      <c r="AE181" s="188" t="s">
        <v>1242</v>
      </c>
    </row>
    <row r="182" spans="1:31">
      <c r="A182" s="26"/>
      <c r="C182" s="46"/>
      <c r="D182" s="46"/>
      <c r="E182" s="63" t="s">
        <v>1075</v>
      </c>
      <c r="F182" s="46"/>
      <c r="G182" s="74"/>
      <c r="H182" s="46"/>
      <c r="I182" s="46"/>
      <c r="J182" s="46"/>
      <c r="K182" s="46"/>
      <c r="L182" s="46"/>
      <c r="M182" s="46"/>
      <c r="N182" s="46"/>
      <c r="O182" s="46"/>
      <c r="P182" s="46"/>
      <c r="Q182" s="46"/>
      <c r="R182" s="46"/>
      <c r="S182" s="46"/>
      <c r="T182" s="46"/>
      <c r="U182" s="46"/>
      <c r="V182" s="46"/>
      <c r="W182" s="46"/>
      <c r="X182" s="46"/>
      <c r="Y182" s="46"/>
      <c r="Z182" s="46"/>
      <c r="AA182" s="28"/>
      <c r="AE182" s="188" t="s">
        <v>1242</v>
      </c>
    </row>
    <row r="183" spans="1:31">
      <c r="A183" s="26"/>
      <c r="C183" s="46"/>
      <c r="D183" s="46"/>
      <c r="E183" s="63" t="s">
        <v>1078</v>
      </c>
      <c r="F183" s="46"/>
      <c r="G183" s="74"/>
      <c r="H183" s="46"/>
      <c r="I183" s="46"/>
      <c r="J183" s="46"/>
      <c r="K183" s="46"/>
      <c r="L183" s="46"/>
      <c r="M183" s="46"/>
      <c r="N183" s="46"/>
      <c r="O183" s="46"/>
      <c r="P183" s="46"/>
      <c r="Q183" s="46"/>
      <c r="R183" s="46"/>
      <c r="S183" s="46"/>
      <c r="T183" s="46"/>
      <c r="U183" s="46"/>
      <c r="V183" s="46"/>
      <c r="W183" s="46"/>
      <c r="X183" s="46"/>
      <c r="Y183" s="46"/>
      <c r="Z183" s="46"/>
      <c r="AA183" s="28"/>
      <c r="AE183" s="188" t="s">
        <v>1242</v>
      </c>
    </row>
    <row r="184" spans="1:31">
      <c r="A184" s="26"/>
      <c r="C184" s="46"/>
      <c r="D184" s="46"/>
      <c r="E184" s="36" t="s">
        <v>1093</v>
      </c>
      <c r="F184" s="46"/>
      <c r="G184" s="74"/>
      <c r="H184" s="46"/>
      <c r="I184" s="46"/>
      <c r="J184" s="46"/>
      <c r="K184" s="46"/>
      <c r="L184" s="46"/>
      <c r="M184" s="46"/>
      <c r="N184" s="46"/>
      <c r="O184" s="46"/>
      <c r="P184" s="46"/>
      <c r="Q184" s="46"/>
      <c r="R184" s="46"/>
      <c r="S184" s="46"/>
      <c r="T184" s="46"/>
      <c r="U184" s="46"/>
      <c r="V184" s="46"/>
      <c r="W184" s="46"/>
      <c r="X184" s="46"/>
      <c r="Y184" s="46"/>
      <c r="Z184" s="46"/>
      <c r="AA184" s="28"/>
      <c r="AE184" s="188" t="s">
        <v>1242</v>
      </c>
    </row>
    <row r="185" spans="1:31">
      <c r="A185" s="26"/>
      <c r="C185" s="46"/>
      <c r="D185" s="46"/>
      <c r="E185" s="63" t="s">
        <v>1134</v>
      </c>
      <c r="F185" s="46"/>
      <c r="G185" s="74"/>
      <c r="H185" s="46"/>
      <c r="I185" s="46"/>
      <c r="J185" s="46"/>
      <c r="K185" s="46"/>
      <c r="L185" s="46"/>
      <c r="M185" s="46"/>
      <c r="N185" s="46"/>
      <c r="O185" s="46"/>
      <c r="P185" s="46"/>
      <c r="Q185" s="46"/>
      <c r="R185" s="46"/>
      <c r="S185" s="46"/>
      <c r="T185" s="46"/>
      <c r="U185" s="46"/>
      <c r="V185" s="46"/>
      <c r="W185" s="46"/>
      <c r="X185" s="46"/>
      <c r="Y185" s="46"/>
      <c r="Z185" s="46"/>
      <c r="AA185" s="28"/>
      <c r="AE185" s="188" t="s">
        <v>1242</v>
      </c>
    </row>
    <row r="186" spans="1:31">
      <c r="A186" s="26"/>
      <c r="C186" s="46"/>
      <c r="D186" s="46"/>
      <c r="E186" s="36" t="s">
        <v>1098</v>
      </c>
      <c r="F186" s="46"/>
      <c r="G186" s="74"/>
      <c r="H186" s="46"/>
      <c r="I186" s="46"/>
      <c r="J186" s="46"/>
      <c r="K186" s="46"/>
      <c r="L186" s="46"/>
      <c r="M186" s="46"/>
      <c r="N186" s="46"/>
      <c r="O186" s="46"/>
      <c r="P186" s="46"/>
      <c r="Q186" s="46"/>
      <c r="R186" s="46"/>
      <c r="S186" s="46"/>
      <c r="T186" s="46"/>
      <c r="U186" s="46"/>
      <c r="V186" s="46"/>
      <c r="W186" s="46"/>
      <c r="X186" s="46"/>
      <c r="Y186" s="46"/>
      <c r="Z186" s="46"/>
      <c r="AA186" s="28"/>
      <c r="AE186" s="188" t="s">
        <v>1242</v>
      </c>
    </row>
    <row r="187" spans="1:31">
      <c r="A187" s="26"/>
      <c r="C187" s="46"/>
      <c r="D187" s="46"/>
      <c r="E187" s="63" t="s">
        <v>1135</v>
      </c>
      <c r="F187" s="46"/>
      <c r="G187" s="74"/>
      <c r="H187" s="46"/>
      <c r="I187" s="46"/>
      <c r="J187" s="46"/>
      <c r="K187" s="46"/>
      <c r="L187" s="46"/>
      <c r="M187" s="46"/>
      <c r="N187" s="46"/>
      <c r="O187" s="46"/>
      <c r="P187" s="46"/>
      <c r="Q187" s="46"/>
      <c r="R187" s="46"/>
      <c r="S187" s="46"/>
      <c r="T187" s="46"/>
      <c r="U187" s="46"/>
      <c r="V187" s="46"/>
      <c r="W187" s="46"/>
      <c r="X187" s="46"/>
      <c r="Y187" s="46"/>
      <c r="Z187" s="46"/>
      <c r="AA187" s="28"/>
      <c r="AE187" s="188" t="s">
        <v>1242</v>
      </c>
    </row>
    <row r="188" spans="1:31">
      <c r="A188" s="26"/>
      <c r="C188" s="46"/>
      <c r="D188" s="46"/>
      <c r="E188" s="63" t="s">
        <v>1136</v>
      </c>
      <c r="F188" s="46"/>
      <c r="G188" s="74"/>
      <c r="H188" s="46"/>
      <c r="I188" s="46"/>
      <c r="J188" s="46"/>
      <c r="K188" s="46"/>
      <c r="L188" s="46"/>
      <c r="M188" s="46"/>
      <c r="N188" s="46"/>
      <c r="O188" s="46"/>
      <c r="P188" s="46"/>
      <c r="Q188" s="46"/>
      <c r="R188" s="46"/>
      <c r="S188" s="46"/>
      <c r="T188" s="46"/>
      <c r="U188" s="46"/>
      <c r="V188" s="46"/>
      <c r="W188" s="46"/>
      <c r="X188" s="46"/>
      <c r="Y188" s="46"/>
      <c r="Z188" s="46"/>
      <c r="AA188" s="28"/>
      <c r="AE188" s="188" t="s">
        <v>1242</v>
      </c>
    </row>
    <row r="189" spans="1:31">
      <c r="A189" s="26"/>
      <c r="C189" s="46"/>
      <c r="D189" s="46"/>
      <c r="E189" s="63" t="s">
        <v>1139</v>
      </c>
      <c r="F189" s="46"/>
      <c r="G189" s="74"/>
      <c r="H189" s="46"/>
      <c r="I189" s="46"/>
      <c r="J189" s="46"/>
      <c r="K189" s="46"/>
      <c r="L189" s="46"/>
      <c r="M189" s="46"/>
      <c r="N189" s="46"/>
      <c r="O189" s="46"/>
      <c r="P189" s="46"/>
      <c r="Q189" s="46"/>
      <c r="R189" s="46"/>
      <c r="S189" s="46"/>
      <c r="T189" s="46"/>
      <c r="U189" s="46"/>
      <c r="V189" s="46"/>
      <c r="W189" s="46"/>
      <c r="X189" s="46"/>
      <c r="Y189" s="46"/>
      <c r="Z189" s="46"/>
      <c r="AA189" s="28"/>
      <c r="AE189" s="188" t="s">
        <v>1242</v>
      </c>
    </row>
    <row r="190" spans="1:31">
      <c r="A190" s="26"/>
      <c r="C190" s="46"/>
      <c r="D190" s="63" t="s">
        <v>1061</v>
      </c>
      <c r="E190" s="46"/>
      <c r="F190" s="46"/>
      <c r="G190" s="74"/>
      <c r="H190" s="46"/>
      <c r="I190" s="46"/>
      <c r="J190" s="46"/>
      <c r="K190" s="46"/>
      <c r="L190" s="46"/>
      <c r="M190" s="46"/>
      <c r="N190" s="46"/>
      <c r="O190" s="46"/>
      <c r="P190" s="46"/>
      <c r="Q190" s="46"/>
      <c r="R190" s="46"/>
      <c r="S190" s="46"/>
      <c r="T190" s="46"/>
      <c r="U190" s="46"/>
      <c r="V190" s="46"/>
      <c r="W190" s="46"/>
      <c r="X190" s="46"/>
      <c r="Y190" s="46"/>
      <c r="Z190" s="46"/>
      <c r="AA190" s="28"/>
      <c r="AE190" s="188" t="s">
        <v>1242</v>
      </c>
    </row>
    <row r="191" spans="1:31">
      <c r="A191" s="26"/>
      <c r="C191" s="46"/>
      <c r="D191" s="46"/>
      <c r="E191" s="63" t="s">
        <v>1109</v>
      </c>
      <c r="F191" s="46"/>
      <c r="G191" s="74"/>
      <c r="H191" s="46"/>
      <c r="I191" s="46"/>
      <c r="J191" s="46"/>
      <c r="K191" s="46"/>
      <c r="L191" s="46"/>
      <c r="M191" s="46"/>
      <c r="N191" s="46"/>
      <c r="O191" s="46"/>
      <c r="P191" s="46"/>
      <c r="Q191" s="46"/>
      <c r="R191" s="46"/>
      <c r="S191" s="46"/>
      <c r="T191" s="46"/>
      <c r="U191" s="46"/>
      <c r="V191" s="46"/>
      <c r="W191" s="46"/>
      <c r="X191" s="46"/>
      <c r="Y191" s="46"/>
      <c r="Z191" s="46"/>
      <c r="AA191" s="28"/>
      <c r="AE191" s="188" t="s">
        <v>1242</v>
      </c>
    </row>
    <row r="192" spans="1:31">
      <c r="A192" s="26"/>
      <c r="C192" s="46"/>
      <c r="D192" s="46"/>
      <c r="E192" s="63" t="s">
        <v>1112</v>
      </c>
      <c r="F192" s="46"/>
      <c r="G192" s="74"/>
      <c r="H192" s="46"/>
      <c r="I192" s="46"/>
      <c r="J192" s="46"/>
      <c r="K192" s="46"/>
      <c r="L192" s="46"/>
      <c r="M192" s="46"/>
      <c r="N192" s="46"/>
      <c r="O192" s="46"/>
      <c r="P192" s="46"/>
      <c r="Q192" s="46"/>
      <c r="R192" s="46"/>
      <c r="S192" s="46"/>
      <c r="T192" s="46"/>
      <c r="U192" s="46"/>
      <c r="V192" s="46"/>
      <c r="W192" s="46"/>
      <c r="X192" s="46"/>
      <c r="Y192" s="46"/>
      <c r="Z192" s="46"/>
      <c r="AA192" s="28"/>
      <c r="AE192" s="188" t="s">
        <v>1242</v>
      </c>
    </row>
    <row r="193" spans="1:31">
      <c r="A193" s="26"/>
      <c r="C193" s="46"/>
      <c r="D193" s="46"/>
      <c r="F193" s="63" t="s">
        <v>1113</v>
      </c>
      <c r="G193" s="74"/>
      <c r="H193" s="46"/>
      <c r="I193" s="46"/>
      <c r="J193" s="46"/>
      <c r="K193" s="46"/>
      <c r="L193" s="46"/>
      <c r="M193" s="46"/>
      <c r="N193" s="46"/>
      <c r="O193" s="46"/>
      <c r="P193" s="46"/>
      <c r="Q193" s="46"/>
      <c r="R193" s="46"/>
      <c r="S193" s="46"/>
      <c r="T193" s="46"/>
      <c r="U193" s="46"/>
      <c r="V193" s="46"/>
      <c r="W193" s="46"/>
      <c r="X193" s="46"/>
      <c r="Y193" s="46"/>
      <c r="Z193" s="46"/>
      <c r="AA193" s="28"/>
      <c r="AE193" s="188" t="s">
        <v>1242</v>
      </c>
    </row>
    <row r="194" spans="1:31">
      <c r="A194" s="26"/>
      <c r="C194" s="46"/>
      <c r="D194" s="46"/>
      <c r="F194" s="63" t="s">
        <v>1114</v>
      </c>
      <c r="G194" s="74"/>
      <c r="H194" s="46"/>
      <c r="I194" s="46"/>
      <c r="J194" s="46"/>
      <c r="K194" s="46"/>
      <c r="L194" s="46"/>
      <c r="M194" s="46"/>
      <c r="N194" s="46"/>
      <c r="O194" s="46"/>
      <c r="P194" s="46"/>
      <c r="Q194" s="46"/>
      <c r="R194" s="46"/>
      <c r="S194" s="46"/>
      <c r="T194" s="46"/>
      <c r="U194" s="46"/>
      <c r="V194" s="46"/>
      <c r="W194" s="46"/>
      <c r="X194" s="46"/>
      <c r="Y194" s="46"/>
      <c r="Z194" s="46"/>
      <c r="AA194" s="28"/>
      <c r="AE194" s="188" t="s">
        <v>1242</v>
      </c>
    </row>
    <row r="195" spans="1:31">
      <c r="A195" s="26"/>
      <c r="C195" s="46"/>
      <c r="D195" s="46"/>
      <c r="E195" s="63" t="s">
        <v>1063</v>
      </c>
      <c r="F195" s="46"/>
      <c r="G195" s="74"/>
      <c r="H195" s="46"/>
      <c r="I195" s="46"/>
      <c r="J195" s="46"/>
      <c r="K195" s="46"/>
      <c r="L195" s="46"/>
      <c r="M195" s="46"/>
      <c r="N195" s="46"/>
      <c r="O195" s="46"/>
      <c r="P195" s="46"/>
      <c r="Q195" s="46"/>
      <c r="R195" s="46"/>
      <c r="S195" s="46"/>
      <c r="T195" s="46"/>
      <c r="U195" s="46"/>
      <c r="V195" s="46"/>
      <c r="W195" s="46"/>
      <c r="X195" s="46"/>
      <c r="Y195" s="46"/>
      <c r="Z195" s="46"/>
      <c r="AA195" s="28"/>
      <c r="AE195" s="188" t="s">
        <v>1242</v>
      </c>
    </row>
    <row r="196" spans="1:31">
      <c r="A196" s="26"/>
      <c r="C196" s="46"/>
      <c r="D196" s="46"/>
      <c r="F196" s="63" t="s">
        <v>1104</v>
      </c>
      <c r="G196" s="74"/>
      <c r="H196" s="46"/>
      <c r="I196" s="46"/>
      <c r="J196" s="46"/>
      <c r="K196" s="46"/>
      <c r="L196" s="46"/>
      <c r="M196" s="46"/>
      <c r="N196" s="46"/>
      <c r="O196" s="46"/>
      <c r="P196" s="46"/>
      <c r="Q196" s="46"/>
      <c r="R196" s="46"/>
      <c r="S196" s="46"/>
      <c r="T196" s="46"/>
      <c r="U196" s="46"/>
      <c r="V196" s="46"/>
      <c r="W196" s="46"/>
      <c r="X196" s="46"/>
      <c r="Y196" s="46"/>
      <c r="Z196" s="46"/>
      <c r="AA196" s="28"/>
      <c r="AE196" s="188" t="s">
        <v>1242</v>
      </c>
    </row>
    <row r="197" spans="1:31">
      <c r="A197" s="26"/>
      <c r="C197" s="46"/>
      <c r="D197" s="46"/>
      <c r="F197" s="63" t="s">
        <v>1316</v>
      </c>
      <c r="G197" s="74"/>
      <c r="H197" s="46"/>
      <c r="I197" s="46"/>
      <c r="J197" s="46"/>
      <c r="K197" s="46"/>
      <c r="L197" s="46"/>
      <c r="M197" s="46"/>
      <c r="N197" s="46"/>
      <c r="O197" s="46"/>
      <c r="P197" s="46"/>
      <c r="Q197" s="46"/>
      <c r="R197" s="46"/>
      <c r="S197" s="46"/>
      <c r="T197" s="46"/>
      <c r="U197" s="46"/>
      <c r="V197" s="46"/>
      <c r="W197" s="46"/>
      <c r="X197" s="46"/>
      <c r="Y197" s="46"/>
      <c r="Z197" s="46"/>
      <c r="AA197" s="28"/>
      <c r="AE197" s="188" t="s">
        <v>1242</v>
      </c>
    </row>
    <row r="198" spans="1:31">
      <c r="A198" s="26"/>
      <c r="C198" s="46"/>
      <c r="D198" s="46"/>
      <c r="E198" s="63" t="s">
        <v>1130</v>
      </c>
      <c r="F198" s="46"/>
      <c r="G198" s="74"/>
      <c r="H198" s="46"/>
      <c r="I198" s="46"/>
      <c r="J198" s="46"/>
      <c r="K198" s="46"/>
      <c r="L198" s="46"/>
      <c r="M198" s="46"/>
      <c r="N198" s="46"/>
      <c r="O198" s="46"/>
      <c r="P198" s="46"/>
      <c r="Q198" s="46"/>
      <c r="R198" s="46"/>
      <c r="S198" s="46"/>
      <c r="T198" s="46"/>
      <c r="U198" s="46"/>
      <c r="V198" s="46"/>
      <c r="W198" s="46"/>
      <c r="X198" s="46"/>
      <c r="Y198" s="46"/>
      <c r="Z198" s="46"/>
      <c r="AA198" s="28"/>
      <c r="AE198" s="188" t="s">
        <v>1242</v>
      </c>
    </row>
    <row r="199" spans="1:31">
      <c r="A199" s="26"/>
      <c r="C199" s="46"/>
      <c r="D199" s="46"/>
      <c r="F199" s="63" t="s">
        <v>1131</v>
      </c>
      <c r="G199" s="74"/>
      <c r="H199" s="46"/>
      <c r="I199" s="46"/>
      <c r="J199" s="46"/>
      <c r="K199" s="46"/>
      <c r="L199" s="46"/>
      <c r="M199" s="46"/>
      <c r="N199" s="46"/>
      <c r="O199" s="46"/>
      <c r="P199" s="46"/>
      <c r="Q199" s="46"/>
      <c r="R199" s="46"/>
      <c r="S199" s="46"/>
      <c r="T199" s="46"/>
      <c r="U199" s="46"/>
      <c r="V199" s="46"/>
      <c r="W199" s="46"/>
      <c r="X199" s="46"/>
      <c r="Y199" s="46"/>
      <c r="Z199" s="46"/>
      <c r="AA199" s="28"/>
      <c r="AE199" s="188" t="s">
        <v>1242</v>
      </c>
    </row>
    <row r="200" spans="1:31">
      <c r="A200" s="26"/>
      <c r="C200" s="46"/>
      <c r="D200" s="46"/>
      <c r="F200" s="63" t="s">
        <v>1068</v>
      </c>
      <c r="G200" s="74"/>
      <c r="H200" s="46"/>
      <c r="I200" s="46"/>
      <c r="J200" s="46"/>
      <c r="K200" s="46"/>
      <c r="L200" s="46"/>
      <c r="M200" s="46"/>
      <c r="N200" s="46"/>
      <c r="O200" s="46"/>
      <c r="P200" s="46"/>
      <c r="Q200" s="46"/>
      <c r="R200" s="46"/>
      <c r="S200" s="46"/>
      <c r="T200" s="46"/>
      <c r="U200" s="46"/>
      <c r="V200" s="46"/>
      <c r="W200" s="46"/>
      <c r="X200" s="46"/>
      <c r="Y200" s="46"/>
      <c r="Z200" s="46"/>
      <c r="AA200" s="28"/>
      <c r="AE200" s="188" t="s">
        <v>1242</v>
      </c>
    </row>
    <row r="201" spans="1:31">
      <c r="A201" s="26"/>
      <c r="C201" s="46"/>
      <c r="D201" s="46"/>
      <c r="F201" s="63" t="s">
        <v>1132</v>
      </c>
      <c r="G201" s="74"/>
      <c r="H201" s="46"/>
      <c r="I201" s="46"/>
      <c r="J201" s="46"/>
      <c r="K201" s="46"/>
      <c r="L201" s="46"/>
      <c r="M201" s="46"/>
      <c r="N201" s="46"/>
      <c r="O201" s="46"/>
      <c r="P201" s="46"/>
      <c r="Q201" s="46"/>
      <c r="R201" s="46"/>
      <c r="S201" s="46"/>
      <c r="T201" s="46"/>
      <c r="U201" s="46"/>
      <c r="V201" s="46"/>
      <c r="W201" s="46"/>
      <c r="X201" s="46"/>
      <c r="Y201" s="46"/>
      <c r="Z201" s="46"/>
      <c r="AA201" s="28"/>
      <c r="AE201" s="188" t="s">
        <v>1242</v>
      </c>
    </row>
    <row r="202" spans="1:31">
      <c r="A202" s="26"/>
      <c r="C202" s="46"/>
      <c r="D202" s="46"/>
      <c r="E202" s="63" t="s">
        <v>1123</v>
      </c>
      <c r="F202" s="46"/>
      <c r="G202" s="74"/>
      <c r="H202" s="46"/>
      <c r="I202" s="46"/>
      <c r="J202" s="46"/>
      <c r="K202" s="46"/>
      <c r="L202" s="46"/>
      <c r="M202" s="46"/>
      <c r="N202" s="46"/>
      <c r="O202" s="46"/>
      <c r="P202" s="46"/>
      <c r="Q202" s="46"/>
      <c r="R202" s="46"/>
      <c r="S202" s="46"/>
      <c r="T202" s="46"/>
      <c r="U202" s="46"/>
      <c r="V202" s="46"/>
      <c r="W202" s="46"/>
      <c r="X202" s="46"/>
      <c r="Y202" s="46"/>
      <c r="Z202" s="46"/>
      <c r="AA202" s="28"/>
      <c r="AE202" s="188" t="s">
        <v>1242</v>
      </c>
    </row>
    <row r="203" spans="1:31">
      <c r="A203" s="26"/>
      <c r="C203" s="46"/>
      <c r="D203" s="46"/>
      <c r="F203" s="63" t="s">
        <v>1125</v>
      </c>
      <c r="G203" s="74"/>
      <c r="H203" s="46"/>
      <c r="I203" s="46"/>
      <c r="J203" s="46"/>
      <c r="K203" s="46"/>
      <c r="L203" s="46"/>
      <c r="M203" s="46"/>
      <c r="N203" s="46"/>
      <c r="O203" s="46"/>
      <c r="P203" s="46"/>
      <c r="Q203" s="46"/>
      <c r="R203" s="46"/>
      <c r="S203" s="46"/>
      <c r="T203" s="46"/>
      <c r="U203" s="46"/>
      <c r="V203" s="46"/>
      <c r="W203" s="46"/>
      <c r="X203" s="46"/>
      <c r="Y203" s="46"/>
      <c r="Z203" s="46"/>
      <c r="AA203" s="28"/>
      <c r="AE203" s="188" t="s">
        <v>1242</v>
      </c>
    </row>
    <row r="204" spans="1:31">
      <c r="A204" s="26"/>
      <c r="C204" s="46"/>
      <c r="D204" s="46"/>
      <c r="F204" s="63" t="s">
        <v>1124</v>
      </c>
      <c r="G204" s="74"/>
      <c r="H204" s="46"/>
      <c r="I204" s="46"/>
      <c r="J204" s="46"/>
      <c r="K204" s="46"/>
      <c r="L204" s="46"/>
      <c r="M204" s="46"/>
      <c r="N204" s="46"/>
      <c r="O204" s="46"/>
      <c r="P204" s="46"/>
      <c r="Q204" s="46"/>
      <c r="R204" s="46"/>
      <c r="S204" s="46"/>
      <c r="T204" s="46"/>
      <c r="U204" s="46"/>
      <c r="V204" s="46"/>
      <c r="W204" s="46"/>
      <c r="X204" s="46"/>
      <c r="Y204" s="46"/>
      <c r="Z204" s="46"/>
      <c r="AA204" s="28"/>
      <c r="AE204" s="188" t="s">
        <v>1242</v>
      </c>
    </row>
    <row r="205" spans="1:31">
      <c r="A205" s="26"/>
      <c r="C205" s="46"/>
      <c r="D205" s="46"/>
      <c r="E205" s="63" t="s">
        <v>1090</v>
      </c>
      <c r="F205" s="46"/>
      <c r="G205" s="74"/>
      <c r="H205" s="46"/>
      <c r="I205" s="46"/>
      <c r="J205" s="46"/>
      <c r="K205" s="46"/>
      <c r="L205" s="46"/>
      <c r="M205" s="46"/>
      <c r="N205" s="46"/>
      <c r="O205" s="46"/>
      <c r="P205" s="46"/>
      <c r="Q205" s="46"/>
      <c r="R205" s="46"/>
      <c r="S205" s="46"/>
      <c r="T205" s="46"/>
      <c r="U205" s="46"/>
      <c r="V205" s="46"/>
      <c r="W205" s="46"/>
      <c r="X205" s="46"/>
      <c r="Y205" s="46"/>
      <c r="Z205" s="46"/>
      <c r="AA205" s="28"/>
      <c r="AE205" s="188" t="s">
        <v>1242</v>
      </c>
    </row>
    <row r="206" spans="1:31">
      <c r="A206" s="26"/>
      <c r="C206" s="46"/>
      <c r="D206" s="46"/>
      <c r="F206" s="63" t="s">
        <v>1105</v>
      </c>
      <c r="G206" s="74"/>
      <c r="H206" s="46"/>
      <c r="I206" s="46"/>
      <c r="J206" s="46"/>
      <c r="K206" s="46"/>
      <c r="L206" s="46"/>
      <c r="M206" s="46"/>
      <c r="N206" s="46"/>
      <c r="O206" s="46"/>
      <c r="P206" s="46"/>
      <c r="Q206" s="46"/>
      <c r="R206" s="46"/>
      <c r="S206" s="46"/>
      <c r="T206" s="46"/>
      <c r="U206" s="46"/>
      <c r="V206" s="46"/>
      <c r="W206" s="46"/>
      <c r="X206" s="46"/>
      <c r="Y206" s="46"/>
      <c r="Z206" s="46"/>
      <c r="AA206" s="28"/>
      <c r="AE206" s="188" t="s">
        <v>1242</v>
      </c>
    </row>
    <row r="207" spans="1:31">
      <c r="A207" s="26"/>
      <c r="C207" s="46"/>
      <c r="D207" s="46"/>
      <c r="F207" s="63" t="s">
        <v>1092</v>
      </c>
      <c r="G207" s="74"/>
      <c r="H207" s="46"/>
      <c r="I207" s="46"/>
      <c r="J207" s="46"/>
      <c r="K207" s="46"/>
      <c r="L207" s="46"/>
      <c r="M207" s="46"/>
      <c r="N207" s="46"/>
      <c r="O207" s="46"/>
      <c r="P207" s="46"/>
      <c r="Q207" s="46"/>
      <c r="R207" s="46"/>
      <c r="S207" s="46"/>
      <c r="T207" s="46"/>
      <c r="U207" s="46"/>
      <c r="V207" s="46"/>
      <c r="W207" s="46"/>
      <c r="X207" s="46"/>
      <c r="Y207" s="46"/>
      <c r="Z207" s="46"/>
      <c r="AA207" s="28"/>
      <c r="AE207" s="188" t="s">
        <v>1242</v>
      </c>
    </row>
    <row r="208" spans="1:31">
      <c r="A208" s="26"/>
      <c r="C208" s="46"/>
      <c r="D208" s="46"/>
      <c r="E208" s="63" t="s">
        <v>1094</v>
      </c>
      <c r="F208" s="46"/>
      <c r="G208" s="74"/>
      <c r="H208" s="46"/>
      <c r="I208" s="46"/>
      <c r="J208" s="46"/>
      <c r="K208" s="46"/>
      <c r="L208" s="46"/>
      <c r="M208" s="46"/>
      <c r="N208" s="46"/>
      <c r="O208" s="46"/>
      <c r="P208" s="46"/>
      <c r="Q208" s="46"/>
      <c r="R208" s="46"/>
      <c r="S208" s="46"/>
      <c r="T208" s="46"/>
      <c r="U208" s="46"/>
      <c r="V208" s="46"/>
      <c r="W208" s="46"/>
      <c r="X208" s="46"/>
      <c r="Y208" s="46"/>
      <c r="Z208" s="46"/>
      <c r="AA208" s="28"/>
      <c r="AE208" s="188" t="s">
        <v>1242</v>
      </c>
    </row>
    <row r="209" spans="1:33">
      <c r="A209" s="26"/>
      <c r="C209" s="46"/>
      <c r="D209" s="46"/>
      <c r="F209" s="63" t="s">
        <v>1106</v>
      </c>
      <c r="G209" s="74"/>
      <c r="H209" s="46"/>
      <c r="I209" s="46"/>
      <c r="J209" s="46"/>
      <c r="K209" s="46"/>
      <c r="L209" s="46"/>
      <c r="M209" s="46"/>
      <c r="N209" s="46"/>
      <c r="O209" s="46"/>
      <c r="P209" s="46"/>
      <c r="Q209" s="46"/>
      <c r="R209" s="46"/>
      <c r="S209" s="46"/>
      <c r="T209" s="46"/>
      <c r="U209" s="46"/>
      <c r="V209" s="46"/>
      <c r="W209" s="46"/>
      <c r="X209" s="46"/>
      <c r="Y209" s="46"/>
      <c r="Z209" s="46"/>
      <c r="AA209" s="28"/>
      <c r="AE209" s="188" t="s">
        <v>1242</v>
      </c>
    </row>
    <row r="210" spans="1:33">
      <c r="A210" s="26"/>
      <c r="C210" s="46"/>
      <c r="D210" s="46"/>
      <c r="F210" s="63" t="s">
        <v>1096</v>
      </c>
      <c r="G210" s="74"/>
      <c r="H210" s="46"/>
      <c r="I210" s="46"/>
      <c r="J210" s="46"/>
      <c r="K210" s="46"/>
      <c r="L210" s="46"/>
      <c r="M210" s="46"/>
      <c r="N210" s="46"/>
      <c r="O210" s="46"/>
      <c r="P210" s="46"/>
      <c r="Q210" s="46"/>
      <c r="R210" s="46"/>
      <c r="S210" s="46"/>
      <c r="T210" s="46"/>
      <c r="U210" s="46"/>
      <c r="V210" s="46"/>
      <c r="W210" s="46"/>
      <c r="X210" s="46"/>
      <c r="Y210" s="46"/>
      <c r="Z210" s="46"/>
      <c r="AA210" s="28"/>
      <c r="AE210" s="188" t="s">
        <v>1242</v>
      </c>
    </row>
    <row r="211" spans="1:33">
      <c r="A211" s="26"/>
      <c r="C211" s="46"/>
      <c r="D211" s="46"/>
      <c r="F211" s="63" t="s">
        <v>1097</v>
      </c>
      <c r="G211" s="74"/>
      <c r="H211" s="46"/>
      <c r="I211" s="46"/>
      <c r="J211" s="46"/>
      <c r="K211" s="46"/>
      <c r="L211" s="46"/>
      <c r="M211" s="46"/>
      <c r="N211" s="46"/>
      <c r="O211" s="46"/>
      <c r="P211" s="46"/>
      <c r="Q211" s="46"/>
      <c r="R211" s="46"/>
      <c r="S211" s="46"/>
      <c r="T211" s="46"/>
      <c r="U211" s="46"/>
      <c r="V211" s="46"/>
      <c r="W211" s="46"/>
      <c r="X211" s="46"/>
      <c r="Y211" s="46"/>
      <c r="Z211" s="46"/>
      <c r="AA211" s="28"/>
      <c r="AE211" s="188" t="s">
        <v>1242</v>
      </c>
    </row>
    <row r="212" spans="1:33">
      <c r="A212" s="26"/>
      <c r="C212" s="46"/>
      <c r="D212" s="63" t="s">
        <v>1066</v>
      </c>
      <c r="E212" s="63"/>
      <c r="F212" s="46"/>
      <c r="G212" s="74"/>
      <c r="H212" s="46"/>
      <c r="I212" s="46"/>
      <c r="J212" s="46"/>
      <c r="K212" s="46"/>
      <c r="L212" s="46"/>
      <c r="M212" s="46"/>
      <c r="N212" s="46"/>
      <c r="O212" s="46"/>
      <c r="P212" s="46"/>
      <c r="Q212" s="46"/>
      <c r="R212" s="46"/>
      <c r="S212" s="46"/>
      <c r="T212" s="46"/>
      <c r="U212" s="46"/>
      <c r="V212" s="46"/>
      <c r="W212" s="46"/>
      <c r="X212" s="46"/>
      <c r="Y212" s="46"/>
      <c r="Z212" s="46"/>
      <c r="AA212" s="28"/>
      <c r="AE212" s="188" t="s">
        <v>1242</v>
      </c>
    </row>
    <row r="213" spans="1:33">
      <c r="A213" s="26"/>
      <c r="C213" s="46"/>
      <c r="D213" s="63"/>
      <c r="E213" s="63" t="s">
        <v>1110</v>
      </c>
      <c r="F213" s="46"/>
      <c r="G213" s="74"/>
      <c r="H213" s="46"/>
      <c r="I213" s="46"/>
      <c r="J213" s="46"/>
      <c r="K213" s="46"/>
      <c r="L213" s="46"/>
      <c r="M213" s="46"/>
      <c r="N213" s="46"/>
      <c r="O213" s="46"/>
      <c r="P213" s="46"/>
      <c r="Q213" s="46"/>
      <c r="R213" s="46"/>
      <c r="S213" s="46"/>
      <c r="T213" s="46"/>
      <c r="U213" s="46"/>
      <c r="V213" s="46"/>
      <c r="W213" s="46"/>
      <c r="X213" s="46"/>
      <c r="Y213" s="46"/>
      <c r="Z213" s="46"/>
      <c r="AA213" s="28"/>
      <c r="AE213" s="188" t="s">
        <v>1242</v>
      </c>
    </row>
    <row r="214" spans="1:33">
      <c r="A214" s="26"/>
      <c r="C214" s="46"/>
      <c r="D214" s="63"/>
      <c r="E214" s="63" t="s">
        <v>1111</v>
      </c>
      <c r="F214" s="46"/>
      <c r="G214" s="74"/>
      <c r="H214" s="46"/>
      <c r="I214" s="46"/>
      <c r="J214" s="46"/>
      <c r="K214" s="46"/>
      <c r="L214" s="46"/>
      <c r="M214" s="46"/>
      <c r="N214" s="46"/>
      <c r="O214" s="46"/>
      <c r="P214" s="46"/>
      <c r="Q214" s="46"/>
      <c r="R214" s="46"/>
      <c r="S214" s="46"/>
      <c r="T214" s="46"/>
      <c r="U214" s="46"/>
      <c r="V214" s="46"/>
      <c r="W214" s="46"/>
      <c r="X214" s="46"/>
      <c r="Y214" s="46"/>
      <c r="Z214" s="46"/>
      <c r="AA214" s="28"/>
      <c r="AE214" s="188" t="s">
        <v>1242</v>
      </c>
    </row>
    <row r="215" spans="1:33">
      <c r="A215" s="26"/>
      <c r="C215" s="46"/>
      <c r="D215" s="63" t="s">
        <v>1081</v>
      </c>
      <c r="E215" s="63"/>
      <c r="F215" s="46"/>
      <c r="G215" s="74"/>
      <c r="H215" s="46"/>
      <c r="I215" s="46"/>
      <c r="J215" s="46"/>
      <c r="K215" s="46"/>
      <c r="L215" s="46"/>
      <c r="M215" s="46"/>
      <c r="N215" s="46"/>
      <c r="O215" s="46"/>
      <c r="P215" s="46"/>
      <c r="Q215" s="46"/>
      <c r="R215" s="46"/>
      <c r="S215" s="46"/>
      <c r="T215" s="46"/>
      <c r="U215" s="46"/>
      <c r="V215" s="46"/>
      <c r="W215" s="46"/>
      <c r="X215" s="46"/>
      <c r="Y215" s="46"/>
      <c r="Z215" s="46"/>
      <c r="AA215" s="28"/>
      <c r="AE215" s="188" t="s">
        <v>1242</v>
      </c>
    </row>
    <row r="216" spans="1:33">
      <c r="A216" s="26"/>
      <c r="C216" s="46"/>
      <c r="D216" s="63"/>
      <c r="E216" s="63" t="s">
        <v>1107</v>
      </c>
      <c r="F216" s="46"/>
      <c r="G216" s="74"/>
      <c r="H216" s="46"/>
      <c r="I216" s="46"/>
      <c r="J216" s="46"/>
      <c r="K216" s="46"/>
      <c r="L216" s="46"/>
      <c r="M216" s="46"/>
      <c r="N216" s="46"/>
      <c r="O216" s="46"/>
      <c r="P216" s="46"/>
      <c r="Q216" s="46"/>
      <c r="R216" s="46"/>
      <c r="S216" s="46"/>
      <c r="T216" s="46"/>
      <c r="U216" s="46"/>
      <c r="V216" s="46"/>
      <c r="W216" s="46"/>
      <c r="X216" s="46"/>
      <c r="Y216" s="46"/>
      <c r="Z216" s="46"/>
      <c r="AA216" s="28"/>
      <c r="AE216" s="188" t="s">
        <v>1242</v>
      </c>
    </row>
    <row r="217" spans="1:33">
      <c r="A217" s="26"/>
      <c r="C217" s="46"/>
      <c r="D217" s="63"/>
      <c r="E217" s="63" t="s">
        <v>1137</v>
      </c>
      <c r="F217" s="46"/>
      <c r="G217" s="74"/>
      <c r="H217" s="46"/>
      <c r="I217" s="46"/>
      <c r="J217" s="46"/>
      <c r="K217" s="46"/>
      <c r="L217" s="46"/>
      <c r="M217" s="46"/>
      <c r="N217" s="46"/>
      <c r="O217" s="46"/>
      <c r="P217" s="46"/>
      <c r="Q217" s="46"/>
      <c r="R217" s="46"/>
      <c r="S217" s="46"/>
      <c r="T217" s="46"/>
      <c r="U217" s="46"/>
      <c r="V217" s="46"/>
      <c r="W217" s="46"/>
      <c r="X217" s="46"/>
      <c r="Y217" s="46"/>
      <c r="Z217" s="46"/>
      <c r="AA217" s="28"/>
      <c r="AE217" s="188" t="s">
        <v>1242</v>
      </c>
    </row>
    <row r="218" spans="1:33">
      <c r="A218" s="26"/>
      <c r="C218" s="46"/>
      <c r="D218" s="46"/>
      <c r="E218" s="63" t="s">
        <v>1108</v>
      </c>
      <c r="F218" s="46"/>
      <c r="G218" s="74"/>
      <c r="H218" s="46"/>
      <c r="I218" s="46"/>
      <c r="J218" s="46"/>
      <c r="K218" s="46"/>
      <c r="L218" s="46"/>
      <c r="M218" s="46"/>
      <c r="N218" s="46"/>
      <c r="O218" s="46"/>
      <c r="P218" s="46"/>
      <c r="Q218" s="46"/>
      <c r="R218" s="46"/>
      <c r="S218" s="46"/>
      <c r="T218" s="46"/>
      <c r="U218" s="46"/>
      <c r="V218" s="46"/>
      <c r="W218" s="46"/>
      <c r="X218" s="46"/>
      <c r="Y218" s="46"/>
      <c r="Z218" s="46"/>
      <c r="AA218" s="28"/>
      <c r="AE218" s="188" t="s">
        <v>1242</v>
      </c>
    </row>
    <row r="219" spans="1:33">
      <c r="A219" s="26"/>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28"/>
      <c r="AC219" s="27" t="e">
        <f>""""&amp;#REF!&amp;""":""example"&amp;#REF!&amp;"""},"</f>
        <v>#REF!</v>
      </c>
    </row>
    <row r="220" spans="1:33">
      <c r="A220" s="26"/>
      <c r="C220" s="243" t="s">
        <v>218</v>
      </c>
      <c r="D220" s="244"/>
      <c r="E220" s="244"/>
      <c r="F220" s="244"/>
      <c r="G220" s="244"/>
      <c r="H220" s="244"/>
      <c r="I220" s="244"/>
      <c r="J220" s="244"/>
      <c r="K220" s="244"/>
      <c r="L220" s="244"/>
      <c r="M220" s="244"/>
      <c r="N220" s="244"/>
      <c r="O220" s="244"/>
      <c r="P220" s="244"/>
      <c r="Q220" s="244"/>
      <c r="R220" s="244"/>
      <c r="S220" s="244"/>
      <c r="T220" s="244"/>
      <c r="U220" s="244"/>
      <c r="V220" s="244"/>
      <c r="W220" s="244"/>
      <c r="X220" s="244"/>
      <c r="Y220" s="244"/>
      <c r="Z220" s="244"/>
      <c r="AA220" s="28"/>
      <c r="AE220" s="188" t="s">
        <v>1312</v>
      </c>
    </row>
    <row r="221" spans="1:33">
      <c r="A221" s="26"/>
      <c r="C221" s="364" t="s">
        <v>7</v>
      </c>
      <c r="D221" s="364"/>
      <c r="E221" s="364" t="s">
        <v>9</v>
      </c>
      <c r="F221" s="364"/>
      <c r="G221" s="364"/>
      <c r="H221" s="364"/>
      <c r="I221" s="364"/>
      <c r="J221" s="368" t="s">
        <v>18</v>
      </c>
      <c r="K221" s="369"/>
      <c r="L221" s="369"/>
      <c r="M221" s="369"/>
      <c r="N221" s="369"/>
      <c r="O221" s="369"/>
      <c r="P221" s="369"/>
      <c r="Q221" s="369"/>
      <c r="R221" s="369"/>
      <c r="S221" s="369"/>
      <c r="T221" s="369"/>
      <c r="U221" s="369"/>
      <c r="V221" s="369"/>
      <c r="W221" s="369"/>
      <c r="X221" s="369"/>
      <c r="Y221" s="369"/>
      <c r="Z221" s="370"/>
      <c r="AA221" s="28"/>
      <c r="AE221" s="188" t="s">
        <v>1312</v>
      </c>
    </row>
    <row r="222" spans="1:33">
      <c r="A222" s="26"/>
      <c r="C222" s="346">
        <v>1</v>
      </c>
      <c r="D222" s="346"/>
      <c r="E222" s="372" t="s">
        <v>356</v>
      </c>
      <c r="F222" s="372"/>
      <c r="G222" s="372"/>
      <c r="H222" s="372"/>
      <c r="I222" s="372"/>
      <c r="J222" s="245"/>
      <c r="K222" s="246"/>
      <c r="L222" s="246"/>
      <c r="M222" s="246"/>
      <c r="N222" s="246"/>
      <c r="O222" s="246"/>
      <c r="P222" s="246"/>
      <c r="Q222" s="246"/>
      <c r="R222" s="246"/>
      <c r="S222" s="246"/>
      <c r="T222" s="246"/>
      <c r="U222" s="246"/>
      <c r="V222" s="246"/>
      <c r="W222" s="246"/>
      <c r="X222" s="246"/>
      <c r="Y222" s="246"/>
      <c r="Z222" s="247"/>
      <c r="AA222" s="28"/>
      <c r="AE222" s="188" t="s">
        <v>1312</v>
      </c>
    </row>
    <row r="223" spans="1:33">
      <c r="A223" s="26"/>
      <c r="C223" s="346">
        <v>2</v>
      </c>
      <c r="D223" s="346"/>
      <c r="E223" s="248"/>
      <c r="F223" s="246" t="s">
        <v>180</v>
      </c>
      <c r="G223" s="246"/>
      <c r="H223" s="246"/>
      <c r="I223" s="247"/>
      <c r="J223" s="245" t="s">
        <v>1308</v>
      </c>
      <c r="K223" s="246"/>
      <c r="L223" s="246"/>
      <c r="M223" s="246"/>
      <c r="N223" s="246"/>
      <c r="O223" s="246"/>
      <c r="P223" s="246"/>
      <c r="Q223" s="246"/>
      <c r="R223" s="246"/>
      <c r="S223" s="246"/>
      <c r="T223" s="246"/>
      <c r="U223" s="246"/>
      <c r="V223" s="246"/>
      <c r="W223" s="246"/>
      <c r="X223" s="246"/>
      <c r="Y223" s="246"/>
      <c r="Z223" s="247"/>
      <c r="AA223" s="28"/>
      <c r="AE223" s="188" t="s">
        <v>1312</v>
      </c>
      <c r="AF223" s="196"/>
      <c r="AG223" s="63"/>
    </row>
    <row r="224" spans="1:33">
      <c r="A224" s="26"/>
      <c r="C224" s="371">
        <v>3</v>
      </c>
      <c r="D224" s="371"/>
      <c r="E224" s="249"/>
      <c r="F224" s="193" t="s">
        <v>1144</v>
      </c>
      <c r="G224" s="193"/>
      <c r="H224" s="193"/>
      <c r="I224" s="194"/>
      <c r="J224" s="195"/>
      <c r="K224" s="193"/>
      <c r="L224" s="193"/>
      <c r="M224" s="193"/>
      <c r="N224" s="246"/>
      <c r="O224" s="246"/>
      <c r="P224" s="246"/>
      <c r="Q224" s="246"/>
      <c r="R224" s="246"/>
      <c r="S224" s="246"/>
      <c r="T224" s="246"/>
      <c r="U224" s="246"/>
      <c r="V224" s="246"/>
      <c r="W224" s="246"/>
      <c r="X224" s="246"/>
      <c r="Y224" s="246"/>
      <c r="Z224" s="247"/>
      <c r="AA224" s="28"/>
      <c r="AE224" s="188" t="s">
        <v>1312</v>
      </c>
      <c r="AF224" s="196"/>
      <c r="AG224" s="63"/>
    </row>
    <row r="225" spans="1:33">
      <c r="A225" s="26"/>
      <c r="C225" s="353" t="s">
        <v>1145</v>
      </c>
      <c r="D225" s="353"/>
      <c r="E225" s="248"/>
      <c r="F225" s="246"/>
      <c r="G225" s="246" t="s">
        <v>74</v>
      </c>
      <c r="H225" s="246"/>
      <c r="I225" s="247"/>
      <c r="J225" s="245" t="s">
        <v>357</v>
      </c>
      <c r="K225" s="246"/>
      <c r="L225" s="246"/>
      <c r="M225" s="246"/>
      <c r="N225" s="246"/>
      <c r="O225" s="246"/>
      <c r="P225" s="246"/>
      <c r="Q225" s="246"/>
      <c r="R225" s="246"/>
      <c r="S225" s="246"/>
      <c r="T225" s="246"/>
      <c r="U225" s="246"/>
      <c r="V225" s="246"/>
      <c r="W225" s="246"/>
      <c r="X225" s="246"/>
      <c r="Y225" s="246"/>
      <c r="Z225" s="247"/>
      <c r="AA225" s="28"/>
      <c r="AC225" s="27" t="str">
        <f>""""&amp;J290&amp;""":""example"&amp;J290&amp;""","</f>
        <v>"":"example",</v>
      </c>
      <c r="AE225" s="188" t="s">
        <v>1312</v>
      </c>
      <c r="AG225" s="63"/>
    </row>
    <row r="226" spans="1:33">
      <c r="A226" s="26"/>
      <c r="C226" s="353" t="s">
        <v>1146</v>
      </c>
      <c r="D226" s="353"/>
      <c r="E226" s="248"/>
      <c r="F226" s="246"/>
      <c r="G226" s="250" t="s">
        <v>207</v>
      </c>
      <c r="H226" s="246"/>
      <c r="I226" s="247"/>
      <c r="J226" s="245" t="s">
        <v>220</v>
      </c>
      <c r="K226" s="246"/>
      <c r="L226" s="246"/>
      <c r="M226" s="246"/>
      <c r="N226" s="246"/>
      <c r="O226" s="246"/>
      <c r="P226" s="246"/>
      <c r="Q226" s="246"/>
      <c r="R226" s="246"/>
      <c r="S226" s="246"/>
      <c r="T226" s="246"/>
      <c r="U226" s="246"/>
      <c r="V226" s="246"/>
      <c r="W226" s="246"/>
      <c r="X226" s="246"/>
      <c r="Y226" s="246"/>
      <c r="Z226" s="247"/>
      <c r="AA226" s="28"/>
      <c r="AC226" s="27" t="e">
        <f>""""&amp;#REF!&amp;""":""example"&amp;#REF!&amp;""","</f>
        <v>#REF!</v>
      </c>
      <c r="AE226" s="188" t="s">
        <v>1312</v>
      </c>
      <c r="AG226" s="63"/>
    </row>
    <row r="227" spans="1:33">
      <c r="A227" s="26"/>
      <c r="C227" s="353" t="s">
        <v>1147</v>
      </c>
      <c r="D227" s="353"/>
      <c r="E227" s="248"/>
      <c r="F227" s="246"/>
      <c r="G227" s="250" t="s">
        <v>208</v>
      </c>
      <c r="H227" s="246"/>
      <c r="I227" s="247"/>
      <c r="J227" s="245" t="s">
        <v>358</v>
      </c>
      <c r="K227" s="246"/>
      <c r="L227" s="246"/>
      <c r="M227" s="246"/>
      <c r="N227" s="246"/>
      <c r="O227" s="246"/>
      <c r="P227" s="246"/>
      <c r="Q227" s="246"/>
      <c r="R227" s="246"/>
      <c r="S227" s="246"/>
      <c r="T227" s="246"/>
      <c r="U227" s="246"/>
      <c r="V227" s="246"/>
      <c r="W227" s="246"/>
      <c r="X227" s="246"/>
      <c r="Y227" s="246"/>
      <c r="Z227" s="247"/>
      <c r="AA227" s="28"/>
      <c r="AC227" s="27" t="e">
        <f>""""&amp;#REF!&amp;""":""example"&amp;#REF!&amp;""","</f>
        <v>#REF!</v>
      </c>
      <c r="AE227" s="188" t="s">
        <v>1312</v>
      </c>
      <c r="AG227" s="63"/>
    </row>
    <row r="228" spans="1:33">
      <c r="A228" s="26"/>
      <c r="C228" s="353" t="s">
        <v>1148</v>
      </c>
      <c r="D228" s="353"/>
      <c r="E228" s="245"/>
      <c r="F228" s="246"/>
      <c r="G228" s="246" t="s">
        <v>209</v>
      </c>
      <c r="H228" s="246"/>
      <c r="I228" s="247"/>
      <c r="J228" s="245" t="s">
        <v>221</v>
      </c>
      <c r="K228" s="246"/>
      <c r="L228" s="246"/>
      <c r="M228" s="246"/>
      <c r="N228" s="246"/>
      <c r="O228" s="246"/>
      <c r="P228" s="246"/>
      <c r="Q228" s="246"/>
      <c r="R228" s="246"/>
      <c r="S228" s="246"/>
      <c r="T228" s="246"/>
      <c r="U228" s="246"/>
      <c r="V228" s="246"/>
      <c r="W228" s="246"/>
      <c r="X228" s="246"/>
      <c r="Y228" s="246"/>
      <c r="Z228" s="247"/>
      <c r="AA228" s="28"/>
      <c r="AC228" s="27" t="e">
        <f>""""&amp;#REF!&amp;""":""example"&amp;#REF!&amp;"""},"</f>
        <v>#REF!</v>
      </c>
      <c r="AE228" s="188" t="s">
        <v>1312</v>
      </c>
      <c r="AG228" s="63"/>
    </row>
    <row r="229" spans="1:33">
      <c r="A229" s="26"/>
      <c r="C229" s="353" t="s">
        <v>1149</v>
      </c>
      <c r="D229" s="353"/>
      <c r="E229" s="245"/>
      <c r="F229" s="246"/>
      <c r="G229" s="246" t="s">
        <v>494</v>
      </c>
      <c r="H229" s="246"/>
      <c r="I229" s="247"/>
      <c r="J229" s="245" t="s">
        <v>495</v>
      </c>
      <c r="K229" s="246"/>
      <c r="L229" s="246"/>
      <c r="M229" s="246"/>
      <c r="N229" s="246"/>
      <c r="O229" s="246"/>
      <c r="P229" s="246"/>
      <c r="Q229" s="246"/>
      <c r="R229" s="246"/>
      <c r="S229" s="246"/>
      <c r="T229" s="246"/>
      <c r="U229" s="246"/>
      <c r="V229" s="246"/>
      <c r="W229" s="246"/>
      <c r="X229" s="246"/>
      <c r="Y229" s="246"/>
      <c r="Z229" s="247"/>
      <c r="AA229" s="28"/>
      <c r="AC229" s="27" t="e">
        <f>""""&amp;#REF!&amp;""":""example"&amp;#REF!&amp;""","</f>
        <v>#REF!</v>
      </c>
      <c r="AE229" s="188" t="s">
        <v>1312</v>
      </c>
      <c r="AG229" s="63"/>
    </row>
    <row r="230" spans="1:33">
      <c r="A230" s="26"/>
      <c r="C230" s="353" t="s">
        <v>1150</v>
      </c>
      <c r="D230" s="353"/>
      <c r="E230" s="195"/>
      <c r="F230" s="246"/>
      <c r="G230" s="193" t="s">
        <v>1142</v>
      </c>
      <c r="H230" s="193"/>
      <c r="I230" s="194"/>
      <c r="J230" s="195" t="s">
        <v>1143</v>
      </c>
      <c r="K230" s="193"/>
      <c r="L230" s="193"/>
      <c r="M230" s="246"/>
      <c r="N230" s="246"/>
      <c r="O230" s="246"/>
      <c r="P230" s="246"/>
      <c r="Q230" s="246"/>
      <c r="R230" s="246"/>
      <c r="S230" s="246"/>
      <c r="T230" s="246"/>
      <c r="U230" s="246"/>
      <c r="V230" s="246"/>
      <c r="W230" s="246"/>
      <c r="X230" s="246"/>
      <c r="Y230" s="246"/>
      <c r="Z230" s="247"/>
      <c r="AA230" s="28"/>
      <c r="AC230" s="27" t="e">
        <f>""""&amp;#REF!&amp;""":""example"&amp;#REF!&amp;""","</f>
        <v>#REF!</v>
      </c>
      <c r="AE230" s="188" t="s">
        <v>1312</v>
      </c>
      <c r="AG230" s="63"/>
    </row>
    <row r="231" spans="1:33">
      <c r="A231" s="26"/>
      <c r="C231" s="353" t="s">
        <v>1151</v>
      </c>
      <c r="D231" s="353"/>
      <c r="E231" s="245"/>
      <c r="F231" s="246"/>
      <c r="G231" s="246" t="s">
        <v>287</v>
      </c>
      <c r="H231" s="246"/>
      <c r="I231" s="247"/>
      <c r="J231" s="245" t="s">
        <v>496</v>
      </c>
      <c r="K231" s="246"/>
      <c r="L231" s="246"/>
      <c r="M231" s="246"/>
      <c r="N231" s="246"/>
      <c r="O231" s="246"/>
      <c r="P231" s="246"/>
      <c r="Q231" s="246"/>
      <c r="R231" s="246"/>
      <c r="S231" s="246"/>
      <c r="T231" s="246"/>
      <c r="U231" s="246"/>
      <c r="V231" s="246"/>
      <c r="W231" s="246"/>
      <c r="X231" s="246"/>
      <c r="Y231" s="246"/>
      <c r="Z231" s="247"/>
      <c r="AA231" s="28"/>
      <c r="AC231" s="27" t="e">
        <f>""""&amp;#REF!&amp;""":""example"&amp;#REF!&amp;""","</f>
        <v>#REF!</v>
      </c>
      <c r="AE231" s="188" t="s">
        <v>1312</v>
      </c>
      <c r="AG231" s="63"/>
    </row>
    <row r="232" spans="1:33">
      <c r="A232" s="26"/>
      <c r="C232" s="346">
        <v>4</v>
      </c>
      <c r="D232" s="346"/>
      <c r="E232" s="245"/>
      <c r="F232" s="246" t="s">
        <v>210</v>
      </c>
      <c r="G232" s="246"/>
      <c r="H232" s="246"/>
      <c r="I232" s="247"/>
      <c r="J232" s="245" t="s">
        <v>359</v>
      </c>
      <c r="K232" s="246"/>
      <c r="L232" s="246"/>
      <c r="M232" s="246"/>
      <c r="N232" s="246"/>
      <c r="O232" s="246"/>
      <c r="P232" s="246"/>
      <c r="Q232" s="246"/>
      <c r="R232" s="246"/>
      <c r="S232" s="246"/>
      <c r="T232" s="246"/>
      <c r="U232" s="246"/>
      <c r="V232" s="246"/>
      <c r="W232" s="246"/>
      <c r="X232" s="246"/>
      <c r="Y232" s="246"/>
      <c r="Z232" s="247"/>
      <c r="AA232" s="28"/>
      <c r="AC232" s="27" t="e">
        <f>""""&amp;#REF!&amp;""":""example"&amp;#REF!&amp;"""},"</f>
        <v>#REF!</v>
      </c>
      <c r="AE232" s="188" t="s">
        <v>1312</v>
      </c>
      <c r="AG232" s="63"/>
    </row>
    <row r="233" spans="1:33">
      <c r="A233" s="26"/>
      <c r="C233" s="346">
        <v>5</v>
      </c>
      <c r="D233" s="346"/>
      <c r="E233" s="248"/>
      <c r="F233" s="246" t="s">
        <v>211</v>
      </c>
      <c r="G233" s="246"/>
      <c r="H233" s="246"/>
      <c r="I233" s="247"/>
      <c r="J233" s="245" t="s">
        <v>219</v>
      </c>
      <c r="K233" s="246"/>
      <c r="L233" s="246"/>
      <c r="M233" s="246"/>
      <c r="N233" s="246"/>
      <c r="O233" s="246"/>
      <c r="P233" s="246"/>
      <c r="Q233" s="246"/>
      <c r="R233" s="246"/>
      <c r="S233" s="246"/>
      <c r="T233" s="246"/>
      <c r="U233" s="246"/>
      <c r="V233" s="246"/>
      <c r="W233" s="246"/>
      <c r="X233" s="246"/>
      <c r="Y233" s="246"/>
      <c r="Z233" s="247"/>
      <c r="AA233" s="28"/>
      <c r="AC233" s="27" t="e">
        <f>""""&amp;#REF!&amp;""":""example"&amp;#REF!&amp;"""},"</f>
        <v>#REF!</v>
      </c>
      <c r="AE233" s="188" t="s">
        <v>1312</v>
      </c>
      <c r="AG233" s="63"/>
    </row>
    <row r="234" spans="1:33">
      <c r="A234" s="26"/>
      <c r="C234" s="346">
        <v>6</v>
      </c>
      <c r="D234" s="346"/>
      <c r="E234" s="248"/>
      <c r="F234" s="246" t="s">
        <v>212</v>
      </c>
      <c r="G234" s="246"/>
      <c r="H234" s="246"/>
      <c r="I234" s="247"/>
      <c r="J234" s="245" t="s">
        <v>360</v>
      </c>
      <c r="K234" s="246"/>
      <c r="L234" s="246"/>
      <c r="M234" s="246"/>
      <c r="N234" s="246"/>
      <c r="O234" s="246"/>
      <c r="P234" s="246"/>
      <c r="Q234" s="246"/>
      <c r="R234" s="246"/>
      <c r="S234" s="246"/>
      <c r="T234" s="246"/>
      <c r="U234" s="246"/>
      <c r="V234" s="246"/>
      <c r="W234" s="246"/>
      <c r="X234" s="246"/>
      <c r="Y234" s="246"/>
      <c r="Z234" s="247"/>
      <c r="AA234" s="28"/>
      <c r="AC234" s="27" t="e">
        <f>""""&amp;#REF!&amp;""":""example"&amp;#REF!&amp;"""},"</f>
        <v>#REF!</v>
      </c>
      <c r="AE234" s="188" t="s">
        <v>1312</v>
      </c>
      <c r="AG234" s="36"/>
    </row>
    <row r="235" spans="1:33">
      <c r="A235" s="26"/>
      <c r="C235" s="346">
        <v>7</v>
      </c>
      <c r="D235" s="346"/>
      <c r="E235" s="248"/>
      <c r="F235" s="250" t="s">
        <v>213</v>
      </c>
      <c r="G235" s="246"/>
      <c r="H235" s="246"/>
      <c r="I235" s="247"/>
      <c r="J235" s="245" t="s">
        <v>361</v>
      </c>
      <c r="K235" s="246"/>
      <c r="L235" s="246"/>
      <c r="M235" s="246"/>
      <c r="N235" s="246"/>
      <c r="O235" s="246"/>
      <c r="P235" s="246"/>
      <c r="Q235" s="246"/>
      <c r="R235" s="246"/>
      <c r="S235" s="246"/>
      <c r="T235" s="246"/>
      <c r="U235" s="246"/>
      <c r="V235" s="246"/>
      <c r="W235" s="246"/>
      <c r="X235" s="246"/>
      <c r="Y235" s="246"/>
      <c r="Z235" s="247"/>
      <c r="AA235" s="28"/>
      <c r="AC235" s="27" t="e">
        <f>""""&amp;#REF!&amp;""":""example"&amp;#REF!&amp;"""},"</f>
        <v>#REF!</v>
      </c>
      <c r="AE235" s="188" t="s">
        <v>1312</v>
      </c>
      <c r="AG235" s="36"/>
    </row>
    <row r="236" spans="1:33">
      <c r="A236" s="26"/>
      <c r="C236" s="346">
        <v>8</v>
      </c>
      <c r="D236" s="346"/>
      <c r="E236" s="248"/>
      <c r="F236" s="250" t="s">
        <v>214</v>
      </c>
      <c r="G236" s="246"/>
      <c r="H236" s="246"/>
      <c r="I236" s="247"/>
      <c r="J236" s="245" t="s">
        <v>362</v>
      </c>
      <c r="K236" s="246"/>
      <c r="L236" s="246"/>
      <c r="M236" s="246"/>
      <c r="N236" s="246"/>
      <c r="O236" s="246"/>
      <c r="P236" s="246"/>
      <c r="Q236" s="246"/>
      <c r="R236" s="246"/>
      <c r="S236" s="246"/>
      <c r="T236" s="246"/>
      <c r="U236" s="246"/>
      <c r="V236" s="246"/>
      <c r="W236" s="246"/>
      <c r="X236" s="246"/>
      <c r="Y236" s="246"/>
      <c r="Z236" s="247"/>
      <c r="AA236" s="28"/>
      <c r="AE236" s="188" t="s">
        <v>1312</v>
      </c>
      <c r="AG236" s="36"/>
    </row>
    <row r="237" spans="1:33">
      <c r="A237" s="26"/>
      <c r="C237" s="346">
        <v>9</v>
      </c>
      <c r="D237" s="346"/>
      <c r="E237" s="248"/>
      <c r="F237" s="250" t="s">
        <v>1141</v>
      </c>
      <c r="G237" s="246"/>
      <c r="H237" s="246"/>
      <c r="I237" s="247"/>
      <c r="J237" s="245" t="s">
        <v>1140</v>
      </c>
      <c r="K237" s="246"/>
      <c r="L237" s="246"/>
      <c r="M237" s="246"/>
      <c r="N237" s="246"/>
      <c r="O237" s="246"/>
      <c r="P237" s="246"/>
      <c r="Q237" s="246"/>
      <c r="R237" s="246"/>
      <c r="S237" s="246"/>
      <c r="T237" s="246"/>
      <c r="U237" s="246"/>
      <c r="V237" s="246"/>
      <c r="W237" s="246"/>
      <c r="X237" s="246"/>
      <c r="Y237" s="246"/>
      <c r="Z237" s="247"/>
      <c r="AA237" s="28"/>
      <c r="AE237" s="188" t="s">
        <v>1312</v>
      </c>
      <c r="AG237" s="36"/>
    </row>
    <row r="238" spans="1:33">
      <c r="A238" s="26"/>
      <c r="C238" s="346">
        <v>10</v>
      </c>
      <c r="D238" s="346"/>
      <c r="E238" s="248"/>
      <c r="F238" s="250" t="s">
        <v>215</v>
      </c>
      <c r="G238" s="246"/>
      <c r="H238" s="246"/>
      <c r="I238" s="247"/>
      <c r="J238" s="245" t="s">
        <v>363</v>
      </c>
      <c r="K238" s="246"/>
      <c r="L238" s="246"/>
      <c r="M238" s="246"/>
      <c r="N238" s="246"/>
      <c r="O238" s="246"/>
      <c r="P238" s="246"/>
      <c r="Q238" s="246"/>
      <c r="R238" s="246"/>
      <c r="S238" s="246"/>
      <c r="T238" s="246"/>
      <c r="U238" s="246"/>
      <c r="V238" s="246"/>
      <c r="W238" s="246"/>
      <c r="X238" s="246"/>
      <c r="Y238" s="246"/>
      <c r="Z238" s="247"/>
      <c r="AA238" s="28"/>
      <c r="AE238" s="188" t="s">
        <v>1312</v>
      </c>
      <c r="AG238" s="36"/>
    </row>
    <row r="239" spans="1:33">
      <c r="A239" s="26"/>
      <c r="C239" s="346">
        <v>11</v>
      </c>
      <c r="D239" s="346"/>
      <c r="E239" s="248"/>
      <c r="F239" s="246" t="s">
        <v>594</v>
      </c>
      <c r="G239" s="246"/>
      <c r="H239" s="246"/>
      <c r="I239" s="247"/>
      <c r="J239" s="245" t="s">
        <v>500</v>
      </c>
      <c r="K239" s="246"/>
      <c r="L239" s="246"/>
      <c r="M239" s="246"/>
      <c r="N239" s="246"/>
      <c r="O239" s="246"/>
      <c r="P239" s="246"/>
      <c r="Q239" s="246"/>
      <c r="R239" s="246"/>
      <c r="S239" s="246"/>
      <c r="T239" s="246"/>
      <c r="U239" s="246"/>
      <c r="V239" s="246"/>
      <c r="W239" s="246"/>
      <c r="X239" s="246"/>
      <c r="Y239" s="246"/>
      <c r="Z239" s="247"/>
      <c r="AA239" s="28"/>
      <c r="AE239" s="188" t="s">
        <v>1312</v>
      </c>
      <c r="AG239" s="63"/>
    </row>
    <row r="240" spans="1:33">
      <c r="A240" s="26"/>
      <c r="C240" s="346">
        <v>12</v>
      </c>
      <c r="D240" s="346"/>
      <c r="E240" s="248"/>
      <c r="F240" s="250" t="s">
        <v>595</v>
      </c>
      <c r="G240" s="246"/>
      <c r="H240" s="246"/>
      <c r="I240" s="247"/>
      <c r="J240" s="245" t="s">
        <v>1309</v>
      </c>
      <c r="K240" s="246"/>
      <c r="L240" s="246"/>
      <c r="M240" s="246"/>
      <c r="N240" s="246"/>
      <c r="O240" s="246"/>
      <c r="P240" s="246"/>
      <c r="Q240" s="246"/>
      <c r="R240" s="246"/>
      <c r="S240" s="246"/>
      <c r="T240" s="246"/>
      <c r="U240" s="246"/>
      <c r="V240" s="246"/>
      <c r="W240" s="246"/>
      <c r="X240" s="246"/>
      <c r="Y240" s="246"/>
      <c r="Z240" s="247"/>
      <c r="AA240" s="28"/>
      <c r="AE240" s="188" t="s">
        <v>1312</v>
      </c>
      <c r="AG240" s="63"/>
    </row>
    <row r="241" spans="1:33">
      <c r="A241" s="26"/>
      <c r="C241" s="346">
        <v>13</v>
      </c>
      <c r="D241" s="346"/>
      <c r="E241" s="248"/>
      <c r="F241" s="250" t="s">
        <v>596</v>
      </c>
      <c r="G241" s="246"/>
      <c r="H241" s="246"/>
      <c r="I241" s="247"/>
      <c r="J241" s="245" t="s">
        <v>1310</v>
      </c>
      <c r="K241" s="246"/>
      <c r="L241" s="246"/>
      <c r="M241" s="246"/>
      <c r="N241" s="246"/>
      <c r="O241" s="246"/>
      <c r="P241" s="246"/>
      <c r="Q241" s="246"/>
      <c r="R241" s="246"/>
      <c r="S241" s="246"/>
      <c r="T241" s="246"/>
      <c r="U241" s="246"/>
      <c r="V241" s="246"/>
      <c r="W241" s="246"/>
      <c r="X241" s="246"/>
      <c r="Y241" s="246"/>
      <c r="Z241" s="247"/>
      <c r="AA241" s="28"/>
      <c r="AE241" s="188" t="s">
        <v>1312</v>
      </c>
      <c r="AG241" s="63"/>
    </row>
    <row r="242" spans="1:33">
      <c r="A242" s="26"/>
      <c r="C242" s="346">
        <v>14</v>
      </c>
      <c r="D242" s="346"/>
      <c r="E242" s="248"/>
      <c r="F242" s="250" t="s">
        <v>597</v>
      </c>
      <c r="G242" s="246"/>
      <c r="H242" s="246"/>
      <c r="I242" s="247"/>
      <c r="J242" s="245" t="s">
        <v>1311</v>
      </c>
      <c r="K242" s="246"/>
      <c r="L242" s="246"/>
      <c r="M242" s="246"/>
      <c r="N242" s="246"/>
      <c r="O242" s="246"/>
      <c r="P242" s="246"/>
      <c r="Q242" s="246"/>
      <c r="R242" s="246"/>
      <c r="S242" s="246"/>
      <c r="T242" s="246"/>
      <c r="U242" s="246"/>
      <c r="V242" s="246"/>
      <c r="W242" s="246"/>
      <c r="X242" s="246"/>
      <c r="Y242" s="246"/>
      <c r="Z242" s="247"/>
      <c r="AA242" s="28"/>
      <c r="AE242" s="188" t="s">
        <v>1312</v>
      </c>
      <c r="AG242" s="36"/>
    </row>
    <row r="243" spans="1:33">
      <c r="A243" s="26"/>
      <c r="C243" s="346">
        <v>15</v>
      </c>
      <c r="D243" s="346"/>
      <c r="E243" s="248"/>
      <c r="F243" s="246" t="s">
        <v>497</v>
      </c>
      <c r="G243" s="246"/>
      <c r="H243" s="246"/>
      <c r="I243" s="247"/>
      <c r="J243" s="245" t="s">
        <v>598</v>
      </c>
      <c r="K243" s="246"/>
      <c r="L243" s="246"/>
      <c r="M243" s="246"/>
      <c r="N243" s="246"/>
      <c r="O243" s="246"/>
      <c r="P243" s="246"/>
      <c r="Q243" s="246"/>
      <c r="R243" s="246"/>
      <c r="S243" s="246"/>
      <c r="T243" s="246"/>
      <c r="U243" s="246"/>
      <c r="V243" s="246"/>
      <c r="W243" s="246"/>
      <c r="X243" s="246"/>
      <c r="Y243" s="246"/>
      <c r="Z243" s="247"/>
      <c r="AA243" s="28"/>
      <c r="AE243" s="188" t="s">
        <v>1312</v>
      </c>
      <c r="AG243" s="63"/>
    </row>
    <row r="244" spans="1:33">
      <c r="A244" s="26"/>
      <c r="C244" s="371">
        <v>16</v>
      </c>
      <c r="D244" s="371"/>
      <c r="E244" s="248"/>
      <c r="F244" s="192" t="s">
        <v>498</v>
      </c>
      <c r="G244" s="193"/>
      <c r="H244" s="193"/>
      <c r="I244" s="194"/>
      <c r="J244" s="195" t="s">
        <v>499</v>
      </c>
      <c r="K244" s="193"/>
      <c r="L244" s="193"/>
      <c r="M244" s="246"/>
      <c r="N244" s="246"/>
      <c r="O244" s="246"/>
      <c r="P244" s="246"/>
      <c r="Q244" s="246"/>
      <c r="R244" s="246"/>
      <c r="S244" s="246"/>
      <c r="T244" s="246"/>
      <c r="U244" s="246"/>
      <c r="V244" s="246"/>
      <c r="W244" s="246"/>
      <c r="X244" s="246"/>
      <c r="Y244" s="246"/>
      <c r="Z244" s="247"/>
      <c r="AA244" s="28"/>
      <c r="AE244" s="188" t="s">
        <v>1312</v>
      </c>
      <c r="AG244" s="36"/>
    </row>
    <row r="245" spans="1:33">
      <c r="A245" s="26"/>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28"/>
      <c r="AC245" s="27" t="e">
        <f>""""&amp;#REF!&amp;""":""example"&amp;#REF!&amp;"""},"</f>
        <v>#REF!</v>
      </c>
      <c r="AG245" s="63"/>
    </row>
    <row r="246" spans="1:33">
      <c r="A246" s="26"/>
      <c r="C246" s="223" t="s">
        <v>1313</v>
      </c>
      <c r="D246" s="36" t="s">
        <v>1253</v>
      </c>
      <c r="AA246" s="28"/>
      <c r="AC246" s="27" t="e">
        <f>""""&amp;#REF!&amp;""":""example"&amp;#REF!&amp;""","</f>
        <v>#REF!</v>
      </c>
      <c r="AE246" s="188" t="s">
        <v>1312</v>
      </c>
      <c r="AG246" s="63"/>
    </row>
    <row r="247" spans="1:33">
      <c r="A247" s="26"/>
      <c r="C247" s="223"/>
      <c r="D247" s="36" t="s">
        <v>1314</v>
      </c>
      <c r="AA247" s="28"/>
      <c r="AE247" s="188" t="s">
        <v>1312</v>
      </c>
      <c r="AG247" s="63"/>
    </row>
    <row r="248" spans="1:33">
      <c r="A248" s="26"/>
      <c r="C248" s="223"/>
      <c r="D248" s="36"/>
      <c r="AA248" s="28"/>
      <c r="AE248" s="188" t="s">
        <v>1312</v>
      </c>
      <c r="AG248" s="63"/>
    </row>
    <row r="249" spans="1:33">
      <c r="A249" s="26"/>
      <c r="C249" s="223"/>
      <c r="D249" s="36"/>
      <c r="AA249" s="28"/>
      <c r="AE249" s="188"/>
      <c r="AG249" s="63"/>
    </row>
    <row r="250" spans="1:33">
      <c r="A250" s="237"/>
      <c r="B250" s="229"/>
      <c r="C250" s="227"/>
      <c r="D250" s="227" t="s">
        <v>941</v>
      </c>
      <c r="E250" s="227"/>
      <c r="F250" s="227"/>
      <c r="G250" s="227"/>
      <c r="H250" s="227"/>
      <c r="I250" s="227"/>
      <c r="J250" s="227"/>
      <c r="K250" s="227"/>
      <c r="L250" s="238"/>
      <c r="M250" s="238"/>
      <c r="N250" s="238"/>
      <c r="O250" s="238"/>
      <c r="P250" s="238"/>
      <c r="Q250" s="238"/>
      <c r="R250" s="238"/>
      <c r="S250" s="238"/>
      <c r="T250" s="238"/>
      <c r="U250" s="238"/>
      <c r="V250" s="238"/>
      <c r="W250" s="238"/>
      <c r="X250" s="238"/>
      <c r="Y250" s="238"/>
      <c r="Z250" s="238"/>
      <c r="AA250" s="239"/>
      <c r="AC250" s="27" t="e">
        <f>""""&amp;#REF!&amp;""":""example"&amp;#REF!&amp;""","</f>
        <v>#REF!</v>
      </c>
      <c r="AE250" s="188" t="s">
        <v>1312</v>
      </c>
    </row>
    <row r="251" spans="1:33">
      <c r="A251" s="237"/>
      <c r="B251" s="229"/>
      <c r="C251" s="227"/>
      <c r="D251" s="227" t="s">
        <v>1060</v>
      </c>
      <c r="E251" s="227"/>
      <c r="F251" s="227"/>
      <c r="G251" s="227"/>
      <c r="H251" s="227"/>
      <c r="I251" s="227"/>
      <c r="J251" s="227"/>
      <c r="K251" s="227"/>
      <c r="L251" s="238"/>
      <c r="M251" s="238"/>
      <c r="N251" s="238"/>
      <c r="O251" s="238"/>
      <c r="P251" s="238"/>
      <c r="Q251" s="238"/>
      <c r="R251" s="238"/>
      <c r="S251" s="238"/>
      <c r="T251" s="238"/>
      <c r="U251" s="238"/>
      <c r="V251" s="238"/>
      <c r="W251" s="238"/>
      <c r="X251" s="238"/>
      <c r="Y251" s="238"/>
      <c r="Z251" s="238"/>
      <c r="AA251" s="239"/>
      <c r="AC251" s="27" t="e">
        <f>""""&amp;#REF!&amp;""":""example"&amp;#REF!&amp;""","</f>
        <v>#REF!</v>
      </c>
      <c r="AE251" s="188" t="s">
        <v>1312</v>
      </c>
    </row>
    <row r="252" spans="1:33">
      <c r="A252" s="237"/>
      <c r="B252" s="229"/>
      <c r="C252" s="227"/>
      <c r="D252" s="227"/>
      <c r="E252" s="226" t="s">
        <v>1247</v>
      </c>
      <c r="F252" s="227"/>
      <c r="G252" s="227"/>
      <c r="H252" s="227"/>
      <c r="I252" s="227"/>
      <c r="J252" s="227"/>
      <c r="K252" s="227"/>
      <c r="L252" s="238"/>
      <c r="M252" s="238"/>
      <c r="N252" s="238"/>
      <c r="O252" s="238"/>
      <c r="P252" s="238"/>
      <c r="Q252" s="238"/>
      <c r="R252" s="238"/>
      <c r="S252" s="238"/>
      <c r="T252" s="238"/>
      <c r="U252" s="238"/>
      <c r="V252" s="238"/>
      <c r="W252" s="238"/>
      <c r="X252" s="238"/>
      <c r="Y252" s="238"/>
      <c r="Z252" s="238"/>
      <c r="AA252" s="239"/>
      <c r="AC252" s="27" t="e">
        <f>""""&amp;#REF!&amp;""":""example"&amp;#REF!&amp;""","</f>
        <v>#REF!</v>
      </c>
      <c r="AE252" s="188" t="s">
        <v>1312</v>
      </c>
    </row>
    <row r="253" spans="1:33">
      <c r="A253" s="237"/>
      <c r="B253" s="229"/>
      <c r="C253" s="227"/>
      <c r="D253" s="227"/>
      <c r="E253" s="227" t="s">
        <v>1248</v>
      </c>
      <c r="F253" s="227"/>
      <c r="G253" s="227"/>
      <c r="H253" s="227"/>
      <c r="I253" s="227"/>
      <c r="J253" s="227"/>
      <c r="K253" s="227"/>
      <c r="L253" s="238"/>
      <c r="M253" s="238"/>
      <c r="N253" s="238"/>
      <c r="O253" s="238"/>
      <c r="P253" s="238"/>
      <c r="Q253" s="238"/>
      <c r="R253" s="238"/>
      <c r="S253" s="238"/>
      <c r="T253" s="238"/>
      <c r="U253" s="238"/>
      <c r="V253" s="238"/>
      <c r="W253" s="238"/>
      <c r="X253" s="238"/>
      <c r="Y253" s="238"/>
      <c r="Z253" s="238"/>
      <c r="AA253" s="239"/>
      <c r="AC253" s="27" t="e">
        <f>""""&amp;#REF!&amp;""":""example"&amp;#REF!&amp;""","</f>
        <v>#REF!</v>
      </c>
      <c r="AE253" s="188" t="s">
        <v>1312</v>
      </c>
    </row>
    <row r="254" spans="1:33">
      <c r="A254" s="237"/>
      <c r="B254" s="229"/>
      <c r="C254" s="227"/>
      <c r="D254" s="227"/>
      <c r="E254" s="227" t="s">
        <v>1246</v>
      </c>
      <c r="F254" s="227"/>
      <c r="G254" s="227"/>
      <c r="H254" s="227"/>
      <c r="I254" s="227"/>
      <c r="J254" s="227"/>
      <c r="K254" s="227"/>
      <c r="L254" s="238"/>
      <c r="M254" s="238"/>
      <c r="N254" s="238"/>
      <c r="O254" s="238"/>
      <c r="P254" s="238"/>
      <c r="Q254" s="238"/>
      <c r="R254" s="238"/>
      <c r="S254" s="238"/>
      <c r="T254" s="238"/>
      <c r="U254" s="238"/>
      <c r="V254" s="238"/>
      <c r="W254" s="238"/>
      <c r="X254" s="238"/>
      <c r="Y254" s="238"/>
      <c r="Z254" s="238"/>
      <c r="AA254" s="239"/>
      <c r="AC254" s="27" t="e">
        <f>""""&amp;#REF!&amp;""":""example"&amp;#REF!&amp;""","</f>
        <v>#REF!</v>
      </c>
      <c r="AE254" s="188" t="s">
        <v>1312</v>
      </c>
    </row>
    <row r="255" spans="1:33">
      <c r="A255" s="237"/>
      <c r="B255" s="229"/>
      <c r="C255" s="227"/>
      <c r="D255" s="227" t="s">
        <v>1061</v>
      </c>
      <c r="E255" s="227"/>
      <c r="F255" s="227"/>
      <c r="G255" s="227"/>
      <c r="H255" s="227"/>
      <c r="I255" s="227"/>
      <c r="J255" s="227"/>
      <c r="K255" s="227"/>
      <c r="L255" s="238"/>
      <c r="M255" s="238"/>
      <c r="N255" s="238"/>
      <c r="O255" s="238"/>
      <c r="P255" s="238"/>
      <c r="Q255" s="238"/>
      <c r="R255" s="238"/>
      <c r="S255" s="238"/>
      <c r="T255" s="238"/>
      <c r="U255" s="238"/>
      <c r="V255" s="238"/>
      <c r="W255" s="238"/>
      <c r="X255" s="238"/>
      <c r="Y255" s="238"/>
      <c r="Z255" s="238"/>
      <c r="AA255" s="239"/>
      <c r="AC255" s="27" t="e">
        <f>""""&amp;#REF!&amp;""":""example"&amp;#REF!&amp;""","</f>
        <v>#REF!</v>
      </c>
      <c r="AE255" s="188" t="s">
        <v>1312</v>
      </c>
    </row>
    <row r="256" spans="1:33">
      <c r="A256" s="237"/>
      <c r="B256" s="229"/>
      <c r="C256" s="227"/>
      <c r="D256" s="227"/>
      <c r="E256" s="227" t="s">
        <v>1179</v>
      </c>
      <c r="F256" s="227"/>
      <c r="G256" s="227"/>
      <c r="H256" s="227"/>
      <c r="I256" s="227"/>
      <c r="J256" s="227"/>
      <c r="K256" s="227"/>
      <c r="L256" s="238"/>
      <c r="M256" s="238"/>
      <c r="N256" s="238"/>
      <c r="O256" s="238"/>
      <c r="P256" s="238"/>
      <c r="Q256" s="238"/>
      <c r="R256" s="238"/>
      <c r="S256" s="238"/>
      <c r="T256" s="238"/>
      <c r="U256" s="238"/>
      <c r="V256" s="238"/>
      <c r="W256" s="238"/>
      <c r="X256" s="238"/>
      <c r="Y256" s="238"/>
      <c r="Z256" s="238"/>
      <c r="AA256" s="239"/>
      <c r="AC256" s="27" t="e">
        <f>""""&amp;#REF!&amp;""":""example"&amp;#REF!&amp;""","</f>
        <v>#REF!</v>
      </c>
      <c r="AE256" s="188" t="s">
        <v>1312</v>
      </c>
    </row>
    <row r="257" spans="1:33">
      <c r="A257" s="237"/>
      <c r="B257" s="229"/>
      <c r="C257" s="227"/>
      <c r="D257" s="227" t="s">
        <v>1066</v>
      </c>
      <c r="E257" s="227"/>
      <c r="F257" s="227"/>
      <c r="G257" s="227"/>
      <c r="H257" s="227"/>
      <c r="I257" s="227"/>
      <c r="J257" s="227"/>
      <c r="K257" s="227"/>
      <c r="L257" s="238"/>
      <c r="M257" s="238"/>
      <c r="N257" s="238"/>
      <c r="O257" s="238"/>
      <c r="P257" s="238"/>
      <c r="Q257" s="238"/>
      <c r="R257" s="238"/>
      <c r="S257" s="238"/>
      <c r="T257" s="238"/>
      <c r="U257" s="238"/>
      <c r="V257" s="238"/>
      <c r="W257" s="238"/>
      <c r="X257" s="238"/>
      <c r="Y257" s="238"/>
      <c r="Z257" s="238"/>
      <c r="AA257" s="239"/>
      <c r="AC257" s="27" t="e">
        <f>""""&amp;#REF!&amp;""":""example"&amp;#REF!&amp;""","</f>
        <v>#REF!</v>
      </c>
      <c r="AE257" s="188" t="s">
        <v>1312</v>
      </c>
    </row>
    <row r="258" spans="1:33">
      <c r="A258" s="237"/>
      <c r="B258" s="229"/>
      <c r="C258" s="227"/>
      <c r="D258" s="227"/>
      <c r="E258" s="227" t="s">
        <v>1213</v>
      </c>
      <c r="F258" s="227"/>
      <c r="G258" s="227"/>
      <c r="H258" s="227"/>
      <c r="I258" s="227"/>
      <c r="J258" s="227"/>
      <c r="K258" s="227"/>
      <c r="L258" s="238"/>
      <c r="M258" s="238"/>
      <c r="N258" s="238"/>
      <c r="O258" s="238"/>
      <c r="P258" s="238"/>
      <c r="Q258" s="238"/>
      <c r="R258" s="238"/>
      <c r="S258" s="238"/>
      <c r="T258" s="238"/>
      <c r="U258" s="238"/>
      <c r="V258" s="238"/>
      <c r="W258" s="238"/>
      <c r="X258" s="238"/>
      <c r="Y258" s="238"/>
      <c r="Z258" s="238"/>
      <c r="AA258" s="239"/>
      <c r="AC258" s="27" t="e">
        <f>""""&amp;#REF!&amp;""":""example"&amp;#REF!&amp;""","</f>
        <v>#REF!</v>
      </c>
      <c r="AE258" s="188" t="s">
        <v>1312</v>
      </c>
    </row>
    <row r="259" spans="1:33">
      <c r="A259" s="237"/>
      <c r="B259" s="229"/>
      <c r="C259" s="227"/>
      <c r="D259" s="227"/>
      <c r="E259" s="227" t="s">
        <v>1244</v>
      </c>
      <c r="F259" s="227"/>
      <c r="G259" s="227"/>
      <c r="H259" s="227"/>
      <c r="I259" s="227"/>
      <c r="J259" s="227"/>
      <c r="K259" s="227"/>
      <c r="L259" s="238"/>
      <c r="M259" s="238"/>
      <c r="N259" s="238"/>
      <c r="O259" s="238"/>
      <c r="P259" s="238"/>
      <c r="Q259" s="238"/>
      <c r="R259" s="238"/>
      <c r="S259" s="238"/>
      <c r="T259" s="238"/>
      <c r="U259" s="238"/>
      <c r="V259" s="238"/>
      <c r="W259" s="238"/>
      <c r="X259" s="238"/>
      <c r="Y259" s="238"/>
      <c r="Z259" s="238"/>
      <c r="AA259" s="239"/>
      <c r="AC259" s="27" t="e">
        <f>""""&amp;#REF!&amp;""":""example"&amp;#REF!&amp;""","</f>
        <v>#REF!</v>
      </c>
      <c r="AE259" s="188" t="s">
        <v>1312</v>
      </c>
    </row>
    <row r="260" spans="1:33">
      <c r="A260" s="237"/>
      <c r="B260" s="229"/>
      <c r="C260" s="227"/>
      <c r="D260" s="227"/>
      <c r="E260" s="227" t="s">
        <v>1245</v>
      </c>
      <c r="F260" s="227"/>
      <c r="G260" s="227"/>
      <c r="H260" s="227"/>
      <c r="I260" s="227"/>
      <c r="J260" s="227"/>
      <c r="K260" s="227"/>
      <c r="L260" s="238"/>
      <c r="M260" s="238"/>
      <c r="N260" s="238"/>
      <c r="O260" s="238"/>
      <c r="P260" s="238"/>
      <c r="Q260" s="238"/>
      <c r="R260" s="238"/>
      <c r="S260" s="238"/>
      <c r="T260" s="238"/>
      <c r="U260" s="238"/>
      <c r="V260" s="238"/>
      <c r="W260" s="238"/>
      <c r="X260" s="238"/>
      <c r="Y260" s="238"/>
      <c r="Z260" s="238"/>
      <c r="AA260" s="239"/>
      <c r="AC260" s="27" t="e">
        <f>""""&amp;#REF!&amp;""":""example"&amp;#REF!&amp;""","</f>
        <v>#REF!</v>
      </c>
      <c r="AE260" s="188" t="s">
        <v>1312</v>
      </c>
    </row>
    <row r="261" spans="1:33">
      <c r="A261" s="224"/>
      <c r="B261" s="79"/>
      <c r="C261" s="225"/>
      <c r="D261" s="225"/>
      <c r="E261" s="226" t="s">
        <v>1249</v>
      </c>
      <c r="F261" s="227"/>
      <c r="G261" s="225"/>
      <c r="H261" s="225"/>
      <c r="I261" s="225"/>
      <c r="J261" s="225"/>
      <c r="K261" s="225"/>
      <c r="L261" s="78"/>
      <c r="M261" s="78"/>
      <c r="N261" s="78"/>
      <c r="O261" s="78"/>
      <c r="P261" s="78"/>
      <c r="Q261" s="78"/>
      <c r="R261" s="78"/>
      <c r="S261" s="78"/>
      <c r="T261" s="78"/>
      <c r="U261" s="78"/>
      <c r="V261" s="78"/>
      <c r="W261" s="78"/>
      <c r="X261" s="78"/>
      <c r="Y261" s="78"/>
      <c r="Z261" s="78"/>
      <c r="AA261" s="228"/>
      <c r="AC261" s="27" t="e">
        <f>""""&amp;#REF!&amp;""":""example"&amp;#REF!&amp;""","</f>
        <v>#REF!</v>
      </c>
      <c r="AE261" s="188" t="s">
        <v>1312</v>
      </c>
    </row>
    <row r="262" spans="1:33">
      <c r="A262" s="224"/>
      <c r="B262" s="79"/>
      <c r="C262" s="225"/>
      <c r="D262" s="225"/>
      <c r="E262" s="229"/>
      <c r="F262" s="230" t="s">
        <v>1250</v>
      </c>
      <c r="G262" s="225"/>
      <c r="H262" s="225"/>
      <c r="I262" s="225"/>
      <c r="J262" s="225"/>
      <c r="K262" s="231"/>
      <c r="L262" s="78"/>
      <c r="M262" s="78"/>
      <c r="N262" s="78"/>
      <c r="O262" s="78"/>
      <c r="P262" s="78"/>
      <c r="Q262" s="78"/>
      <c r="R262" s="78"/>
      <c r="S262" s="78"/>
      <c r="T262" s="78"/>
      <c r="U262" s="78"/>
      <c r="V262" s="78"/>
      <c r="W262" s="78"/>
      <c r="X262" s="78"/>
      <c r="Y262" s="78"/>
      <c r="Z262" s="78"/>
      <c r="AA262" s="228"/>
      <c r="AE262" s="188" t="s">
        <v>1312</v>
      </c>
    </row>
    <row r="263" spans="1:33">
      <c r="A263" s="224"/>
      <c r="B263" s="79"/>
      <c r="C263" s="225"/>
      <c r="D263" s="225"/>
      <c r="E263" s="229"/>
      <c r="F263" s="227" t="s">
        <v>1251</v>
      </c>
      <c r="G263" s="225"/>
      <c r="H263" s="225"/>
      <c r="I263" s="225"/>
      <c r="J263" s="225"/>
      <c r="K263" s="231"/>
      <c r="L263" s="78"/>
      <c r="M263" s="78"/>
      <c r="N263" s="78"/>
      <c r="O263" s="78"/>
      <c r="P263" s="78"/>
      <c r="Q263" s="78"/>
      <c r="R263" s="78"/>
      <c r="S263" s="78"/>
      <c r="T263" s="78"/>
      <c r="U263" s="78"/>
      <c r="V263" s="78"/>
      <c r="W263" s="78"/>
      <c r="X263" s="78"/>
      <c r="Y263" s="78"/>
      <c r="Z263" s="78"/>
      <c r="AA263" s="228"/>
      <c r="AE263" s="188" t="s">
        <v>1312</v>
      </c>
    </row>
    <row r="264" spans="1:33">
      <c r="A264" s="224"/>
      <c r="B264" s="79"/>
      <c r="C264" s="225"/>
      <c r="D264" s="225"/>
      <c r="E264" s="227" t="s">
        <v>1154</v>
      </c>
      <c r="F264" s="227"/>
      <c r="G264" s="225"/>
      <c r="H264" s="225"/>
      <c r="I264" s="225"/>
      <c r="J264" s="225"/>
      <c r="K264" s="225"/>
      <c r="L264" s="78"/>
      <c r="M264" s="78"/>
      <c r="N264" s="78"/>
      <c r="O264" s="78"/>
      <c r="P264" s="78"/>
      <c r="Q264" s="78"/>
      <c r="R264" s="78"/>
      <c r="S264" s="78"/>
      <c r="T264" s="78"/>
      <c r="U264" s="78"/>
      <c r="V264" s="78"/>
      <c r="W264" s="78"/>
      <c r="X264" s="78"/>
      <c r="Y264" s="78"/>
      <c r="Z264" s="78"/>
      <c r="AA264" s="228"/>
      <c r="AC264" s="27" t="e">
        <f>""""&amp;#REF!&amp;""":""example"&amp;#REF!&amp;""","</f>
        <v>#REF!</v>
      </c>
      <c r="AE264" s="188" t="s">
        <v>1312</v>
      </c>
    </row>
    <row r="265" spans="1:33">
      <c r="A265" s="240"/>
      <c r="B265" s="226"/>
      <c r="C265" s="227" t="s">
        <v>1252</v>
      </c>
      <c r="D265" s="227"/>
      <c r="E265" s="227"/>
      <c r="F265" s="227"/>
      <c r="G265" s="227"/>
      <c r="H265" s="227"/>
      <c r="I265" s="227"/>
      <c r="J265" s="227"/>
      <c r="K265" s="227"/>
      <c r="L265" s="241"/>
      <c r="M265" s="241"/>
      <c r="N265" s="241"/>
      <c r="O265" s="241"/>
      <c r="P265" s="241"/>
      <c r="Q265" s="241"/>
      <c r="R265" s="241"/>
      <c r="S265" s="241"/>
      <c r="T265" s="241"/>
      <c r="U265" s="241"/>
      <c r="V265" s="241"/>
      <c r="W265" s="241"/>
      <c r="X265" s="241"/>
      <c r="Y265" s="241"/>
      <c r="Z265" s="241"/>
      <c r="AA265" s="242"/>
      <c r="AE265" s="188" t="s">
        <v>1312</v>
      </c>
    </row>
    <row r="266" spans="1:33">
      <c r="A266" s="26"/>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28"/>
      <c r="AG266" s="63"/>
    </row>
    <row r="267" spans="1:33">
      <c r="A267" s="26"/>
      <c r="C267" s="35" t="s">
        <v>225</v>
      </c>
      <c r="D267" s="27" t="s">
        <v>216</v>
      </c>
      <c r="AA267" s="28"/>
      <c r="AC267" s="27" t="e">
        <f>""""&amp;#REF!&amp;""":""example"&amp;#REF!&amp;""","</f>
        <v>#REF!</v>
      </c>
      <c r="AE267" s="67"/>
      <c r="AG267" s="63"/>
    </row>
    <row r="268" spans="1:33" ht="225" customHeight="1">
      <c r="A268" s="26"/>
      <c r="C268" s="340" t="s">
        <v>604</v>
      </c>
      <c r="D268" s="341"/>
      <c r="E268" s="341"/>
      <c r="F268" s="342"/>
      <c r="G268" s="338" t="s">
        <v>605</v>
      </c>
      <c r="H268" s="339"/>
      <c r="I268" s="339"/>
      <c r="J268" s="339"/>
      <c r="K268" s="339"/>
      <c r="L268" s="339"/>
      <c r="M268" s="339"/>
      <c r="N268" s="339"/>
      <c r="O268" s="339"/>
      <c r="P268" s="339"/>
      <c r="Q268" s="339"/>
      <c r="R268" s="339"/>
      <c r="S268" s="339"/>
      <c r="T268" s="339"/>
      <c r="U268" s="339"/>
      <c r="V268" s="339"/>
      <c r="W268" s="339"/>
      <c r="X268" s="339"/>
      <c r="Y268" s="339"/>
      <c r="Z268" s="339"/>
      <c r="AA268" s="28"/>
      <c r="AC268" s="27" t="e">
        <f>""""&amp;#REF!&amp;""":""example"&amp;#REF!&amp;"""},"</f>
        <v>#REF!</v>
      </c>
      <c r="AE268" s="67"/>
      <c r="AF268" s="27" t="s">
        <v>606</v>
      </c>
      <c r="AG268" s="63"/>
    </row>
    <row r="269" spans="1:33">
      <c r="A269" s="26"/>
      <c r="C269" s="319" t="s">
        <v>483</v>
      </c>
      <c r="D269" s="319"/>
      <c r="E269" s="319"/>
      <c r="F269" s="319"/>
      <c r="G269" s="338" t="s">
        <v>607</v>
      </c>
      <c r="H269" s="339"/>
      <c r="I269" s="339"/>
      <c r="J269" s="339"/>
      <c r="K269" s="339"/>
      <c r="L269" s="339"/>
      <c r="M269" s="339"/>
      <c r="N269" s="339"/>
      <c r="O269" s="339"/>
      <c r="P269" s="339"/>
      <c r="Q269" s="339"/>
      <c r="R269" s="339"/>
      <c r="S269" s="339"/>
      <c r="T269" s="339"/>
      <c r="U269" s="339"/>
      <c r="V269" s="339"/>
      <c r="W269" s="339"/>
      <c r="X269" s="339"/>
      <c r="Y269" s="339"/>
      <c r="Z269" s="339"/>
      <c r="AA269" s="28"/>
      <c r="AE269" s="67"/>
    </row>
    <row r="270" spans="1:33" ht="36" customHeight="1">
      <c r="A270" s="26"/>
      <c r="C270" s="319" t="s">
        <v>35</v>
      </c>
      <c r="D270" s="319"/>
      <c r="E270" s="319"/>
      <c r="F270" s="319"/>
      <c r="G270" s="338" t="s">
        <v>608</v>
      </c>
      <c r="H270" s="339"/>
      <c r="I270" s="339"/>
      <c r="J270" s="339"/>
      <c r="K270" s="339"/>
      <c r="L270" s="339"/>
      <c r="M270" s="339"/>
      <c r="N270" s="339"/>
      <c r="O270" s="339"/>
      <c r="P270" s="339"/>
      <c r="Q270" s="339"/>
      <c r="R270" s="339"/>
      <c r="S270" s="339"/>
      <c r="T270" s="339"/>
      <c r="U270" s="339"/>
      <c r="V270" s="339"/>
      <c r="W270" s="339"/>
      <c r="X270" s="339"/>
      <c r="Y270" s="339"/>
      <c r="Z270" s="339"/>
      <c r="AA270" s="28"/>
      <c r="AC270" s="27" t="e">
        <f>""""&amp;#REF!&amp;""":""example"&amp;#REF!&amp;""","</f>
        <v>#REF!</v>
      </c>
      <c r="AE270" s="67"/>
    </row>
    <row r="271" spans="1:33" ht="177.6" customHeight="1">
      <c r="A271" s="26"/>
      <c r="C271" s="340" t="s">
        <v>17</v>
      </c>
      <c r="D271" s="341"/>
      <c r="E271" s="341"/>
      <c r="F271" s="342"/>
      <c r="G271" s="338" t="s">
        <v>609</v>
      </c>
      <c r="H271" s="339"/>
      <c r="I271" s="339"/>
      <c r="J271" s="339"/>
      <c r="K271" s="339"/>
      <c r="L271" s="339"/>
      <c r="M271" s="339"/>
      <c r="N271" s="339"/>
      <c r="O271" s="339"/>
      <c r="P271" s="339"/>
      <c r="Q271" s="339"/>
      <c r="R271" s="339"/>
      <c r="S271" s="339"/>
      <c r="T271" s="339"/>
      <c r="U271" s="339"/>
      <c r="V271" s="339"/>
      <c r="W271" s="339"/>
      <c r="X271" s="339"/>
      <c r="Y271" s="339"/>
      <c r="Z271" s="339"/>
      <c r="AA271" s="28"/>
      <c r="AC271" s="27" t="e">
        <f>""""&amp;#REF!&amp;""":""example"&amp;#REF!&amp;"""},"</f>
        <v>#REF!</v>
      </c>
      <c r="AE271" s="67"/>
    </row>
    <row r="272" spans="1:33">
      <c r="A272" s="26"/>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28"/>
      <c r="AC272" s="27" t="e">
        <f>""""&amp;#REF!&amp;""":""example"&amp;#REF!&amp;""","</f>
        <v>#REF!</v>
      </c>
      <c r="AE272" s="67"/>
    </row>
    <row r="273" spans="1:31">
      <c r="A273" s="26"/>
      <c r="C273" s="53" t="s">
        <v>226</v>
      </c>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28"/>
      <c r="AC273" s="27" t="e">
        <f>""""&amp;#REF!&amp;""":""example"&amp;#REF!&amp;""","</f>
        <v>#REF!</v>
      </c>
      <c r="AE273" s="67"/>
    </row>
    <row r="274" spans="1:31">
      <c r="A274" s="26"/>
      <c r="C274" s="337" t="s">
        <v>7</v>
      </c>
      <c r="D274" s="337"/>
      <c r="E274" s="337" t="s">
        <v>9</v>
      </c>
      <c r="F274" s="337"/>
      <c r="G274" s="337"/>
      <c r="H274" s="337"/>
      <c r="I274" s="337"/>
      <c r="J274" s="343" t="s">
        <v>18</v>
      </c>
      <c r="K274" s="344"/>
      <c r="L274" s="344"/>
      <c r="M274" s="344"/>
      <c r="N274" s="344"/>
      <c r="O274" s="344"/>
      <c r="P274" s="344"/>
      <c r="Q274" s="344"/>
      <c r="R274" s="344"/>
      <c r="S274" s="344"/>
      <c r="T274" s="344"/>
      <c r="U274" s="344"/>
      <c r="V274" s="344"/>
      <c r="W274" s="344"/>
      <c r="X274" s="344"/>
      <c r="Y274" s="344"/>
      <c r="Z274" s="345"/>
      <c r="AA274" s="28"/>
      <c r="AC274" s="27" t="e">
        <f>""""&amp;#REF!&amp;""":""example"&amp;#REF!&amp;"""},"</f>
        <v>#REF!</v>
      </c>
      <c r="AE274" s="67"/>
    </row>
    <row r="275" spans="1:31">
      <c r="A275" s="26"/>
      <c r="C275" s="365">
        <v>1</v>
      </c>
      <c r="D275" s="365"/>
      <c r="E275" s="339" t="s">
        <v>217</v>
      </c>
      <c r="F275" s="339"/>
      <c r="G275" s="339"/>
      <c r="H275" s="339"/>
      <c r="I275" s="339"/>
      <c r="J275" s="57"/>
      <c r="K275" s="61"/>
      <c r="L275" s="61"/>
      <c r="M275" s="61"/>
      <c r="N275" s="61"/>
      <c r="O275" s="61"/>
      <c r="P275" s="61"/>
      <c r="Q275" s="61"/>
      <c r="R275" s="61"/>
      <c r="S275" s="61"/>
      <c r="T275" s="61"/>
      <c r="U275" s="61"/>
      <c r="V275" s="61"/>
      <c r="W275" s="40"/>
      <c r="X275" s="40"/>
      <c r="Y275" s="40"/>
      <c r="Z275" s="41"/>
      <c r="AA275" s="28"/>
      <c r="AC275" s="27" t="e">
        <f>""""&amp;#REF!&amp;""":""example"&amp;#REF!&amp;"""},"</f>
        <v>#REF!</v>
      </c>
      <c r="AE275" s="67"/>
    </row>
    <row r="276" spans="1:31">
      <c r="A276" s="26"/>
      <c r="C276" s="365">
        <v>2</v>
      </c>
      <c r="D276" s="365"/>
      <c r="E276" s="60"/>
      <c r="F276" s="61" t="s">
        <v>222</v>
      </c>
      <c r="G276" s="61"/>
      <c r="H276" s="61"/>
      <c r="I276" s="62"/>
      <c r="J276" s="57" t="s">
        <v>501</v>
      </c>
      <c r="K276" s="61"/>
      <c r="L276" s="61"/>
      <c r="M276" s="61"/>
      <c r="N276" s="61"/>
      <c r="O276" s="61"/>
      <c r="P276" s="61"/>
      <c r="Q276" s="61"/>
      <c r="R276" s="61"/>
      <c r="S276" s="61"/>
      <c r="T276" s="61"/>
      <c r="U276" s="61"/>
      <c r="V276" s="61"/>
      <c r="W276" s="40"/>
      <c r="X276" s="40"/>
      <c r="Y276" s="40"/>
      <c r="Z276" s="41"/>
      <c r="AA276" s="28"/>
      <c r="AE276" s="67"/>
    </row>
    <row r="277" spans="1:31">
      <c r="A277" s="26"/>
      <c r="C277" s="365">
        <v>3</v>
      </c>
      <c r="D277" s="365"/>
      <c r="E277" s="60"/>
      <c r="F277" s="93" t="s">
        <v>224</v>
      </c>
      <c r="G277" s="61"/>
      <c r="H277" s="61"/>
      <c r="I277" s="62"/>
      <c r="J277" s="57" t="s">
        <v>229</v>
      </c>
      <c r="K277" s="61"/>
      <c r="L277" s="61"/>
      <c r="M277" s="61"/>
      <c r="N277" s="61"/>
      <c r="O277" s="61"/>
      <c r="P277" s="61"/>
      <c r="Q277" s="61"/>
      <c r="R277" s="61"/>
      <c r="S277" s="61"/>
      <c r="T277" s="61"/>
      <c r="U277" s="61"/>
      <c r="V277" s="61"/>
      <c r="W277" s="40"/>
      <c r="X277" s="40"/>
      <c r="Y277" s="40"/>
      <c r="Z277" s="41"/>
      <c r="AA277" s="28"/>
      <c r="AE277" s="67"/>
    </row>
    <row r="278" spans="1:31">
      <c r="A278" s="26"/>
      <c r="C278" s="365">
        <v>4</v>
      </c>
      <c r="D278" s="365"/>
      <c r="E278" s="60"/>
      <c r="F278" s="93" t="s">
        <v>207</v>
      </c>
      <c r="G278" s="61"/>
      <c r="H278" s="61"/>
      <c r="I278" s="62"/>
      <c r="J278" s="57" t="s">
        <v>230</v>
      </c>
      <c r="K278" s="61"/>
      <c r="L278" s="61"/>
      <c r="M278" s="61"/>
      <c r="N278" s="61"/>
      <c r="O278" s="61"/>
      <c r="P278" s="61"/>
      <c r="Q278" s="61"/>
      <c r="R278" s="61"/>
      <c r="S278" s="61"/>
      <c r="T278" s="61"/>
      <c r="U278" s="61"/>
      <c r="V278" s="61"/>
      <c r="W278" s="40"/>
      <c r="X278" s="40"/>
      <c r="Y278" s="40"/>
      <c r="Z278" s="41"/>
      <c r="AA278" s="28"/>
      <c r="AE278" s="67"/>
    </row>
    <row r="279" spans="1:31">
      <c r="A279" s="26"/>
      <c r="C279" s="365">
        <v>5</v>
      </c>
      <c r="D279" s="365"/>
      <c r="E279" s="57"/>
      <c r="F279" s="61" t="s">
        <v>209</v>
      </c>
      <c r="G279" s="61"/>
      <c r="H279" s="61"/>
      <c r="I279" s="62"/>
      <c r="J279" s="57" t="s">
        <v>610</v>
      </c>
      <c r="K279" s="61"/>
      <c r="L279" s="61"/>
      <c r="M279" s="61"/>
      <c r="N279" s="61"/>
      <c r="O279" s="61"/>
      <c r="P279" s="61"/>
      <c r="Q279" s="61"/>
      <c r="R279" s="61"/>
      <c r="S279" s="61"/>
      <c r="T279" s="61"/>
      <c r="U279" s="61"/>
      <c r="V279" s="61"/>
      <c r="W279" s="40"/>
      <c r="X279" s="40"/>
      <c r="Y279" s="40"/>
      <c r="Z279" s="41"/>
      <c r="AA279" s="28"/>
      <c r="AC279" s="27" t="e">
        <f>""""&amp;#REF!&amp;""":""example"&amp;#REF!&amp;"""},"</f>
        <v>#REF!</v>
      </c>
      <c r="AE279" s="67"/>
    </row>
    <row r="280" spans="1:31">
      <c r="A280" s="26"/>
      <c r="C280" s="365">
        <v>6</v>
      </c>
      <c r="D280" s="365"/>
      <c r="E280" s="57"/>
      <c r="F280" s="61" t="s">
        <v>227</v>
      </c>
      <c r="G280" s="61"/>
      <c r="H280" s="61"/>
      <c r="I280" s="62"/>
      <c r="J280" s="57" t="s">
        <v>611</v>
      </c>
      <c r="K280" s="61"/>
      <c r="L280" s="61"/>
      <c r="M280" s="61"/>
      <c r="N280" s="61"/>
      <c r="O280" s="61"/>
      <c r="P280" s="61"/>
      <c r="Q280" s="61"/>
      <c r="R280" s="61"/>
      <c r="S280" s="61"/>
      <c r="T280" s="61"/>
      <c r="U280" s="61"/>
      <c r="V280" s="61"/>
      <c r="W280" s="40"/>
      <c r="X280" s="40"/>
      <c r="Y280" s="40"/>
      <c r="Z280" s="41"/>
      <c r="AA280" s="28"/>
      <c r="AC280" s="27" t="e">
        <f>""""&amp;#REF!&amp;""":""example"&amp;#REF!&amp;"""},"</f>
        <v>#REF!</v>
      </c>
      <c r="AE280" s="67"/>
    </row>
    <row r="281" spans="1:31">
      <c r="A281" s="26"/>
      <c r="C281" s="365">
        <v>7</v>
      </c>
      <c r="D281" s="365"/>
      <c r="E281" s="60"/>
      <c r="F281" s="61" t="s">
        <v>228</v>
      </c>
      <c r="G281" s="61"/>
      <c r="H281" s="61"/>
      <c r="I281" s="62"/>
      <c r="J281" s="57" t="s">
        <v>612</v>
      </c>
      <c r="K281" s="61"/>
      <c r="L281" s="61"/>
      <c r="M281" s="61"/>
      <c r="N281" s="61"/>
      <c r="O281" s="61"/>
      <c r="P281" s="61"/>
      <c r="Q281" s="61"/>
      <c r="R281" s="61"/>
      <c r="S281" s="61"/>
      <c r="T281" s="61"/>
      <c r="U281" s="61"/>
      <c r="V281" s="61"/>
      <c r="W281" s="40"/>
      <c r="X281" s="40"/>
      <c r="Y281" s="40"/>
      <c r="Z281" s="41"/>
      <c r="AA281" s="28"/>
      <c r="AC281" s="27" t="e">
        <f>""""&amp;#REF!&amp;""":""example"&amp;#REF!&amp;"""},"</f>
        <v>#REF!</v>
      </c>
      <c r="AE281" s="67"/>
    </row>
    <row r="282" spans="1:31">
      <c r="A282" s="26"/>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28"/>
      <c r="AC282" s="27" t="e">
        <f>""""&amp;#REF!&amp;""":""example"&amp;#REF!&amp;""","</f>
        <v>#REF!</v>
      </c>
      <c r="AE282" s="67"/>
    </row>
    <row r="283" spans="1:31">
      <c r="A283" s="26"/>
      <c r="C283" s="63"/>
      <c r="D283" s="63"/>
      <c r="E283" s="63"/>
      <c r="F283" s="63"/>
      <c r="G283" s="63"/>
      <c r="H283" s="63"/>
      <c r="I283" s="63"/>
      <c r="J283" s="63"/>
      <c r="K283" s="63"/>
      <c r="L283" s="38"/>
      <c r="M283" s="38"/>
      <c r="N283" s="38"/>
      <c r="O283" s="38"/>
      <c r="P283" s="38"/>
      <c r="Q283" s="38"/>
      <c r="R283" s="38"/>
      <c r="S283" s="38"/>
      <c r="T283" s="38"/>
      <c r="U283" s="38"/>
      <c r="V283" s="38"/>
      <c r="W283" s="38"/>
      <c r="X283" s="38"/>
      <c r="Y283" s="38"/>
      <c r="Z283" s="38"/>
      <c r="AA283" s="28"/>
      <c r="AE283" s="67"/>
    </row>
    <row r="284" spans="1:31">
      <c r="A284" s="26"/>
      <c r="C284" s="35">
        <v>8</v>
      </c>
      <c r="D284" s="27" t="s">
        <v>231</v>
      </c>
      <c r="AA284" s="28"/>
    </row>
    <row r="285" spans="1:31">
      <c r="A285" s="26"/>
      <c r="C285" s="337" t="s">
        <v>7</v>
      </c>
      <c r="D285" s="337"/>
      <c r="E285" s="337" t="s">
        <v>9</v>
      </c>
      <c r="F285" s="337"/>
      <c r="G285" s="337"/>
      <c r="H285" s="337"/>
      <c r="I285" s="337"/>
      <c r="J285" s="343" t="s">
        <v>18</v>
      </c>
      <c r="K285" s="344"/>
      <c r="L285" s="344"/>
      <c r="M285" s="344"/>
      <c r="N285" s="344"/>
      <c r="O285" s="344"/>
      <c r="P285" s="344"/>
      <c r="Q285" s="344"/>
      <c r="R285" s="344"/>
      <c r="S285" s="344"/>
      <c r="T285" s="344"/>
      <c r="U285" s="344"/>
      <c r="V285" s="344"/>
      <c r="W285" s="344"/>
      <c r="X285" s="344"/>
      <c r="Y285" s="344"/>
      <c r="Z285" s="345"/>
      <c r="AA285" s="28"/>
    </row>
    <row r="286" spans="1:31">
      <c r="A286" s="26"/>
      <c r="C286" s="334">
        <v>1</v>
      </c>
      <c r="D286" s="334"/>
      <c r="E286" s="39" t="s">
        <v>165</v>
      </c>
      <c r="F286" s="40"/>
      <c r="G286" s="40"/>
      <c r="H286" s="40"/>
      <c r="I286" s="41"/>
      <c r="J286" s="39"/>
      <c r="K286" s="40"/>
      <c r="L286" s="40"/>
      <c r="M286" s="40"/>
      <c r="N286" s="40"/>
      <c r="O286" s="40"/>
      <c r="P286" s="40"/>
      <c r="Q286" s="40"/>
      <c r="R286" s="40"/>
      <c r="S286" s="40"/>
      <c r="T286" s="40"/>
      <c r="U286" s="40"/>
      <c r="V286" s="40"/>
      <c r="W286" s="40"/>
      <c r="X286" s="40"/>
      <c r="Y286" s="40"/>
      <c r="Z286" s="41"/>
      <c r="AA286" s="28"/>
    </row>
    <row r="287" spans="1:31">
      <c r="A287" s="26"/>
      <c r="C287" s="334">
        <v>2</v>
      </c>
      <c r="D287" s="334"/>
      <c r="E287" s="39" t="s">
        <v>232</v>
      </c>
      <c r="F287" s="92"/>
      <c r="G287" s="40"/>
      <c r="H287" s="40"/>
      <c r="I287" s="41"/>
      <c r="J287" s="39"/>
      <c r="K287" s="40"/>
      <c r="L287" s="40"/>
      <c r="M287" s="40"/>
      <c r="N287" s="40"/>
      <c r="O287" s="40"/>
      <c r="P287" s="40"/>
      <c r="Q287" s="40"/>
      <c r="R287" s="40"/>
      <c r="S287" s="40"/>
      <c r="T287" s="40"/>
      <c r="U287" s="40"/>
      <c r="V287" s="40"/>
      <c r="W287" s="40"/>
      <c r="X287" s="40"/>
      <c r="Y287" s="40"/>
      <c r="Z287" s="41"/>
      <c r="AA287" s="28"/>
    </row>
    <row r="288" spans="1:31">
      <c r="A288" s="26"/>
      <c r="C288" s="334">
        <v>3</v>
      </c>
      <c r="D288" s="334"/>
      <c r="E288" s="42" t="s">
        <v>196</v>
      </c>
      <c r="F288" s="42"/>
      <c r="G288" s="42"/>
      <c r="H288" s="42"/>
      <c r="I288" s="42"/>
      <c r="J288" s="39"/>
      <c r="K288" s="40"/>
      <c r="L288" s="40"/>
      <c r="M288" s="40"/>
      <c r="N288" s="40"/>
      <c r="O288" s="40"/>
      <c r="P288" s="40"/>
      <c r="Q288" s="40"/>
      <c r="R288" s="40"/>
      <c r="S288" s="40"/>
      <c r="T288" s="40"/>
      <c r="U288" s="40"/>
      <c r="V288" s="40"/>
      <c r="W288" s="40"/>
      <c r="X288" s="40"/>
      <c r="Y288" s="40"/>
      <c r="Z288" s="41"/>
      <c r="AA288" s="28"/>
    </row>
    <row r="289" spans="1:27">
      <c r="A289" s="26"/>
      <c r="C289" s="334">
        <v>4</v>
      </c>
      <c r="D289" s="334"/>
      <c r="E289" s="39" t="s">
        <v>194</v>
      </c>
      <c r="F289" s="40"/>
      <c r="G289" s="40"/>
      <c r="H289" s="40"/>
      <c r="I289" s="41"/>
      <c r="J289" s="39"/>
      <c r="K289" s="40"/>
      <c r="L289" s="40"/>
      <c r="M289" s="40"/>
      <c r="N289" s="40"/>
      <c r="O289" s="40"/>
      <c r="P289" s="40"/>
      <c r="Q289" s="40"/>
      <c r="R289" s="40"/>
      <c r="S289" s="40"/>
      <c r="T289" s="40"/>
      <c r="U289" s="40"/>
      <c r="V289" s="40"/>
      <c r="W289" s="40"/>
      <c r="X289" s="40"/>
      <c r="Y289" s="40"/>
      <c r="Z289" s="41"/>
      <c r="AA289" s="28"/>
    </row>
    <row r="290" spans="1:27">
      <c r="A290" s="26"/>
      <c r="C290" s="334">
        <v>5</v>
      </c>
      <c r="D290" s="334"/>
      <c r="E290" s="333" t="s">
        <v>199</v>
      </c>
      <c r="F290" s="333"/>
      <c r="G290" s="333"/>
      <c r="H290" s="333"/>
      <c r="I290" s="333"/>
      <c r="J290" s="39"/>
      <c r="K290" s="40"/>
      <c r="L290" s="40"/>
      <c r="M290" s="40"/>
      <c r="N290" s="40"/>
      <c r="O290" s="40"/>
      <c r="P290" s="40"/>
      <c r="Q290" s="40"/>
      <c r="R290" s="40"/>
      <c r="S290" s="40"/>
      <c r="T290" s="40"/>
      <c r="U290" s="40"/>
      <c r="V290" s="40"/>
      <c r="W290" s="40"/>
      <c r="X290" s="40"/>
      <c r="Y290" s="40"/>
      <c r="Z290" s="41"/>
      <c r="AA290" s="28"/>
    </row>
    <row r="291" spans="1:27">
      <c r="A291" s="26"/>
      <c r="C291" s="334">
        <v>6</v>
      </c>
      <c r="D291" s="334"/>
      <c r="E291" s="39" t="s">
        <v>356</v>
      </c>
      <c r="F291" s="92"/>
      <c r="G291" s="40"/>
      <c r="H291" s="40"/>
      <c r="I291" s="41"/>
      <c r="J291" s="39"/>
      <c r="K291" s="40"/>
      <c r="L291" s="40"/>
      <c r="M291" s="40"/>
      <c r="N291" s="40"/>
      <c r="O291" s="40"/>
      <c r="P291" s="40"/>
      <c r="Q291" s="40"/>
      <c r="R291" s="40"/>
      <c r="S291" s="40"/>
      <c r="T291" s="40"/>
      <c r="U291" s="40"/>
      <c r="V291" s="40"/>
      <c r="W291" s="40"/>
      <c r="X291" s="40"/>
      <c r="Y291" s="40"/>
      <c r="Z291" s="41"/>
      <c r="AA291" s="28"/>
    </row>
    <row r="292" spans="1:27">
      <c r="A292" s="26"/>
      <c r="C292" s="334">
        <v>7</v>
      </c>
      <c r="D292" s="334"/>
      <c r="E292" s="47" t="s">
        <v>217</v>
      </c>
      <c r="F292" s="92"/>
      <c r="G292" s="40"/>
      <c r="H292" s="40"/>
      <c r="I292" s="41"/>
      <c r="J292" s="39"/>
      <c r="K292" s="40"/>
      <c r="L292" s="40"/>
      <c r="M292" s="40"/>
      <c r="N292" s="40"/>
      <c r="O292" s="40"/>
      <c r="P292" s="40"/>
      <c r="Q292" s="40"/>
      <c r="R292" s="40"/>
      <c r="S292" s="40"/>
      <c r="T292" s="40"/>
      <c r="U292" s="40"/>
      <c r="V292" s="40"/>
      <c r="W292" s="40"/>
      <c r="X292" s="40"/>
      <c r="Y292" s="40"/>
      <c r="Z292" s="41"/>
      <c r="AA292" s="28"/>
    </row>
    <row r="293" spans="1:27">
      <c r="A293" s="58"/>
      <c r="B293" s="64"/>
      <c r="C293" s="337" t="s">
        <v>16</v>
      </c>
      <c r="D293" s="337"/>
      <c r="E293" s="337"/>
      <c r="F293" s="337"/>
      <c r="G293" s="333">
        <v>200</v>
      </c>
      <c r="H293" s="333"/>
      <c r="I293" s="333"/>
      <c r="J293" s="333"/>
      <c r="K293" s="333"/>
      <c r="L293" s="333"/>
      <c r="M293" s="333"/>
      <c r="N293" s="333"/>
      <c r="O293" s="333"/>
      <c r="P293" s="333"/>
      <c r="Q293" s="333"/>
      <c r="R293" s="333"/>
      <c r="S293" s="333"/>
      <c r="T293" s="333"/>
      <c r="U293" s="333"/>
      <c r="V293" s="333"/>
      <c r="W293" s="333"/>
      <c r="X293" s="333"/>
      <c r="Y293" s="333"/>
      <c r="Z293" s="333"/>
      <c r="AA293" s="28"/>
    </row>
    <row r="294" spans="1:27">
      <c r="A294" s="26"/>
      <c r="B294" s="27" t="s">
        <v>19</v>
      </c>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28"/>
    </row>
    <row r="295" spans="1:27">
      <c r="A295" s="26"/>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28"/>
    </row>
    <row r="296" spans="1:27">
      <c r="A296" s="26"/>
      <c r="B296" s="58"/>
      <c r="D296" s="64"/>
      <c r="E296" s="64"/>
      <c r="F296" s="64"/>
      <c r="G296" s="64"/>
      <c r="H296" s="64"/>
      <c r="I296" s="64"/>
      <c r="J296" s="64"/>
      <c r="K296" s="64"/>
      <c r="L296" s="64"/>
      <c r="M296" s="64"/>
      <c r="N296" s="64"/>
      <c r="O296" s="64"/>
      <c r="P296" s="64"/>
      <c r="Q296" s="64"/>
      <c r="R296" s="64"/>
      <c r="S296" s="64"/>
      <c r="T296" s="64"/>
      <c r="U296" s="64"/>
      <c r="V296" s="64"/>
      <c r="W296" s="64"/>
      <c r="X296" s="64"/>
      <c r="Y296" s="64"/>
      <c r="AA296" s="28"/>
    </row>
    <row r="297" spans="1:27">
      <c r="A297" s="26"/>
      <c r="B297" s="26"/>
      <c r="C297" s="64" t="s">
        <v>20</v>
      </c>
      <c r="Z297" s="66"/>
      <c r="AA297" s="28"/>
    </row>
    <row r="298" spans="1:27">
      <c r="A298" s="26"/>
      <c r="B298" s="26"/>
      <c r="C298" s="27" t="s">
        <v>21</v>
      </c>
      <c r="Z298" s="28"/>
      <c r="AA298" s="28"/>
    </row>
    <row r="299" spans="1:27">
      <c r="A299" s="26"/>
      <c r="B299" s="26"/>
      <c r="C299" s="27" t="s">
        <v>22</v>
      </c>
      <c r="Z299" s="28"/>
      <c r="AA299" s="28"/>
    </row>
    <row r="300" spans="1:27">
      <c r="A300" s="26"/>
      <c r="B300" s="26"/>
      <c r="C300" s="27" t="s">
        <v>23</v>
      </c>
      <c r="Z300" s="28"/>
      <c r="AA300" s="28"/>
    </row>
    <row r="301" spans="1:27">
      <c r="A301" s="26"/>
      <c r="B301" s="26"/>
      <c r="C301" s="27" t="s">
        <v>24</v>
      </c>
      <c r="D301" s="27" t="s">
        <v>234</v>
      </c>
      <c r="Z301" s="28"/>
      <c r="AA301" s="28"/>
    </row>
    <row r="302" spans="1:27">
      <c r="A302" s="26"/>
      <c r="B302" s="26"/>
      <c r="D302" s="27" t="s">
        <v>71</v>
      </c>
      <c r="E302" s="27" t="s">
        <v>502</v>
      </c>
      <c r="Z302" s="28"/>
      <c r="AA302" s="28"/>
    </row>
    <row r="303" spans="1:27">
      <c r="A303" s="26"/>
      <c r="B303" s="26"/>
      <c r="E303" s="27" t="s">
        <v>503</v>
      </c>
      <c r="Z303" s="28"/>
      <c r="AA303" s="28"/>
    </row>
    <row r="304" spans="1:27">
      <c r="A304" s="26"/>
      <c r="B304" s="26"/>
      <c r="E304" s="27" t="s">
        <v>504</v>
      </c>
      <c r="Z304" s="28"/>
      <c r="AA304" s="28"/>
    </row>
    <row r="305" spans="1:31">
      <c r="A305" s="26"/>
      <c r="B305" s="26"/>
      <c r="E305" s="27" t="s">
        <v>505</v>
      </c>
      <c r="Z305" s="28"/>
      <c r="AA305" s="28"/>
    </row>
    <row r="306" spans="1:31">
      <c r="A306" s="26"/>
      <c r="B306" s="26"/>
      <c r="E306" s="27" t="s">
        <v>506</v>
      </c>
      <c r="Z306" s="28"/>
      <c r="AA306" s="28"/>
    </row>
    <row r="307" spans="1:31">
      <c r="A307" s="26"/>
      <c r="B307" s="26"/>
      <c r="E307" s="27" t="s">
        <v>507</v>
      </c>
      <c r="Z307" s="28"/>
      <c r="AA307" s="28"/>
    </row>
    <row r="308" spans="1:31">
      <c r="A308" s="26"/>
      <c r="B308" s="26"/>
      <c r="E308" s="27" t="s">
        <v>508</v>
      </c>
      <c r="Z308" s="28"/>
      <c r="AA308" s="28"/>
    </row>
    <row r="309" spans="1:31" s="36" customFormat="1">
      <c r="A309" s="174"/>
      <c r="B309" s="174"/>
      <c r="E309" s="36" t="s">
        <v>1053</v>
      </c>
      <c r="Z309" s="176"/>
      <c r="AA309" s="176"/>
      <c r="AE309" s="36" t="s">
        <v>1052</v>
      </c>
    </row>
    <row r="310" spans="1:31">
      <c r="A310" s="26"/>
      <c r="B310" s="26"/>
      <c r="E310" s="27" t="s">
        <v>509</v>
      </c>
      <c r="Z310" s="28"/>
      <c r="AA310" s="28"/>
    </row>
    <row r="311" spans="1:31">
      <c r="A311" s="26"/>
      <c r="B311" s="26"/>
      <c r="E311" s="27" t="s">
        <v>510</v>
      </c>
      <c r="Z311" s="28"/>
      <c r="AA311" s="28"/>
    </row>
    <row r="312" spans="1:31">
      <c r="A312" s="26"/>
      <c r="B312" s="26"/>
      <c r="E312" s="27" t="s">
        <v>511</v>
      </c>
      <c r="Z312" s="28"/>
      <c r="AA312" s="28"/>
    </row>
    <row r="313" spans="1:31">
      <c r="A313" s="26"/>
      <c r="B313" s="26"/>
      <c r="E313" s="27" t="s">
        <v>512</v>
      </c>
      <c r="Z313" s="28"/>
      <c r="AA313" s="28"/>
    </row>
    <row r="314" spans="1:31">
      <c r="A314" s="26"/>
      <c r="B314" s="26"/>
      <c r="E314" s="27" t="s">
        <v>513</v>
      </c>
      <c r="Z314" s="28"/>
      <c r="AA314" s="28"/>
    </row>
    <row r="315" spans="1:31">
      <c r="A315" s="26"/>
      <c r="B315" s="26"/>
      <c r="E315" s="27" t="s">
        <v>514</v>
      </c>
      <c r="Z315" s="28"/>
      <c r="AA315" s="28"/>
    </row>
    <row r="316" spans="1:31">
      <c r="A316" s="26"/>
      <c r="B316" s="26"/>
      <c r="E316" s="27" t="s">
        <v>515</v>
      </c>
      <c r="Z316" s="28"/>
      <c r="AA316" s="28"/>
    </row>
    <row r="317" spans="1:31">
      <c r="A317" s="26"/>
      <c r="B317" s="26"/>
      <c r="E317" s="27" t="s">
        <v>516</v>
      </c>
      <c r="Z317" s="28"/>
      <c r="AA317" s="28"/>
    </row>
    <row r="318" spans="1:31">
      <c r="A318" s="26"/>
      <c r="B318" s="26"/>
      <c r="E318" s="27" t="s">
        <v>517</v>
      </c>
      <c r="Z318" s="28"/>
      <c r="AA318" s="28"/>
    </row>
    <row r="319" spans="1:31">
      <c r="A319" s="26"/>
      <c r="B319" s="26"/>
      <c r="E319" s="27" t="s">
        <v>518</v>
      </c>
      <c r="Z319" s="28"/>
      <c r="AA319" s="28"/>
    </row>
    <row r="320" spans="1:31">
      <c r="A320" s="26"/>
      <c r="B320" s="26"/>
      <c r="E320" s="27" t="s">
        <v>519</v>
      </c>
      <c r="Z320" s="28"/>
      <c r="AA320" s="28"/>
    </row>
    <row r="321" spans="1:27">
      <c r="A321" s="26"/>
      <c r="B321" s="26"/>
      <c r="E321" s="27" t="s">
        <v>520</v>
      </c>
      <c r="Z321" s="28"/>
      <c r="AA321" s="28"/>
    </row>
    <row r="322" spans="1:27">
      <c r="A322" s="26"/>
      <c r="B322" s="26"/>
      <c r="E322" s="27" t="s">
        <v>521</v>
      </c>
      <c r="Z322" s="28"/>
      <c r="AA322" s="28"/>
    </row>
    <row r="323" spans="1:27">
      <c r="A323" s="26"/>
      <c r="B323" s="26"/>
      <c r="E323" s="27" t="s">
        <v>522</v>
      </c>
      <c r="Z323" s="28"/>
      <c r="AA323" s="28"/>
    </row>
    <row r="324" spans="1:27">
      <c r="A324" s="26"/>
      <c r="B324" s="26"/>
      <c r="E324" s="27" t="s">
        <v>523</v>
      </c>
      <c r="Z324" s="28"/>
      <c r="AA324" s="28"/>
    </row>
    <row r="325" spans="1:27">
      <c r="A325" s="26"/>
      <c r="B325" s="26"/>
      <c r="E325" s="27" t="s">
        <v>524</v>
      </c>
      <c r="Z325" s="28"/>
      <c r="AA325" s="28"/>
    </row>
    <row r="326" spans="1:27">
      <c r="A326" s="26"/>
      <c r="B326" s="26"/>
      <c r="E326" s="27" t="s">
        <v>525</v>
      </c>
      <c r="Z326" s="28"/>
      <c r="AA326" s="28"/>
    </row>
    <row r="327" spans="1:27">
      <c r="A327" s="26"/>
      <c r="B327" s="26"/>
      <c r="E327" s="27" t="s">
        <v>526</v>
      </c>
      <c r="Z327" s="28"/>
      <c r="AA327" s="28"/>
    </row>
    <row r="328" spans="1:27">
      <c r="A328" s="26"/>
      <c r="B328" s="26"/>
      <c r="E328" s="27" t="s">
        <v>527</v>
      </c>
      <c r="Z328" s="28"/>
      <c r="AA328" s="28"/>
    </row>
    <row r="329" spans="1:27">
      <c r="A329" s="26"/>
      <c r="B329" s="26"/>
      <c r="E329" s="27" t="s">
        <v>528</v>
      </c>
      <c r="Z329" s="28"/>
      <c r="AA329" s="28"/>
    </row>
    <row r="330" spans="1:27">
      <c r="A330" s="26"/>
      <c r="B330" s="26"/>
      <c r="E330" s="27" t="s">
        <v>529</v>
      </c>
      <c r="Z330" s="28"/>
      <c r="AA330" s="28"/>
    </row>
    <row r="331" spans="1:27">
      <c r="A331" s="26"/>
      <c r="B331" s="26"/>
      <c r="E331" s="27" t="s">
        <v>530</v>
      </c>
      <c r="Z331" s="28"/>
      <c r="AA331" s="28"/>
    </row>
    <row r="332" spans="1:27">
      <c r="A332" s="26"/>
      <c r="B332" s="26"/>
      <c r="E332" s="27" t="s">
        <v>531</v>
      </c>
      <c r="Z332" s="28"/>
      <c r="AA332" s="28"/>
    </row>
    <row r="333" spans="1:27">
      <c r="A333" s="26"/>
      <c r="B333" s="26"/>
      <c r="E333" s="27" t="s">
        <v>532</v>
      </c>
      <c r="Z333" s="28"/>
      <c r="AA333" s="28"/>
    </row>
    <row r="334" spans="1:27">
      <c r="A334" s="26"/>
      <c r="B334" s="26"/>
      <c r="E334" s="27" t="s">
        <v>533</v>
      </c>
      <c r="Z334" s="28"/>
      <c r="AA334" s="28"/>
    </row>
    <row r="335" spans="1:27">
      <c r="A335" s="26"/>
      <c r="B335" s="26"/>
      <c r="E335" s="27" t="s">
        <v>534</v>
      </c>
      <c r="Z335" s="28"/>
      <c r="AA335" s="28"/>
    </row>
    <row r="336" spans="1:27">
      <c r="A336" s="26"/>
      <c r="B336" s="26"/>
      <c r="E336" s="27" t="s">
        <v>535</v>
      </c>
      <c r="Z336" s="28"/>
      <c r="AA336" s="28"/>
    </row>
    <row r="337" spans="1:27">
      <c r="A337" s="26"/>
      <c r="B337" s="26"/>
      <c r="E337" s="27" t="s">
        <v>536</v>
      </c>
      <c r="Z337" s="28"/>
      <c r="AA337" s="28"/>
    </row>
    <row r="338" spans="1:27">
      <c r="A338" s="26"/>
      <c r="B338" s="26"/>
      <c r="E338" s="27" t="s">
        <v>537</v>
      </c>
      <c r="Z338" s="28"/>
      <c r="AA338" s="28"/>
    </row>
    <row r="339" spans="1:27">
      <c r="A339" s="26"/>
      <c r="B339" s="26"/>
      <c r="E339" s="27" t="s">
        <v>538</v>
      </c>
      <c r="Z339" s="28"/>
      <c r="AA339" s="28"/>
    </row>
    <row r="340" spans="1:27">
      <c r="A340" s="26"/>
      <c r="B340" s="26"/>
      <c r="E340" s="27" t="s">
        <v>539</v>
      </c>
      <c r="Z340" s="28"/>
      <c r="AA340" s="28"/>
    </row>
    <row r="341" spans="1:27">
      <c r="A341" s="26"/>
      <c r="B341" s="26"/>
      <c r="E341" s="27" t="s">
        <v>540</v>
      </c>
      <c r="Z341" s="28"/>
      <c r="AA341" s="28"/>
    </row>
    <row r="342" spans="1:27">
      <c r="A342" s="26"/>
      <c r="B342" s="26"/>
      <c r="E342" s="27" t="s">
        <v>541</v>
      </c>
      <c r="Z342" s="28"/>
      <c r="AA342" s="28"/>
    </row>
    <row r="343" spans="1:27">
      <c r="A343" s="26"/>
      <c r="B343" s="26"/>
      <c r="E343" s="27" t="s">
        <v>542</v>
      </c>
      <c r="Z343" s="28"/>
      <c r="AA343" s="28"/>
    </row>
    <row r="344" spans="1:27">
      <c r="A344" s="26"/>
      <c r="B344" s="26"/>
      <c r="E344" s="27" t="s">
        <v>543</v>
      </c>
      <c r="Z344" s="28"/>
      <c r="AA344" s="28"/>
    </row>
    <row r="345" spans="1:27">
      <c r="A345" s="26"/>
      <c r="B345" s="26"/>
      <c r="E345" s="27" t="s">
        <v>544</v>
      </c>
      <c r="Z345" s="28"/>
      <c r="AA345" s="28"/>
    </row>
    <row r="346" spans="1:27">
      <c r="A346" s="26"/>
      <c r="B346" s="26"/>
      <c r="E346" s="27" t="s">
        <v>545</v>
      </c>
      <c r="Z346" s="28"/>
      <c r="AA346" s="28"/>
    </row>
    <row r="347" spans="1:27">
      <c r="A347" s="26"/>
      <c r="B347" s="26"/>
      <c r="E347" s="27" t="s">
        <v>546</v>
      </c>
      <c r="Z347" s="28"/>
      <c r="AA347" s="28"/>
    </row>
    <row r="348" spans="1:27">
      <c r="A348" s="26"/>
      <c r="B348" s="26"/>
      <c r="E348" s="27" t="s">
        <v>547</v>
      </c>
      <c r="Z348" s="28"/>
      <c r="AA348" s="28"/>
    </row>
    <row r="349" spans="1:27">
      <c r="A349" s="26"/>
      <c r="B349" s="26"/>
      <c r="E349" s="27" t="s">
        <v>548</v>
      </c>
      <c r="Z349" s="28"/>
      <c r="AA349" s="28"/>
    </row>
    <row r="350" spans="1:27">
      <c r="A350" s="26"/>
      <c r="B350" s="26"/>
      <c r="E350" s="27" t="s">
        <v>549</v>
      </c>
      <c r="Z350" s="28"/>
      <c r="AA350" s="28"/>
    </row>
    <row r="351" spans="1:27">
      <c r="A351" s="26"/>
      <c r="B351" s="26"/>
      <c r="E351" s="27" t="s">
        <v>550</v>
      </c>
      <c r="Z351" s="28"/>
      <c r="AA351" s="28"/>
    </row>
    <row r="352" spans="1:27">
      <c r="A352" s="26"/>
      <c r="B352" s="26"/>
      <c r="E352" s="27" t="s">
        <v>551</v>
      </c>
      <c r="Z352" s="28"/>
      <c r="AA352" s="28"/>
    </row>
    <row r="353" spans="1:27">
      <c r="A353" s="26"/>
      <c r="B353" s="26"/>
      <c r="E353" s="27" t="s">
        <v>552</v>
      </c>
      <c r="Z353" s="28"/>
      <c r="AA353" s="28"/>
    </row>
    <row r="354" spans="1:27">
      <c r="A354" s="26"/>
      <c r="B354" s="26"/>
      <c r="E354" s="27" t="s">
        <v>553</v>
      </c>
      <c r="Z354" s="28"/>
      <c r="AA354" s="28"/>
    </row>
    <row r="355" spans="1:27">
      <c r="A355" s="26"/>
      <c r="B355" s="26"/>
      <c r="E355" s="27" t="s">
        <v>554</v>
      </c>
      <c r="Z355" s="28"/>
      <c r="AA355" s="28"/>
    </row>
    <row r="356" spans="1:27">
      <c r="A356" s="26"/>
      <c r="B356" s="26"/>
      <c r="E356" s="27" t="s">
        <v>555</v>
      </c>
      <c r="Z356" s="28"/>
      <c r="AA356" s="28"/>
    </row>
    <row r="357" spans="1:27">
      <c r="A357" s="26"/>
      <c r="B357" s="26"/>
      <c r="E357" s="27" t="s">
        <v>556</v>
      </c>
      <c r="Z357" s="28"/>
      <c r="AA357" s="28"/>
    </row>
    <row r="358" spans="1:27">
      <c r="A358" s="26"/>
      <c r="B358" s="26"/>
      <c r="D358" s="27" t="s">
        <v>72</v>
      </c>
      <c r="Z358" s="28"/>
      <c r="AA358" s="28"/>
    </row>
    <row r="359" spans="1:27">
      <c r="A359" s="26"/>
      <c r="B359" s="26"/>
      <c r="Z359" s="28"/>
      <c r="AA359" s="28"/>
    </row>
    <row r="360" spans="1:27">
      <c r="A360" s="26"/>
      <c r="B360" s="26"/>
      <c r="D360" s="27" t="s">
        <v>235</v>
      </c>
      <c r="Z360" s="28"/>
      <c r="AA360" s="28"/>
    </row>
    <row r="361" spans="1:27">
      <c r="A361" s="26"/>
      <c r="B361" s="26"/>
      <c r="D361" s="27" t="s">
        <v>71</v>
      </c>
      <c r="E361" s="27" t="s">
        <v>557</v>
      </c>
      <c r="Z361" s="28"/>
      <c r="AA361" s="28"/>
    </row>
    <row r="362" spans="1:27">
      <c r="A362" s="26"/>
      <c r="B362" s="26"/>
      <c r="E362" s="27" t="s">
        <v>558</v>
      </c>
      <c r="Z362" s="28"/>
      <c r="AA362" s="28"/>
    </row>
    <row r="363" spans="1:27">
      <c r="A363" s="26"/>
      <c r="B363" s="26"/>
      <c r="E363" s="27" t="s">
        <v>559</v>
      </c>
      <c r="Z363" s="28"/>
      <c r="AA363" s="28"/>
    </row>
    <row r="364" spans="1:27">
      <c r="A364" s="26"/>
      <c r="B364" s="26"/>
      <c r="E364" s="27" t="s">
        <v>560</v>
      </c>
      <c r="Z364" s="28"/>
      <c r="AA364" s="28"/>
    </row>
    <row r="365" spans="1:27">
      <c r="A365" s="26"/>
      <c r="B365" s="26"/>
      <c r="E365" s="27" t="s">
        <v>561</v>
      </c>
      <c r="Z365" s="28"/>
      <c r="AA365" s="28"/>
    </row>
    <row r="366" spans="1:27">
      <c r="A366" s="26"/>
      <c r="B366" s="26"/>
      <c r="E366" s="27" t="s">
        <v>562</v>
      </c>
      <c r="Z366" s="28"/>
      <c r="AA366" s="28"/>
    </row>
    <row r="367" spans="1:27">
      <c r="A367" s="26"/>
      <c r="B367" s="26"/>
      <c r="D367" s="27" t="s">
        <v>72</v>
      </c>
      <c r="Z367" s="28"/>
      <c r="AA367" s="28"/>
    </row>
    <row r="368" spans="1:27">
      <c r="A368" s="26"/>
      <c r="B368" s="26"/>
      <c r="D368" s="27" t="s">
        <v>50</v>
      </c>
      <c r="Z368" s="28"/>
      <c r="AA368" s="28"/>
    </row>
    <row r="369" spans="1:27">
      <c r="A369" s="26"/>
      <c r="B369" s="26"/>
      <c r="D369" s="27" t="s">
        <v>237</v>
      </c>
      <c r="Z369" s="28"/>
      <c r="AA369" s="28"/>
    </row>
    <row r="370" spans="1:27">
      <c r="A370" s="26"/>
      <c r="B370" s="26"/>
      <c r="D370" s="27" t="s">
        <v>71</v>
      </c>
      <c r="E370" s="27" t="s">
        <v>502</v>
      </c>
      <c r="Z370" s="28"/>
      <c r="AA370" s="28"/>
    </row>
    <row r="371" spans="1:27">
      <c r="A371" s="26"/>
      <c r="B371" s="26"/>
      <c r="E371" s="27" t="s">
        <v>563</v>
      </c>
      <c r="Z371" s="28"/>
      <c r="AA371" s="28"/>
    </row>
    <row r="372" spans="1:27">
      <c r="A372" s="26"/>
      <c r="B372" s="26"/>
      <c r="E372" s="27" t="s">
        <v>564</v>
      </c>
      <c r="Z372" s="28"/>
      <c r="AA372" s="28"/>
    </row>
    <row r="373" spans="1:27">
      <c r="A373" s="26"/>
      <c r="B373" s="26"/>
      <c r="E373" s="27" t="s">
        <v>565</v>
      </c>
      <c r="Z373" s="28"/>
      <c r="AA373" s="28"/>
    </row>
    <row r="374" spans="1:27">
      <c r="A374" s="26"/>
      <c r="B374" s="26"/>
      <c r="E374" s="27" t="s">
        <v>566</v>
      </c>
      <c r="Z374" s="28"/>
      <c r="AA374" s="28"/>
    </row>
    <row r="375" spans="1:27">
      <c r="A375" s="26"/>
      <c r="B375" s="26"/>
      <c r="E375" s="27" t="s">
        <v>567</v>
      </c>
      <c r="Z375" s="28"/>
      <c r="AA375" s="28"/>
    </row>
    <row r="376" spans="1:27">
      <c r="A376" s="26"/>
      <c r="B376" s="26"/>
      <c r="E376" s="27" t="s">
        <v>568</v>
      </c>
      <c r="Z376" s="28"/>
      <c r="AA376" s="28"/>
    </row>
    <row r="377" spans="1:27">
      <c r="A377" s="26"/>
      <c r="B377" s="26"/>
      <c r="E377" s="27" t="s">
        <v>569</v>
      </c>
      <c r="Z377" s="28"/>
      <c r="AA377" s="28"/>
    </row>
    <row r="378" spans="1:27">
      <c r="A378" s="26"/>
      <c r="B378" s="26"/>
      <c r="E378" s="27" t="s">
        <v>570</v>
      </c>
      <c r="Z378" s="28"/>
      <c r="AA378" s="28"/>
    </row>
    <row r="379" spans="1:27">
      <c r="A379" s="26"/>
      <c r="B379" s="26"/>
      <c r="E379" s="27" t="s">
        <v>571</v>
      </c>
      <c r="Z379" s="28"/>
      <c r="AA379" s="28"/>
    </row>
    <row r="380" spans="1:27">
      <c r="A380" s="26"/>
      <c r="B380" s="26"/>
      <c r="E380" s="27" t="s">
        <v>572</v>
      </c>
      <c r="Z380" s="28"/>
      <c r="AA380" s="28"/>
    </row>
    <row r="381" spans="1:27">
      <c r="A381" s="26"/>
      <c r="B381" s="26"/>
      <c r="D381" s="27" t="s">
        <v>72</v>
      </c>
      <c r="Z381" s="28"/>
      <c r="AA381" s="28"/>
    </row>
    <row r="382" spans="1:27">
      <c r="A382" s="26"/>
      <c r="B382" s="26"/>
      <c r="D382" s="27" t="s">
        <v>240</v>
      </c>
      <c r="Z382" s="28"/>
      <c r="AA382" s="28"/>
    </row>
    <row r="383" spans="1:27">
      <c r="A383" s="26"/>
      <c r="B383" s="26"/>
      <c r="D383" s="27" t="s">
        <v>71</v>
      </c>
      <c r="E383" s="27" t="s">
        <v>233</v>
      </c>
      <c r="Z383" s="28"/>
      <c r="AA383" s="28"/>
    </row>
    <row r="384" spans="1:27">
      <c r="A384" s="26"/>
      <c r="B384" s="26"/>
      <c r="E384" s="27" t="s">
        <v>236</v>
      </c>
      <c r="Z384" s="28"/>
      <c r="AA384" s="28"/>
    </row>
    <row r="385" spans="1:27">
      <c r="A385" s="26"/>
      <c r="B385" s="26"/>
      <c r="E385" s="27" t="s">
        <v>238</v>
      </c>
      <c r="Z385" s="28"/>
      <c r="AA385" s="28"/>
    </row>
    <row r="386" spans="1:27">
      <c r="A386" s="26"/>
      <c r="B386" s="26"/>
      <c r="E386" s="27" t="s">
        <v>239</v>
      </c>
      <c r="Z386" s="28"/>
      <c r="AA386" s="28"/>
    </row>
    <row r="387" spans="1:27">
      <c r="A387" s="26"/>
      <c r="B387" s="26"/>
      <c r="D387" s="27" t="s">
        <v>72</v>
      </c>
      <c r="Z387" s="28"/>
      <c r="AA387" s="28"/>
    </row>
    <row r="388" spans="1:27">
      <c r="A388" s="26"/>
      <c r="B388" s="26"/>
      <c r="D388" s="27" t="s">
        <v>50</v>
      </c>
      <c r="Z388" s="28"/>
      <c r="AA388" s="28"/>
    </row>
    <row r="389" spans="1:27">
      <c r="A389" s="26"/>
      <c r="B389" s="26"/>
      <c r="D389" s="27" t="s">
        <v>244</v>
      </c>
      <c r="Z389" s="28"/>
      <c r="AA389" s="28"/>
    </row>
    <row r="390" spans="1:27">
      <c r="A390" s="26"/>
      <c r="B390" s="26"/>
      <c r="D390" s="27" t="s">
        <v>71</v>
      </c>
      <c r="E390" s="27" t="s">
        <v>233</v>
      </c>
      <c r="Z390" s="28"/>
      <c r="AA390" s="28"/>
    </row>
    <row r="391" spans="1:27">
      <c r="A391" s="26"/>
      <c r="B391" s="26"/>
      <c r="E391" s="27" t="s">
        <v>236</v>
      </c>
      <c r="Z391" s="28"/>
      <c r="AA391" s="28"/>
    </row>
    <row r="392" spans="1:27">
      <c r="A392" s="26"/>
      <c r="B392" s="26"/>
      <c r="E392" s="27" t="s">
        <v>241</v>
      </c>
      <c r="Z392" s="28"/>
      <c r="AA392" s="28"/>
    </row>
    <row r="393" spans="1:27">
      <c r="A393" s="26"/>
      <c r="B393" s="26"/>
      <c r="E393" s="27" t="s">
        <v>242</v>
      </c>
      <c r="Z393" s="28"/>
      <c r="AA393" s="28"/>
    </row>
    <row r="394" spans="1:27">
      <c r="A394" s="26"/>
      <c r="B394" s="26"/>
      <c r="E394" s="27" t="s">
        <v>243</v>
      </c>
      <c r="Z394" s="28"/>
      <c r="AA394" s="28"/>
    </row>
    <row r="395" spans="1:27">
      <c r="A395" s="26"/>
      <c r="B395" s="26"/>
      <c r="D395" s="27" t="s">
        <v>72</v>
      </c>
      <c r="Z395" s="28"/>
      <c r="AA395" s="28"/>
    </row>
    <row r="396" spans="1:27">
      <c r="A396" s="26"/>
      <c r="B396" s="26"/>
      <c r="D396" s="27" t="s">
        <v>50</v>
      </c>
      <c r="Z396" s="28"/>
      <c r="AA396" s="28"/>
    </row>
    <row r="397" spans="1:27">
      <c r="A397" s="26"/>
      <c r="B397" s="26"/>
      <c r="D397" s="27" t="s">
        <v>245</v>
      </c>
      <c r="Z397" s="28"/>
      <c r="AA397" s="28"/>
    </row>
    <row r="398" spans="1:27">
      <c r="A398" s="26"/>
      <c r="B398" s="26"/>
      <c r="D398" s="27" t="s">
        <v>71</v>
      </c>
      <c r="E398" s="27" t="s">
        <v>563</v>
      </c>
      <c r="Z398" s="28"/>
      <c r="AA398" s="28"/>
    </row>
    <row r="399" spans="1:27">
      <c r="A399" s="26"/>
      <c r="B399" s="26"/>
      <c r="E399" s="27" t="s">
        <v>573</v>
      </c>
      <c r="Z399" s="28"/>
      <c r="AA399" s="28"/>
    </row>
    <row r="400" spans="1:27">
      <c r="A400" s="26"/>
      <c r="B400" s="26"/>
      <c r="E400" s="27" t="s">
        <v>574</v>
      </c>
      <c r="Z400" s="28"/>
      <c r="AA400" s="28"/>
    </row>
    <row r="401" spans="1:27">
      <c r="A401" s="26"/>
      <c r="B401" s="26"/>
      <c r="E401" s="27" t="s">
        <v>575</v>
      </c>
      <c r="Z401" s="28"/>
      <c r="AA401" s="28"/>
    </row>
    <row r="402" spans="1:27">
      <c r="A402" s="26"/>
      <c r="B402" s="26"/>
      <c r="E402" s="27" t="s">
        <v>576</v>
      </c>
      <c r="Z402" s="28"/>
      <c r="AA402" s="28"/>
    </row>
    <row r="403" spans="1:27">
      <c r="A403" s="26"/>
      <c r="B403" s="26"/>
      <c r="E403" s="27" t="s">
        <v>577</v>
      </c>
      <c r="Z403" s="28"/>
      <c r="AA403" s="28"/>
    </row>
    <row r="404" spans="1:27">
      <c r="A404" s="26"/>
      <c r="B404" s="26"/>
      <c r="E404" s="27" t="s">
        <v>578</v>
      </c>
      <c r="Z404" s="28"/>
      <c r="AA404" s="28"/>
    </row>
    <row r="405" spans="1:27">
      <c r="A405" s="26"/>
      <c r="B405" s="26"/>
      <c r="E405" s="27" t="s">
        <v>579</v>
      </c>
      <c r="Z405" s="28"/>
      <c r="AA405" s="28"/>
    </row>
    <row r="406" spans="1:27">
      <c r="A406" s="26"/>
      <c r="B406" s="26"/>
      <c r="E406" s="27" t="s">
        <v>580</v>
      </c>
      <c r="Z406" s="28"/>
      <c r="AA406" s="28"/>
    </row>
    <row r="407" spans="1:27">
      <c r="A407" s="26"/>
      <c r="B407" s="26"/>
      <c r="E407" s="27" t="s">
        <v>581</v>
      </c>
      <c r="Z407" s="28"/>
      <c r="AA407" s="28"/>
    </row>
    <row r="408" spans="1:27">
      <c r="A408" s="26"/>
      <c r="B408" s="26"/>
      <c r="E408" s="27" t="s">
        <v>582</v>
      </c>
      <c r="Z408" s="28"/>
      <c r="AA408" s="28"/>
    </row>
    <row r="409" spans="1:27">
      <c r="A409" s="26"/>
      <c r="B409" s="26"/>
      <c r="E409" s="27" t="s">
        <v>583</v>
      </c>
      <c r="Z409" s="28"/>
      <c r="AA409" s="28"/>
    </row>
    <row r="410" spans="1:27">
      <c r="A410" s="26"/>
      <c r="B410" s="26"/>
      <c r="E410" s="27" t="s">
        <v>584</v>
      </c>
      <c r="Z410" s="28"/>
      <c r="AA410" s="28"/>
    </row>
    <row r="411" spans="1:27">
      <c r="A411" s="26"/>
      <c r="B411" s="26"/>
      <c r="E411" s="27" t="s">
        <v>585</v>
      </c>
      <c r="Z411" s="28"/>
      <c r="AA411" s="28"/>
    </row>
    <row r="412" spans="1:27">
      <c r="A412" s="26"/>
      <c r="B412" s="26"/>
      <c r="E412" s="27" t="s">
        <v>586</v>
      </c>
      <c r="Z412" s="28"/>
      <c r="AA412" s="28"/>
    </row>
    <row r="413" spans="1:27">
      <c r="A413" s="26"/>
      <c r="B413" s="26"/>
      <c r="D413" s="27" t="s">
        <v>72</v>
      </c>
      <c r="Z413" s="28"/>
      <c r="AA413" s="28"/>
    </row>
    <row r="414" spans="1:27">
      <c r="A414" s="26"/>
      <c r="B414" s="26"/>
      <c r="D414" s="27" t="s">
        <v>50</v>
      </c>
      <c r="Z414" s="28"/>
      <c r="AA414" s="28"/>
    </row>
    <row r="415" spans="1:27">
      <c r="A415" s="26"/>
      <c r="B415" s="26"/>
      <c r="D415" s="27" t="s">
        <v>592</v>
      </c>
      <c r="Z415" s="28"/>
      <c r="AA415" s="28"/>
    </row>
    <row r="416" spans="1:27">
      <c r="A416" s="26"/>
      <c r="B416" s="26"/>
      <c r="D416" s="27" t="s">
        <v>71</v>
      </c>
      <c r="E416" s="27" t="s">
        <v>502</v>
      </c>
      <c r="Z416" s="28"/>
      <c r="AA416" s="28"/>
    </row>
    <row r="417" spans="1:27">
      <c r="A417" s="26"/>
      <c r="B417" s="26"/>
      <c r="E417" s="27" t="s">
        <v>587</v>
      </c>
      <c r="Z417" s="28"/>
      <c r="AA417" s="28"/>
    </row>
    <row r="418" spans="1:27">
      <c r="A418" s="26"/>
      <c r="B418" s="26"/>
      <c r="E418" s="27" t="s">
        <v>588</v>
      </c>
      <c r="Z418" s="28"/>
      <c r="AA418" s="28"/>
    </row>
    <row r="419" spans="1:27">
      <c r="A419" s="26"/>
      <c r="B419" s="26"/>
      <c r="E419" s="27" t="s">
        <v>589</v>
      </c>
      <c r="Z419" s="28"/>
      <c r="AA419" s="28"/>
    </row>
    <row r="420" spans="1:27">
      <c r="A420" s="26"/>
      <c r="B420" s="26"/>
      <c r="E420" s="27" t="s">
        <v>573</v>
      </c>
      <c r="Z420" s="28"/>
      <c r="AA420" s="28"/>
    </row>
    <row r="421" spans="1:27">
      <c r="A421" s="26"/>
      <c r="B421" s="26"/>
      <c r="E421" s="27" t="s">
        <v>574</v>
      </c>
      <c r="Z421" s="28"/>
      <c r="AA421" s="28"/>
    </row>
    <row r="422" spans="1:27">
      <c r="A422" s="26"/>
      <c r="B422" s="26"/>
      <c r="E422" s="27" t="s">
        <v>575</v>
      </c>
      <c r="Z422" s="28"/>
      <c r="AA422" s="28"/>
    </row>
    <row r="423" spans="1:27">
      <c r="A423" s="26"/>
      <c r="B423" s="26"/>
      <c r="E423" s="27" t="s">
        <v>576</v>
      </c>
      <c r="Z423" s="28"/>
      <c r="AA423" s="28"/>
    </row>
    <row r="424" spans="1:27">
      <c r="A424" s="26"/>
      <c r="B424" s="26"/>
      <c r="E424" s="27" t="s">
        <v>590</v>
      </c>
      <c r="Z424" s="28"/>
      <c r="AA424" s="28"/>
    </row>
    <row r="425" spans="1:27">
      <c r="A425" s="26"/>
      <c r="B425" s="26"/>
      <c r="E425" s="27" t="s">
        <v>591</v>
      </c>
      <c r="Z425" s="28"/>
      <c r="AA425" s="28"/>
    </row>
    <row r="426" spans="1:27">
      <c r="A426" s="26"/>
      <c r="B426" s="26"/>
      <c r="D426" s="27" t="s">
        <v>72</v>
      </c>
      <c r="Z426" s="28"/>
      <c r="AA426" s="28"/>
    </row>
    <row r="427" spans="1:27">
      <c r="A427" s="26"/>
      <c r="B427" s="26"/>
      <c r="D427" s="27" t="s">
        <v>50</v>
      </c>
      <c r="Z427" s="28"/>
      <c r="AA427" s="28"/>
    </row>
    <row r="428" spans="1:27">
      <c r="A428" s="26"/>
      <c r="B428" s="26"/>
      <c r="C428" s="27" t="s">
        <v>25</v>
      </c>
      <c r="Z428" s="28"/>
      <c r="AA428" s="28"/>
    </row>
    <row r="429" spans="1:27">
      <c r="A429" s="26"/>
      <c r="B429" s="26"/>
      <c r="C429" s="27" t="s">
        <v>26</v>
      </c>
      <c r="Z429" s="28"/>
      <c r="AA429" s="28"/>
    </row>
    <row r="430" spans="1:27">
      <c r="A430" s="26"/>
      <c r="B430" s="26"/>
      <c r="Z430" s="28"/>
      <c r="AA430" s="28"/>
    </row>
    <row r="431" spans="1:27">
      <c r="A431" s="26"/>
      <c r="B431" s="26"/>
      <c r="C431" s="27" t="s">
        <v>27</v>
      </c>
      <c r="Z431" s="28"/>
      <c r="AA431" s="28"/>
    </row>
    <row r="432" spans="1:27">
      <c r="A432" s="26"/>
      <c r="B432" s="26"/>
      <c r="C432" s="27" t="s">
        <v>21</v>
      </c>
      <c r="Z432" s="28"/>
      <c r="AA432" s="28"/>
    </row>
    <row r="433" spans="1:27">
      <c r="A433" s="26"/>
      <c r="B433" s="26"/>
      <c r="C433" s="27" t="s">
        <v>49</v>
      </c>
      <c r="Z433" s="28"/>
      <c r="AA433" s="28"/>
    </row>
    <row r="434" spans="1:27">
      <c r="A434" s="26"/>
      <c r="B434" s="26"/>
      <c r="C434" s="27" t="s">
        <v>28</v>
      </c>
      <c r="Z434" s="28"/>
      <c r="AA434" s="28"/>
    </row>
    <row r="435" spans="1:27">
      <c r="A435" s="26"/>
      <c r="B435" s="43"/>
      <c r="C435" s="27" t="s">
        <v>26</v>
      </c>
      <c r="D435" s="44"/>
      <c r="E435" s="44"/>
      <c r="F435" s="44"/>
      <c r="G435" s="44"/>
      <c r="H435" s="44"/>
      <c r="I435" s="44"/>
      <c r="J435" s="44"/>
      <c r="K435" s="44"/>
      <c r="L435" s="44"/>
      <c r="M435" s="44"/>
      <c r="N435" s="44"/>
      <c r="O435" s="44"/>
      <c r="P435" s="44"/>
      <c r="Q435" s="44"/>
      <c r="R435" s="44"/>
      <c r="S435" s="44"/>
      <c r="T435" s="44"/>
      <c r="U435" s="44"/>
      <c r="V435" s="44"/>
      <c r="W435" s="44"/>
      <c r="X435" s="44"/>
      <c r="Y435" s="44"/>
      <c r="Z435" s="28"/>
      <c r="AA435" s="28"/>
    </row>
    <row r="436" spans="1:27">
      <c r="A436" s="43"/>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5"/>
    </row>
  </sheetData>
  <mergeCells count="257">
    <mergeCell ref="C292:D292"/>
    <mergeCell ref="C287:D287"/>
    <mergeCell ref="C288:D288"/>
    <mergeCell ref="C286:D286"/>
    <mergeCell ref="E222:I222"/>
    <mergeCell ref="C223:D223"/>
    <mergeCell ref="J285:Z285"/>
    <mergeCell ref="C107:D107"/>
    <mergeCell ref="E290:I290"/>
    <mergeCell ref="C289:D289"/>
    <mergeCell ref="C290:D290"/>
    <mergeCell ref="C291:D291"/>
    <mergeCell ref="C146:D146"/>
    <mergeCell ref="C244:D244"/>
    <mergeCell ref="C149:F149"/>
    <mergeCell ref="G149:Z149"/>
    <mergeCell ref="E153:I153"/>
    <mergeCell ref="J153:Z153"/>
    <mergeCell ref="E154:I154"/>
    <mergeCell ref="C163:F163"/>
    <mergeCell ref="G163:Z163"/>
    <mergeCell ref="G136:Z136"/>
    <mergeCell ref="C141:D141"/>
    <mergeCell ref="J141:Z141"/>
    <mergeCell ref="C47:D47"/>
    <mergeCell ref="C35:D35"/>
    <mergeCell ref="C63:D63"/>
    <mergeCell ref="C58:D58"/>
    <mergeCell ref="C57:D57"/>
    <mergeCell ref="C45:D45"/>
    <mergeCell ref="C59:D59"/>
    <mergeCell ref="C60:D60"/>
    <mergeCell ref="C56:D56"/>
    <mergeCell ref="C61:D61"/>
    <mergeCell ref="C62:D62"/>
    <mergeCell ref="C46:D46"/>
    <mergeCell ref="C48:D48"/>
    <mergeCell ref="C49:D49"/>
    <mergeCell ref="C50:D50"/>
    <mergeCell ref="C51:D51"/>
    <mergeCell ref="C66:D66"/>
    <mergeCell ref="C68:D68"/>
    <mergeCell ref="C69:D69"/>
    <mergeCell ref="C127:D127"/>
    <mergeCell ref="C128:D128"/>
    <mergeCell ref="C117:F117"/>
    <mergeCell ref="C94:D94"/>
    <mergeCell ref="C92:D92"/>
    <mergeCell ref="C89:D89"/>
    <mergeCell ref="C91:D91"/>
    <mergeCell ref="C103:F103"/>
    <mergeCell ref="C100:F100"/>
    <mergeCell ref="C70:D70"/>
    <mergeCell ref="C129:D129"/>
    <mergeCell ref="C130:D130"/>
    <mergeCell ref="C131:D131"/>
    <mergeCell ref="C132:D132"/>
    <mergeCell ref="C230:D230"/>
    <mergeCell ref="C224:D224"/>
    <mergeCell ref="C240:D240"/>
    <mergeCell ref="C233:D233"/>
    <mergeCell ref="C225:D225"/>
    <mergeCell ref="C239:D239"/>
    <mergeCell ref="C226:D226"/>
    <mergeCell ref="C227:D227"/>
    <mergeCell ref="C144:D144"/>
    <mergeCell ref="C145:D145"/>
    <mergeCell ref="G117:Z117"/>
    <mergeCell ref="C121:D121"/>
    <mergeCell ref="E121:I121"/>
    <mergeCell ref="J121:Z121"/>
    <mergeCell ref="C122:D122"/>
    <mergeCell ref="E122:I122"/>
    <mergeCell ref="C123:D123"/>
    <mergeCell ref="C126:D126"/>
    <mergeCell ref="C71:D71"/>
    <mergeCell ref="C77:D77"/>
    <mergeCell ref="C78:D78"/>
    <mergeCell ref="C73:D73"/>
    <mergeCell ref="C74:D74"/>
    <mergeCell ref="C75:D75"/>
    <mergeCell ref="C84:D84"/>
    <mergeCell ref="C81:D81"/>
    <mergeCell ref="C82:D82"/>
    <mergeCell ref="C83:D83"/>
    <mergeCell ref="C79:D79"/>
    <mergeCell ref="C80:D80"/>
    <mergeCell ref="C72:D72"/>
    <mergeCell ref="C76:D76"/>
    <mergeCell ref="C93:D93"/>
    <mergeCell ref="C106:D106"/>
    <mergeCell ref="E221:I221"/>
    <mergeCell ref="C232:D232"/>
    <mergeCell ref="C110:D110"/>
    <mergeCell ref="C86:D86"/>
    <mergeCell ref="C90:D90"/>
    <mergeCell ref="F94:I94"/>
    <mergeCell ref="G98:Z98"/>
    <mergeCell ref="G103:O103"/>
    <mergeCell ref="Q103:Z103"/>
    <mergeCell ref="G100:Z100"/>
    <mergeCell ref="C101:F101"/>
    <mergeCell ref="J106:Z106"/>
    <mergeCell ref="G101:O101"/>
    <mergeCell ref="E141:I141"/>
    <mergeCell ref="G138:Z138"/>
    <mergeCell ref="C137:F137"/>
    <mergeCell ref="C125:D125"/>
    <mergeCell ref="C124:D124"/>
    <mergeCell ref="Q101:Z101"/>
    <mergeCell ref="J221:Z221"/>
    <mergeCell ref="C116:F116"/>
    <mergeCell ref="G116:Z116"/>
    <mergeCell ref="C111:D111"/>
    <mergeCell ref="C143:D143"/>
    <mergeCell ref="G9:J9"/>
    <mergeCell ref="K9:M9"/>
    <mergeCell ref="N9:P9"/>
    <mergeCell ref="Q9:R9"/>
    <mergeCell ref="S9:Z9"/>
    <mergeCell ref="C293:F293"/>
    <mergeCell ref="G293:Z293"/>
    <mergeCell ref="C285:D285"/>
    <mergeCell ref="C162:F162"/>
    <mergeCell ref="C154:D154"/>
    <mergeCell ref="C133:D133"/>
    <mergeCell ref="C99:F99"/>
    <mergeCell ref="G99:O99"/>
    <mergeCell ref="Q99:Z99"/>
    <mergeCell ref="C234:D234"/>
    <mergeCell ref="C235:D235"/>
    <mergeCell ref="C236:D236"/>
    <mergeCell ref="C242:D242"/>
    <mergeCell ref="C228:D228"/>
    <mergeCell ref="C108:D108"/>
    <mergeCell ref="C109:D109"/>
    <mergeCell ref="C85:D85"/>
    <mergeCell ref="C88:D88"/>
    <mergeCell ref="C87:D87"/>
    <mergeCell ref="E285:I285"/>
    <mergeCell ref="G162:Z162"/>
    <mergeCell ref="E106:I106"/>
    <mergeCell ref="G16:Z16"/>
    <mergeCell ref="J31:Z31"/>
    <mergeCell ref="C52:D52"/>
    <mergeCell ref="C53:D53"/>
    <mergeCell ref="C54:D54"/>
    <mergeCell ref="C55:D55"/>
    <mergeCell ref="C229:D229"/>
    <mergeCell ref="C221:D221"/>
    <mergeCell ref="C275:D275"/>
    <mergeCell ref="E275:I275"/>
    <mergeCell ref="C136:F136"/>
    <mergeCell ref="C153:D153"/>
    <mergeCell ref="C276:D276"/>
    <mergeCell ref="C277:D277"/>
    <mergeCell ref="C278:D278"/>
    <mergeCell ref="C279:D279"/>
    <mergeCell ref="C280:D280"/>
    <mergeCell ref="C281:D281"/>
    <mergeCell ref="C268:F268"/>
    <mergeCell ref="G268:Z268"/>
    <mergeCell ref="C269:F269"/>
    <mergeCell ref="A1:G2"/>
    <mergeCell ref="H1:AA2"/>
    <mergeCell ref="A3:G4"/>
    <mergeCell ref="H3:AA4"/>
    <mergeCell ref="A5:C5"/>
    <mergeCell ref="D5:G5"/>
    <mergeCell ref="H5:J5"/>
    <mergeCell ref="K5:N5"/>
    <mergeCell ref="O5:Q5"/>
    <mergeCell ref="R5:U5"/>
    <mergeCell ref="V5:X5"/>
    <mergeCell ref="Y5:AA5"/>
    <mergeCell ref="C8:F8"/>
    <mergeCell ref="G8:J8"/>
    <mergeCell ref="N8:P8"/>
    <mergeCell ref="Q8:R8"/>
    <mergeCell ref="S8:Z8"/>
    <mergeCell ref="C9:F9"/>
    <mergeCell ref="C155:D155"/>
    <mergeCell ref="C156:D156"/>
    <mergeCell ref="C157:D157"/>
    <mergeCell ref="C112:D112"/>
    <mergeCell ref="Q10:R10"/>
    <mergeCell ref="C64:D64"/>
    <mergeCell ref="C65:D65"/>
    <mergeCell ref="C67:D67"/>
    <mergeCell ref="C32:D32"/>
    <mergeCell ref="K10:M10"/>
    <mergeCell ref="N10:P10"/>
    <mergeCell ref="C15:F15"/>
    <mergeCell ref="G15:O15"/>
    <mergeCell ref="Q15:Z15"/>
    <mergeCell ref="C16:F16"/>
    <mergeCell ref="C28:F28"/>
    <mergeCell ref="G28:Z28"/>
    <mergeCell ref="C27:Z27"/>
    <mergeCell ref="S10:Z10"/>
    <mergeCell ref="C10:F10"/>
    <mergeCell ref="G10:J10"/>
    <mergeCell ref="C37:D37"/>
    <mergeCell ref="C238:D238"/>
    <mergeCell ref="C158:D158"/>
    <mergeCell ref="C159:D159"/>
    <mergeCell ref="C138:F138"/>
    <mergeCell ref="C222:D222"/>
    <mergeCell ref="C142:D142"/>
    <mergeCell ref="E142:I142"/>
    <mergeCell ref="E31:I31"/>
    <mergeCell ref="C98:F98"/>
    <mergeCell ref="C102:F102"/>
    <mergeCell ref="G102:Z102"/>
    <mergeCell ref="G137:Z137"/>
    <mergeCell ref="C118:F118"/>
    <mergeCell ref="G118:Z118"/>
    <mergeCell ref="C150:F150"/>
    <mergeCell ref="G150:Z150"/>
    <mergeCell ref="C164:F164"/>
    <mergeCell ref="G164:Z164"/>
    <mergeCell ref="C231:D231"/>
    <mergeCell ref="C113:D113"/>
    <mergeCell ref="G269:Z269"/>
    <mergeCell ref="C270:F270"/>
    <mergeCell ref="G270:Z270"/>
    <mergeCell ref="C271:F271"/>
    <mergeCell ref="G271:Z271"/>
    <mergeCell ref="C274:D274"/>
    <mergeCell ref="E274:I274"/>
    <mergeCell ref="J274:Z274"/>
    <mergeCell ref="C237:D237"/>
    <mergeCell ref="C243:D243"/>
    <mergeCell ref="C241:D241"/>
    <mergeCell ref="C17:F17"/>
    <mergeCell ref="G17:Z17"/>
    <mergeCell ref="C18:F20"/>
    <mergeCell ref="G18:Z18"/>
    <mergeCell ref="G19:Z19"/>
    <mergeCell ref="G20:Z20"/>
    <mergeCell ref="C43:D43"/>
    <mergeCell ref="C44:D44"/>
    <mergeCell ref="C41:D41"/>
    <mergeCell ref="C42:D42"/>
    <mergeCell ref="C21:F21"/>
    <mergeCell ref="G21:Z21"/>
    <mergeCell ref="C22:F24"/>
    <mergeCell ref="G22:Z22"/>
    <mergeCell ref="G23:Z23"/>
    <mergeCell ref="G24:Z24"/>
    <mergeCell ref="C38:D38"/>
    <mergeCell ref="C33:D33"/>
    <mergeCell ref="C31:D31"/>
    <mergeCell ref="C34:D34"/>
    <mergeCell ref="C36:D36"/>
    <mergeCell ref="C39:D39"/>
    <mergeCell ref="C40:D40"/>
  </mergeCells>
  <phoneticPr fontId="3"/>
  <pageMargins left="0.39370078740157499" right="0.39370078740157499" top="0.39370078740157499" bottom="0.39370078740157499" header="0.31496062992126" footer="0.31496062992126"/>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294C-6472-4F8A-8901-1A8D5C1B92B5}">
  <sheetPr>
    <tabColor rgb="FFFFC000"/>
  </sheetPr>
  <dimension ref="P97:R153"/>
  <sheetViews>
    <sheetView topLeftCell="A163" zoomScale="85" zoomScaleNormal="85" workbookViewId="0">
      <selection activeCell="AN179" sqref="AN179:AQ182"/>
    </sheetView>
  </sheetViews>
  <sheetFormatPr defaultColWidth="3.375" defaultRowHeight="18.75"/>
  <cols>
    <col min="1" max="16384" width="3.375" style="127"/>
  </cols>
  <sheetData>
    <row r="97" spans="16:16">
      <c r="P97" s="188" t="s">
        <v>1259</v>
      </c>
    </row>
    <row r="101" spans="16:16">
      <c r="P101" s="188" t="s">
        <v>1259</v>
      </c>
    </row>
    <row r="153" spans="18:18">
      <c r="R153" s="126"/>
    </row>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80359-8EB7-407B-A6B5-782E9D0AC222}">
  <sheetPr>
    <tabColor rgb="FFFFC000"/>
  </sheetPr>
  <dimension ref="A1:AH593"/>
  <sheetViews>
    <sheetView topLeftCell="A436" workbookViewId="0">
      <selection activeCell="C446" sqref="C446"/>
    </sheetView>
  </sheetViews>
  <sheetFormatPr defaultColWidth="3.25" defaultRowHeight="18" customHeight="1"/>
  <cols>
    <col min="1" max="1" width="3.25" style="27"/>
    <col min="2" max="3" width="3.25" style="27" customWidth="1"/>
    <col min="4" max="5" width="3.25" style="27"/>
    <col min="6" max="6" width="3.25" style="27" customWidth="1"/>
    <col min="7" max="9" width="3.25" style="27"/>
    <col min="10" max="10" width="3.25" style="27" customWidth="1"/>
    <col min="11" max="11" width="3.25" style="27"/>
    <col min="12" max="12" width="3.25" style="27" customWidth="1"/>
    <col min="13" max="28" width="3.25" style="27"/>
    <col min="29" max="29" width="3.25" style="36" customWidth="1"/>
    <col min="30" max="30" width="3.25" style="27" hidden="1" customWidth="1"/>
    <col min="31" max="31" width="3.25" style="36" customWidth="1"/>
    <col min="32" max="32" width="2.875" style="37" customWidth="1"/>
    <col min="33" max="16384" width="3.25" style="27"/>
  </cols>
  <sheetData>
    <row r="1" spans="1:29" ht="18" customHeight="1">
      <c r="A1" s="251" t="s">
        <v>0</v>
      </c>
      <c r="B1" s="251"/>
      <c r="C1" s="251"/>
      <c r="D1" s="251"/>
      <c r="E1" s="251"/>
      <c r="F1" s="251"/>
      <c r="G1" s="251"/>
      <c r="H1" s="251" t="s">
        <v>804</v>
      </c>
      <c r="I1" s="251"/>
      <c r="J1" s="251"/>
      <c r="K1" s="251"/>
      <c r="L1" s="251"/>
      <c r="M1" s="251"/>
      <c r="N1" s="251"/>
      <c r="O1" s="251"/>
      <c r="P1" s="251"/>
      <c r="Q1" s="251"/>
      <c r="R1" s="251"/>
      <c r="S1" s="251"/>
      <c r="T1" s="251"/>
      <c r="U1" s="251"/>
      <c r="V1" s="251"/>
      <c r="W1" s="251"/>
      <c r="X1" s="251"/>
      <c r="Y1" s="251"/>
      <c r="Z1" s="251"/>
      <c r="AA1" s="251"/>
      <c r="AB1" s="251"/>
    </row>
    <row r="2" spans="1:29" ht="18" customHeight="1">
      <c r="A2" s="251"/>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row>
    <row r="3" spans="1:29" ht="18" customHeight="1">
      <c r="A3" s="252" t="s">
        <v>1</v>
      </c>
      <c r="B3" s="252"/>
      <c r="C3" s="252"/>
      <c r="D3" s="252"/>
      <c r="E3" s="252"/>
      <c r="F3" s="252"/>
      <c r="G3" s="252"/>
      <c r="H3" s="252" t="s">
        <v>128</v>
      </c>
      <c r="I3" s="252"/>
      <c r="J3" s="252"/>
      <c r="K3" s="252"/>
      <c r="L3" s="252"/>
      <c r="M3" s="252"/>
      <c r="N3" s="252"/>
      <c r="O3" s="252"/>
      <c r="P3" s="252"/>
      <c r="Q3" s="252"/>
      <c r="R3" s="252"/>
      <c r="S3" s="252"/>
      <c r="T3" s="252"/>
      <c r="U3" s="252"/>
      <c r="V3" s="252"/>
      <c r="W3" s="252"/>
      <c r="X3" s="252"/>
      <c r="Y3" s="252"/>
      <c r="Z3" s="252"/>
      <c r="AA3" s="252"/>
      <c r="AB3" s="252"/>
    </row>
    <row r="4" spans="1:29" ht="18" customHeight="1">
      <c r="A4" s="252"/>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row>
    <row r="5" spans="1:29" ht="18" customHeight="1">
      <c r="A5" s="358" t="s">
        <v>2</v>
      </c>
      <c r="B5" s="358"/>
      <c r="C5" s="358"/>
      <c r="D5" s="358" t="s">
        <v>73</v>
      </c>
      <c r="E5" s="358"/>
      <c r="F5" s="358"/>
      <c r="G5" s="358"/>
      <c r="H5" s="358" t="s">
        <v>3</v>
      </c>
      <c r="I5" s="358"/>
      <c r="J5" s="358"/>
      <c r="K5" s="359">
        <v>45749</v>
      </c>
      <c r="L5" s="358"/>
      <c r="M5" s="358"/>
      <c r="N5" s="358"/>
      <c r="O5" s="358" t="s">
        <v>4</v>
      </c>
      <c r="P5" s="358"/>
      <c r="Q5" s="358"/>
      <c r="R5" s="358" t="s">
        <v>933</v>
      </c>
      <c r="S5" s="358"/>
      <c r="T5" s="358"/>
      <c r="U5" s="358"/>
      <c r="V5" s="358" t="s">
        <v>5</v>
      </c>
      <c r="W5" s="358"/>
      <c r="X5" s="358"/>
      <c r="Y5" s="360">
        <v>45955</v>
      </c>
      <c r="Z5" s="360"/>
      <c r="AA5" s="358"/>
      <c r="AB5" s="358"/>
      <c r="AC5" s="117"/>
    </row>
    <row r="6" spans="1:29" ht="18" customHeight="1">
      <c r="A6" s="98"/>
      <c r="B6" s="95"/>
      <c r="C6" s="95"/>
      <c r="D6" s="95"/>
      <c r="E6" s="95"/>
      <c r="F6" s="95"/>
      <c r="G6" s="95"/>
      <c r="H6" s="95"/>
      <c r="I6" s="95"/>
      <c r="J6" s="95"/>
      <c r="K6" s="95"/>
      <c r="L6" s="95"/>
      <c r="M6" s="95"/>
      <c r="N6" s="95"/>
      <c r="O6" s="95"/>
      <c r="P6" s="95"/>
      <c r="Q6" s="95"/>
      <c r="R6" s="95"/>
      <c r="S6" s="95"/>
      <c r="T6" s="95"/>
      <c r="U6" s="95"/>
      <c r="V6" s="95"/>
      <c r="W6" s="95"/>
      <c r="X6" s="95"/>
      <c r="Y6" s="95"/>
      <c r="Z6" s="95"/>
      <c r="AA6" s="95"/>
      <c r="AB6" s="99"/>
    </row>
    <row r="7" spans="1:29" ht="18" customHeight="1">
      <c r="A7" s="98"/>
      <c r="B7" s="95" t="s">
        <v>942</v>
      </c>
      <c r="C7" s="95"/>
      <c r="D7" s="95"/>
      <c r="E7" s="95"/>
      <c r="F7" s="95"/>
      <c r="G7" s="95"/>
      <c r="H7" s="95"/>
      <c r="I7" s="95"/>
      <c r="J7" s="95"/>
      <c r="K7" s="95"/>
      <c r="L7" s="95"/>
      <c r="M7" s="95"/>
      <c r="N7" s="95"/>
      <c r="O7" s="95"/>
      <c r="P7" s="95"/>
      <c r="Q7" s="95"/>
      <c r="R7" s="95"/>
      <c r="S7" s="95"/>
      <c r="T7" s="95"/>
      <c r="U7" s="95"/>
      <c r="V7" s="95"/>
      <c r="W7" s="95"/>
      <c r="X7" s="95"/>
      <c r="Y7" s="95"/>
      <c r="Z7" s="95"/>
      <c r="AA7" s="95"/>
      <c r="AB7" s="99"/>
    </row>
    <row r="8" spans="1:29" ht="18" customHeight="1">
      <c r="A8" s="26"/>
      <c r="B8" s="69" t="s">
        <v>7</v>
      </c>
      <c r="C8" s="304" t="s">
        <v>8</v>
      </c>
      <c r="D8" s="304"/>
      <c r="E8" s="304"/>
      <c r="F8" s="304"/>
      <c r="G8" s="304"/>
      <c r="H8" s="304"/>
      <c r="I8" s="304"/>
      <c r="J8" s="304"/>
      <c r="K8" s="304"/>
      <c r="L8" s="304" t="s">
        <v>257</v>
      </c>
      <c r="M8" s="304"/>
      <c r="N8" s="387" t="s">
        <v>13</v>
      </c>
      <c r="O8" s="388"/>
      <c r="P8" s="388"/>
      <c r="Q8" s="388"/>
      <c r="R8" s="388"/>
      <c r="S8" s="388"/>
      <c r="T8" s="388"/>
      <c r="U8" s="388"/>
      <c r="V8" s="388"/>
      <c r="W8" s="388"/>
      <c r="X8" s="388"/>
      <c r="Y8" s="388"/>
      <c r="Z8" s="388"/>
      <c r="AA8" s="389"/>
      <c r="AB8" s="28"/>
    </row>
    <row r="9" spans="1:29" ht="18" customHeight="1">
      <c r="A9" s="98"/>
      <c r="B9" s="94">
        <v>1</v>
      </c>
      <c r="C9" s="100" t="s">
        <v>166</v>
      </c>
      <c r="D9" s="29"/>
      <c r="E9" s="29"/>
      <c r="F9" s="29"/>
      <c r="G9" s="29"/>
      <c r="H9" s="29"/>
      <c r="I9" s="29"/>
      <c r="J9" s="29"/>
      <c r="K9" s="30"/>
      <c r="L9" s="278"/>
      <c r="M9" s="305"/>
      <c r="N9" s="100" t="s">
        <v>273</v>
      </c>
      <c r="O9" s="29"/>
      <c r="P9" s="29"/>
      <c r="Q9" s="29"/>
      <c r="R9" s="29"/>
      <c r="S9" s="29"/>
      <c r="T9" s="29"/>
      <c r="U9" s="29"/>
      <c r="V9" s="29"/>
      <c r="W9" s="29"/>
      <c r="X9" s="29"/>
      <c r="Y9" s="29"/>
      <c r="Z9" s="29"/>
      <c r="AA9" s="30"/>
      <c r="AB9" s="99"/>
    </row>
    <row r="10" spans="1:29" ht="18" customHeight="1">
      <c r="A10" s="98"/>
      <c r="B10" s="94">
        <f>COUNTA($B$8:B9)</f>
        <v>2</v>
      </c>
      <c r="C10" s="100" t="s">
        <v>155</v>
      </c>
      <c r="D10" s="29"/>
      <c r="E10" s="29"/>
      <c r="F10" s="29"/>
      <c r="G10" s="29"/>
      <c r="H10" s="29"/>
      <c r="I10" s="29"/>
      <c r="J10" s="29"/>
      <c r="K10" s="30"/>
      <c r="L10" s="278"/>
      <c r="M10" s="278"/>
      <c r="N10" s="100" t="s">
        <v>273</v>
      </c>
      <c r="O10" s="29"/>
      <c r="P10" s="29"/>
      <c r="Q10" s="29"/>
      <c r="R10" s="29"/>
      <c r="S10" s="29"/>
      <c r="T10" s="29"/>
      <c r="U10" s="29"/>
      <c r="V10" s="29"/>
      <c r="W10" s="29"/>
      <c r="X10" s="29"/>
      <c r="Y10" s="29"/>
      <c r="Z10" s="29"/>
      <c r="AA10" s="30"/>
      <c r="AB10" s="99"/>
    </row>
    <row r="11" spans="1:29" ht="18" customHeight="1">
      <c r="A11" s="98"/>
      <c r="B11" s="94">
        <f>COUNTA($B$8:B10)</f>
        <v>3</v>
      </c>
      <c r="C11" s="100" t="s">
        <v>156</v>
      </c>
      <c r="D11" s="29"/>
      <c r="E11" s="29"/>
      <c r="F11" s="29"/>
      <c r="G11" s="29"/>
      <c r="H11" s="29"/>
      <c r="I11" s="29"/>
      <c r="J11" s="29"/>
      <c r="K11" s="30"/>
      <c r="L11" s="278"/>
      <c r="M11" s="278"/>
      <c r="N11" s="100" t="s">
        <v>273</v>
      </c>
      <c r="O11" s="29"/>
      <c r="P11" s="29"/>
      <c r="Q11" s="29"/>
      <c r="R11" s="29"/>
      <c r="S11" s="29"/>
      <c r="T11" s="29"/>
      <c r="U11" s="29"/>
      <c r="V11" s="29"/>
      <c r="W11" s="29"/>
      <c r="X11" s="29"/>
      <c r="Y11" s="29"/>
      <c r="Z11" s="29"/>
      <c r="AA11" s="30"/>
      <c r="AB11" s="99"/>
    </row>
    <row r="12" spans="1:29" ht="18" customHeight="1">
      <c r="A12" s="98"/>
      <c r="B12" s="94">
        <f>COUNTA($B$8:B11)</f>
        <v>4</v>
      </c>
      <c r="C12" s="100" t="s">
        <v>157</v>
      </c>
      <c r="D12" s="29"/>
      <c r="E12" s="29"/>
      <c r="F12" s="29"/>
      <c r="G12" s="29"/>
      <c r="H12" s="29"/>
      <c r="I12" s="29"/>
      <c r="J12" s="29"/>
      <c r="K12" s="30"/>
      <c r="L12" s="278" t="s">
        <v>44</v>
      </c>
      <c r="M12" s="278"/>
      <c r="N12" s="100" t="s">
        <v>273</v>
      </c>
      <c r="O12" s="29"/>
      <c r="P12" s="29"/>
      <c r="Q12" s="29"/>
      <c r="R12" s="29"/>
      <c r="S12" s="29"/>
      <c r="T12" s="29"/>
      <c r="U12" s="29"/>
      <c r="V12" s="29"/>
      <c r="W12" s="29"/>
      <c r="X12" s="29"/>
      <c r="Y12" s="29"/>
      <c r="Z12" s="29"/>
      <c r="AA12" s="30"/>
      <c r="AB12" s="99"/>
    </row>
    <row r="13" spans="1:29" ht="18" customHeight="1">
      <c r="A13" s="98"/>
      <c r="B13" s="94">
        <f>COUNTA($B$8:B12)</f>
        <v>5</v>
      </c>
      <c r="C13" s="100" t="s">
        <v>158</v>
      </c>
      <c r="D13" s="29"/>
      <c r="E13" s="29"/>
      <c r="F13" s="29"/>
      <c r="G13" s="29"/>
      <c r="H13" s="29"/>
      <c r="I13" s="29"/>
      <c r="J13" s="29"/>
      <c r="K13" s="30"/>
      <c r="L13" s="278"/>
      <c r="M13" s="278"/>
      <c r="N13" s="100" t="s">
        <v>273</v>
      </c>
      <c r="O13" s="29"/>
      <c r="P13" s="29"/>
      <c r="Q13" s="29"/>
      <c r="R13" s="29"/>
      <c r="S13" s="29"/>
      <c r="T13" s="29"/>
      <c r="U13" s="29"/>
      <c r="V13" s="29"/>
      <c r="W13" s="29"/>
      <c r="X13" s="29"/>
      <c r="Y13" s="29"/>
      <c r="Z13" s="29"/>
      <c r="AA13" s="30"/>
      <c r="AB13" s="99"/>
    </row>
    <row r="14" spans="1:29" ht="18" customHeight="1">
      <c r="A14" s="98"/>
      <c r="B14" s="94">
        <f>COUNTA($B$8:B13)</f>
        <v>6</v>
      </c>
      <c r="C14" s="115" t="s">
        <v>833</v>
      </c>
      <c r="D14" s="114"/>
      <c r="E14" s="114"/>
      <c r="F14" s="114"/>
      <c r="G14" s="114"/>
      <c r="H14" s="114"/>
      <c r="I14" s="114"/>
      <c r="J14" s="114"/>
      <c r="K14" s="116"/>
      <c r="L14" s="336"/>
      <c r="M14" s="336"/>
      <c r="N14" s="115" t="s">
        <v>273</v>
      </c>
      <c r="O14" s="114"/>
      <c r="P14" s="114"/>
      <c r="Q14" s="114"/>
      <c r="R14" s="114"/>
      <c r="S14" s="114"/>
      <c r="T14" s="114"/>
      <c r="U14" s="114"/>
      <c r="V14" s="114"/>
      <c r="W14" s="114"/>
      <c r="X14" s="114"/>
      <c r="Y14" s="114"/>
      <c r="Z14" s="114"/>
      <c r="AA14" s="116"/>
      <c r="AB14" s="28"/>
      <c r="AC14" s="111" t="s">
        <v>834</v>
      </c>
    </row>
    <row r="15" spans="1:29" ht="18" customHeight="1">
      <c r="A15" s="98"/>
      <c r="B15" s="94">
        <f>COUNTA($B$8:B14)</f>
        <v>7</v>
      </c>
      <c r="C15" s="71" t="s">
        <v>752</v>
      </c>
      <c r="D15" s="72"/>
      <c r="E15" s="72"/>
      <c r="F15" s="72"/>
      <c r="G15" s="72"/>
      <c r="H15" s="72"/>
      <c r="I15" s="72"/>
      <c r="J15" s="72"/>
      <c r="K15" s="73"/>
      <c r="L15" s="335"/>
      <c r="M15" s="335"/>
      <c r="N15" s="71" t="s">
        <v>273</v>
      </c>
      <c r="O15" s="72"/>
      <c r="P15" s="72"/>
      <c r="Q15" s="72"/>
      <c r="R15" s="72"/>
      <c r="S15" s="72"/>
      <c r="T15" s="72"/>
      <c r="U15" s="72"/>
      <c r="V15" s="72"/>
      <c r="W15" s="72"/>
      <c r="X15" s="72"/>
      <c r="Y15" s="72"/>
      <c r="Z15" s="72"/>
      <c r="AA15" s="73"/>
      <c r="AB15" s="28"/>
      <c r="AC15" s="70" t="s">
        <v>750</v>
      </c>
    </row>
    <row r="16" spans="1:29" ht="18" customHeight="1">
      <c r="A16" s="98"/>
      <c r="B16" s="94">
        <f>COUNTA($B$8:B15)</f>
        <v>8</v>
      </c>
      <c r="C16" s="100" t="s">
        <v>748</v>
      </c>
      <c r="D16" s="29"/>
      <c r="E16" s="29"/>
      <c r="F16" s="29"/>
      <c r="G16" s="29"/>
      <c r="H16" s="29"/>
      <c r="I16" s="29"/>
      <c r="J16" s="29"/>
      <c r="K16" s="30"/>
      <c r="L16" s="278"/>
      <c r="M16" s="278"/>
      <c r="N16" s="100" t="s">
        <v>273</v>
      </c>
      <c r="O16" s="29"/>
      <c r="P16" s="29"/>
      <c r="Q16" s="29"/>
      <c r="R16" s="29"/>
      <c r="S16" s="29"/>
      <c r="T16" s="29"/>
      <c r="U16" s="29"/>
      <c r="V16" s="29"/>
      <c r="W16" s="29"/>
      <c r="X16" s="29"/>
      <c r="Y16" s="29"/>
      <c r="Z16" s="29"/>
      <c r="AA16" s="30"/>
      <c r="AB16" s="99"/>
    </row>
    <row r="17" spans="1:29" ht="18" customHeight="1">
      <c r="A17" s="98"/>
      <c r="B17" s="94">
        <f>COUNTA($B$8:B16)</f>
        <v>9</v>
      </c>
      <c r="C17" s="100" t="s">
        <v>135</v>
      </c>
      <c r="D17" s="29"/>
      <c r="E17" s="29"/>
      <c r="F17" s="29"/>
      <c r="G17" s="29"/>
      <c r="H17" s="29"/>
      <c r="I17" s="29"/>
      <c r="J17" s="29"/>
      <c r="K17" s="30"/>
      <c r="L17" s="278"/>
      <c r="M17" s="278"/>
      <c r="N17" s="100" t="s">
        <v>273</v>
      </c>
      <c r="O17" s="29"/>
      <c r="P17" s="29"/>
      <c r="Q17" s="29"/>
      <c r="R17" s="29"/>
      <c r="S17" s="29"/>
      <c r="T17" s="29"/>
      <c r="U17" s="29"/>
      <c r="V17" s="29"/>
      <c r="W17" s="29"/>
      <c r="X17" s="29"/>
      <c r="Y17" s="29"/>
      <c r="Z17" s="29"/>
      <c r="AA17" s="30"/>
      <c r="AB17" s="99"/>
    </row>
    <row r="18" spans="1:29" ht="18" customHeight="1">
      <c r="A18" s="98"/>
      <c r="B18" s="94">
        <f>COUNTA($B$8:B17)</f>
        <v>10</v>
      </c>
      <c r="C18" s="100" t="s">
        <v>159</v>
      </c>
      <c r="D18" s="29"/>
      <c r="E18" s="29"/>
      <c r="F18" s="29"/>
      <c r="G18" s="29"/>
      <c r="H18" s="29"/>
      <c r="I18" s="29"/>
      <c r="J18" s="29"/>
      <c r="K18" s="30"/>
      <c r="L18" s="278"/>
      <c r="M18" s="278"/>
      <c r="N18" s="100" t="s">
        <v>273</v>
      </c>
      <c r="O18" s="29"/>
      <c r="P18" s="29"/>
      <c r="Q18" s="29"/>
      <c r="R18" s="29"/>
      <c r="S18" s="29"/>
      <c r="T18" s="29"/>
      <c r="U18" s="29"/>
      <c r="V18" s="29"/>
      <c r="W18" s="29"/>
      <c r="X18" s="29"/>
      <c r="Y18" s="29"/>
      <c r="Z18" s="29"/>
      <c r="AA18" s="30"/>
      <c r="AB18" s="99"/>
    </row>
    <row r="19" spans="1:29" s="36" customFormat="1" ht="18" customHeight="1">
      <c r="A19" s="177"/>
      <c r="B19" s="178">
        <f>COUNTA($B$8:B18)</f>
        <v>11</v>
      </c>
      <c r="C19" s="145" t="s">
        <v>1048</v>
      </c>
      <c r="D19" s="133"/>
      <c r="E19" s="133"/>
      <c r="F19" s="133"/>
      <c r="G19" s="133"/>
      <c r="H19" s="133"/>
      <c r="I19" s="133"/>
      <c r="J19" s="133"/>
      <c r="K19" s="179"/>
      <c r="L19" s="316"/>
      <c r="M19" s="316"/>
      <c r="N19" s="145" t="s">
        <v>273</v>
      </c>
      <c r="O19" s="133"/>
      <c r="P19" s="133"/>
      <c r="Q19" s="133"/>
      <c r="R19" s="133"/>
      <c r="S19" s="133"/>
      <c r="T19" s="133"/>
      <c r="U19" s="133"/>
      <c r="V19" s="133"/>
      <c r="W19" s="133"/>
      <c r="X19" s="133"/>
      <c r="Y19" s="133"/>
      <c r="Z19" s="133"/>
      <c r="AA19" s="179"/>
      <c r="AB19" s="180"/>
      <c r="AC19" s="36" t="s">
        <v>1052</v>
      </c>
    </row>
    <row r="20" spans="1:29" ht="18" customHeight="1">
      <c r="A20" s="98"/>
      <c r="B20" s="94">
        <f>COUNTA($B$8:B19)</f>
        <v>12</v>
      </c>
      <c r="C20" s="100" t="s">
        <v>60</v>
      </c>
      <c r="D20" s="29"/>
      <c r="E20" s="29"/>
      <c r="F20" s="29"/>
      <c r="G20" s="29"/>
      <c r="H20" s="29"/>
      <c r="I20" s="29"/>
      <c r="J20" s="29"/>
      <c r="K20" s="30"/>
      <c r="L20" s="278"/>
      <c r="M20" s="278"/>
      <c r="N20" s="100" t="s">
        <v>273</v>
      </c>
      <c r="O20" s="29"/>
      <c r="P20" s="29"/>
      <c r="Q20" s="29"/>
      <c r="R20" s="29"/>
      <c r="S20" s="29"/>
      <c r="T20" s="29"/>
      <c r="U20" s="29"/>
      <c r="V20" s="29"/>
      <c r="W20" s="29"/>
      <c r="X20" s="29"/>
      <c r="Y20" s="29"/>
      <c r="Z20" s="29"/>
      <c r="AA20" s="30"/>
      <c r="AB20" s="99"/>
    </row>
    <row r="21" spans="1:29" ht="18" customHeight="1">
      <c r="A21" s="98"/>
      <c r="B21" s="94">
        <f>COUNTA($B$8:B20)</f>
        <v>13</v>
      </c>
      <c r="C21" s="100" t="s">
        <v>160</v>
      </c>
      <c r="D21" s="29"/>
      <c r="E21" s="29"/>
      <c r="F21" s="29"/>
      <c r="G21" s="29"/>
      <c r="H21" s="29"/>
      <c r="I21" s="29"/>
      <c r="J21" s="29"/>
      <c r="K21" s="30"/>
      <c r="L21" s="278"/>
      <c r="M21" s="278"/>
      <c r="N21" s="100" t="s">
        <v>273</v>
      </c>
      <c r="O21" s="29"/>
      <c r="P21" s="29"/>
      <c r="Q21" s="29"/>
      <c r="R21" s="29"/>
      <c r="S21" s="29"/>
      <c r="T21" s="29"/>
      <c r="U21" s="29"/>
      <c r="V21" s="29"/>
      <c r="W21" s="29"/>
      <c r="X21" s="29"/>
      <c r="Y21" s="29"/>
      <c r="Z21" s="29"/>
      <c r="AA21" s="30"/>
      <c r="AB21" s="99"/>
    </row>
    <row r="22" spans="1:29" ht="18" customHeight="1">
      <c r="A22" s="98"/>
      <c r="B22" s="94">
        <f>COUNTA($B$8:B21)</f>
        <v>14</v>
      </c>
      <c r="C22" s="100" t="s">
        <v>246</v>
      </c>
      <c r="D22" s="29"/>
      <c r="E22" s="29"/>
      <c r="F22" s="29"/>
      <c r="G22" s="29"/>
      <c r="H22" s="29"/>
      <c r="I22" s="29"/>
      <c r="J22" s="29"/>
      <c r="K22" s="30"/>
      <c r="L22" s="278"/>
      <c r="M22" s="278"/>
      <c r="N22" s="100" t="s">
        <v>273</v>
      </c>
      <c r="O22" s="29"/>
      <c r="P22" s="29"/>
      <c r="Q22" s="29"/>
      <c r="R22" s="29"/>
      <c r="S22" s="29"/>
      <c r="T22" s="29"/>
      <c r="U22" s="29"/>
      <c r="V22" s="29"/>
      <c r="W22" s="29"/>
      <c r="X22" s="29"/>
      <c r="Y22" s="29"/>
      <c r="Z22" s="29"/>
      <c r="AA22" s="30"/>
      <c r="AB22" s="99"/>
    </row>
    <row r="23" spans="1:29" ht="18" customHeight="1">
      <c r="A23" s="98"/>
      <c r="B23" s="94">
        <f>COUNTA($B$8:B22)</f>
        <v>15</v>
      </c>
      <c r="C23" s="100" t="s">
        <v>247</v>
      </c>
      <c r="D23" s="29"/>
      <c r="E23" s="29"/>
      <c r="F23" s="29"/>
      <c r="G23" s="29"/>
      <c r="H23" s="29"/>
      <c r="I23" s="29"/>
      <c r="J23" s="29"/>
      <c r="K23" s="30"/>
      <c r="L23" s="278"/>
      <c r="M23" s="278"/>
      <c r="N23" s="100" t="s">
        <v>273</v>
      </c>
      <c r="O23" s="29"/>
      <c r="P23" s="29"/>
      <c r="Q23" s="29"/>
      <c r="R23" s="29"/>
      <c r="S23" s="29"/>
      <c r="T23" s="29"/>
      <c r="U23" s="29"/>
      <c r="V23" s="29"/>
      <c r="W23" s="29"/>
      <c r="X23" s="29"/>
      <c r="Y23" s="29"/>
      <c r="Z23" s="29"/>
      <c r="AA23" s="30"/>
      <c r="AB23" s="99"/>
    </row>
    <row r="24" spans="1:29" ht="18" customHeight="1">
      <c r="A24" s="98"/>
      <c r="B24" s="94">
        <f>COUNTA($B$8:B23)</f>
        <v>16</v>
      </c>
      <c r="C24" s="100" t="s">
        <v>248</v>
      </c>
      <c r="D24" s="29"/>
      <c r="E24" s="29"/>
      <c r="F24" s="29"/>
      <c r="G24" s="29"/>
      <c r="H24" s="29"/>
      <c r="I24" s="29"/>
      <c r="J24" s="29"/>
      <c r="K24" s="30"/>
      <c r="L24" s="278"/>
      <c r="M24" s="278"/>
      <c r="N24" s="100" t="s">
        <v>273</v>
      </c>
      <c r="O24" s="29"/>
      <c r="P24" s="29"/>
      <c r="Q24" s="29"/>
      <c r="R24" s="29"/>
      <c r="S24" s="29"/>
      <c r="T24" s="29"/>
      <c r="U24" s="29"/>
      <c r="V24" s="29"/>
      <c r="W24" s="29"/>
      <c r="X24" s="29"/>
      <c r="Y24" s="29"/>
      <c r="Z24" s="29"/>
      <c r="AA24" s="30"/>
      <c r="AB24" s="99"/>
    </row>
    <row r="25" spans="1:29" ht="18" customHeight="1">
      <c r="A25" s="98"/>
      <c r="B25" s="94">
        <f>COUNTA($B$8:B24)</f>
        <v>17</v>
      </c>
      <c r="C25" s="100" t="s">
        <v>136</v>
      </c>
      <c r="D25" s="29"/>
      <c r="E25" s="29"/>
      <c r="F25" s="29"/>
      <c r="G25" s="29"/>
      <c r="H25" s="29"/>
      <c r="I25" s="29"/>
      <c r="J25" s="29"/>
      <c r="K25" s="30"/>
      <c r="L25" s="278" t="s">
        <v>44</v>
      </c>
      <c r="M25" s="278"/>
      <c r="N25" s="100" t="s">
        <v>273</v>
      </c>
      <c r="O25" s="29"/>
      <c r="P25" s="29"/>
      <c r="Q25" s="29"/>
      <c r="R25" s="29"/>
      <c r="S25" s="29"/>
      <c r="T25" s="29"/>
      <c r="U25" s="29"/>
      <c r="V25" s="29"/>
      <c r="W25" s="29"/>
      <c r="X25" s="29"/>
      <c r="Y25" s="29"/>
      <c r="Z25" s="29"/>
      <c r="AA25" s="30"/>
      <c r="AB25" s="99"/>
    </row>
    <row r="26" spans="1:29" ht="18" customHeight="1">
      <c r="A26" s="98"/>
      <c r="B26" s="94">
        <f>COUNTA($B$8:B25)</f>
        <v>18</v>
      </c>
      <c r="C26" s="100" t="s">
        <v>137</v>
      </c>
      <c r="D26" s="29"/>
      <c r="E26" s="29"/>
      <c r="F26" s="29"/>
      <c r="G26" s="29"/>
      <c r="H26" s="29"/>
      <c r="I26" s="29"/>
      <c r="J26" s="29"/>
      <c r="K26" s="30"/>
      <c r="L26" s="278" t="s">
        <v>44</v>
      </c>
      <c r="M26" s="278"/>
      <c r="N26" s="100" t="s">
        <v>273</v>
      </c>
      <c r="O26" s="29"/>
      <c r="P26" s="29"/>
      <c r="Q26" s="29"/>
      <c r="R26" s="29"/>
      <c r="S26" s="29"/>
      <c r="T26" s="29"/>
      <c r="U26" s="29"/>
      <c r="V26" s="29"/>
      <c r="W26" s="29"/>
      <c r="X26" s="29"/>
      <c r="Y26" s="29"/>
      <c r="Z26" s="29"/>
      <c r="AA26" s="30"/>
      <c r="AB26" s="99"/>
    </row>
    <row r="27" spans="1:29" ht="18" customHeight="1">
      <c r="A27" s="98"/>
      <c r="B27" s="94">
        <f>COUNTA($B$8:B26)</f>
        <v>19</v>
      </c>
      <c r="C27" s="100" t="s">
        <v>138</v>
      </c>
      <c r="D27" s="29"/>
      <c r="E27" s="29"/>
      <c r="F27" s="29"/>
      <c r="G27" s="29"/>
      <c r="H27" s="29"/>
      <c r="I27" s="29"/>
      <c r="J27" s="29"/>
      <c r="K27" s="30"/>
      <c r="L27" s="278" t="s">
        <v>44</v>
      </c>
      <c r="M27" s="278"/>
      <c r="N27" s="100" t="s">
        <v>273</v>
      </c>
      <c r="O27" s="29"/>
      <c r="P27" s="29"/>
      <c r="Q27" s="29"/>
      <c r="R27" s="29"/>
      <c r="S27" s="29"/>
      <c r="T27" s="29"/>
      <c r="U27" s="29"/>
      <c r="V27" s="29"/>
      <c r="W27" s="29"/>
      <c r="X27" s="29"/>
      <c r="Y27" s="29"/>
      <c r="Z27" s="29"/>
      <c r="AA27" s="30"/>
      <c r="AB27" s="99"/>
    </row>
    <row r="28" spans="1:29" ht="18" customHeight="1">
      <c r="A28" s="98"/>
      <c r="B28" s="94">
        <f>COUNTA($B$8:B27)</f>
        <v>20</v>
      </c>
      <c r="C28" s="100" t="s">
        <v>139</v>
      </c>
      <c r="D28" s="29"/>
      <c r="E28" s="29"/>
      <c r="F28" s="29"/>
      <c r="G28" s="29"/>
      <c r="H28" s="29"/>
      <c r="I28" s="29"/>
      <c r="J28" s="29"/>
      <c r="K28" s="30"/>
      <c r="L28" s="278" t="s">
        <v>44</v>
      </c>
      <c r="M28" s="278"/>
      <c r="N28" s="100" t="s">
        <v>273</v>
      </c>
      <c r="O28" s="29"/>
      <c r="P28" s="29"/>
      <c r="Q28" s="29"/>
      <c r="R28" s="29"/>
      <c r="S28" s="29"/>
      <c r="T28" s="29"/>
      <c r="U28" s="29"/>
      <c r="V28" s="29"/>
      <c r="W28" s="29"/>
      <c r="X28" s="29"/>
      <c r="Y28" s="29"/>
      <c r="Z28" s="29"/>
      <c r="AA28" s="30"/>
      <c r="AB28" s="99"/>
    </row>
    <row r="29" spans="1:29" ht="18" customHeight="1">
      <c r="A29" s="98"/>
      <c r="B29" s="94">
        <f>COUNTA($B$8:B28)</f>
        <v>21</v>
      </c>
      <c r="C29" s="100" t="s">
        <v>64</v>
      </c>
      <c r="D29" s="29"/>
      <c r="E29" s="29"/>
      <c r="F29" s="29"/>
      <c r="G29" s="29"/>
      <c r="H29" s="29"/>
      <c r="I29" s="29"/>
      <c r="J29" s="29"/>
      <c r="K29" s="30"/>
      <c r="L29" s="278"/>
      <c r="M29" s="278"/>
      <c r="N29" s="100" t="s">
        <v>273</v>
      </c>
      <c r="O29" s="29"/>
      <c r="P29" s="29"/>
      <c r="Q29" s="29"/>
      <c r="R29" s="29"/>
      <c r="S29" s="29"/>
      <c r="T29" s="29"/>
      <c r="U29" s="29"/>
      <c r="V29" s="29"/>
      <c r="W29" s="29"/>
      <c r="X29" s="29"/>
      <c r="Y29" s="29"/>
      <c r="Z29" s="29"/>
      <c r="AA29" s="30"/>
      <c r="AB29" s="99"/>
    </row>
    <row r="30" spans="1:29" ht="18" customHeight="1">
      <c r="A30" s="98"/>
      <c r="B30" s="94">
        <f>COUNTA($B$8:B29)</f>
        <v>22</v>
      </c>
      <c r="C30" s="100" t="s">
        <v>65</v>
      </c>
      <c r="D30" s="29"/>
      <c r="E30" s="29"/>
      <c r="F30" s="29"/>
      <c r="G30" s="29"/>
      <c r="H30" s="29"/>
      <c r="I30" s="29"/>
      <c r="J30" s="29"/>
      <c r="K30" s="30"/>
      <c r="L30" s="278"/>
      <c r="M30" s="278"/>
      <c r="N30" s="100" t="s">
        <v>273</v>
      </c>
      <c r="O30" s="29"/>
      <c r="P30" s="29"/>
      <c r="Q30" s="29"/>
      <c r="R30" s="29"/>
      <c r="S30" s="29"/>
      <c r="T30" s="29"/>
      <c r="U30" s="29"/>
      <c r="V30" s="29"/>
      <c r="W30" s="29"/>
      <c r="X30" s="29"/>
      <c r="Y30" s="29"/>
      <c r="Z30" s="29"/>
      <c r="AA30" s="30"/>
      <c r="AB30" s="99"/>
    </row>
    <row r="31" spans="1:29" ht="18" customHeight="1">
      <c r="A31" s="98"/>
      <c r="B31" s="94">
        <f>COUNTA($B$8:B30)</f>
        <v>23</v>
      </c>
      <c r="C31" s="100" t="s">
        <v>161</v>
      </c>
      <c r="D31" s="29"/>
      <c r="E31" s="29"/>
      <c r="F31" s="29"/>
      <c r="G31" s="29"/>
      <c r="H31" s="29"/>
      <c r="I31" s="29"/>
      <c r="J31" s="29"/>
      <c r="K31" s="30"/>
      <c r="L31" s="278"/>
      <c r="M31" s="278"/>
      <c r="N31" s="100" t="s">
        <v>273</v>
      </c>
      <c r="O31" s="29"/>
      <c r="P31" s="29"/>
      <c r="Q31" s="29"/>
      <c r="R31" s="29"/>
      <c r="S31" s="29"/>
      <c r="T31" s="29"/>
      <c r="U31" s="29"/>
      <c r="V31" s="29"/>
      <c r="W31" s="29"/>
      <c r="X31" s="29"/>
      <c r="Y31" s="29"/>
      <c r="Z31" s="29"/>
      <c r="AA31" s="30"/>
      <c r="AB31" s="99"/>
    </row>
    <row r="32" spans="1:29" ht="18" customHeight="1">
      <c r="A32" s="98"/>
      <c r="B32" s="94">
        <f>COUNTA($B$8:B31)</f>
        <v>24</v>
      </c>
      <c r="C32" s="100" t="s">
        <v>162</v>
      </c>
      <c r="D32" s="29"/>
      <c r="E32" s="29"/>
      <c r="F32" s="29"/>
      <c r="G32" s="29"/>
      <c r="H32" s="29"/>
      <c r="I32" s="29"/>
      <c r="J32" s="29"/>
      <c r="K32" s="30"/>
      <c r="L32" s="278"/>
      <c r="M32" s="278"/>
      <c r="N32" s="100" t="s">
        <v>273</v>
      </c>
      <c r="O32" s="29"/>
      <c r="P32" s="29"/>
      <c r="Q32" s="29"/>
      <c r="R32" s="29"/>
      <c r="S32" s="29"/>
      <c r="T32" s="29"/>
      <c r="U32" s="29"/>
      <c r="V32" s="29"/>
      <c r="W32" s="29"/>
      <c r="X32" s="29"/>
      <c r="Y32" s="29"/>
      <c r="Z32" s="29"/>
      <c r="AA32" s="30"/>
      <c r="AB32" s="99"/>
    </row>
    <row r="33" spans="1:28" ht="18" customHeight="1">
      <c r="A33" s="98"/>
      <c r="B33" s="94">
        <f>COUNTA($B$8:B32)</f>
        <v>25</v>
      </c>
      <c r="C33" s="100" t="s">
        <v>140</v>
      </c>
      <c r="D33" s="29"/>
      <c r="E33" s="29"/>
      <c r="F33" s="29"/>
      <c r="G33" s="29"/>
      <c r="H33" s="29"/>
      <c r="I33" s="29"/>
      <c r="J33" s="29"/>
      <c r="K33" s="30"/>
      <c r="L33" s="278"/>
      <c r="M33" s="278"/>
      <c r="N33" s="100" t="s">
        <v>273</v>
      </c>
      <c r="O33" s="29"/>
      <c r="P33" s="29"/>
      <c r="Q33" s="29"/>
      <c r="R33" s="29"/>
      <c r="S33" s="29"/>
      <c r="T33" s="29"/>
      <c r="U33" s="29"/>
      <c r="V33" s="29"/>
      <c r="W33" s="29"/>
      <c r="X33" s="29"/>
      <c r="Y33" s="29"/>
      <c r="Z33" s="29"/>
      <c r="AA33" s="30"/>
      <c r="AB33" s="99"/>
    </row>
    <row r="34" spans="1:28" ht="18" customHeight="1">
      <c r="A34" s="98"/>
      <c r="B34" s="94">
        <f>COUNTA($B$8:B33)</f>
        <v>26</v>
      </c>
      <c r="C34" s="100" t="s">
        <v>249</v>
      </c>
      <c r="D34" s="29"/>
      <c r="E34" s="29"/>
      <c r="F34" s="29"/>
      <c r="G34" s="29"/>
      <c r="H34" s="29"/>
      <c r="I34" s="29"/>
      <c r="J34" s="29"/>
      <c r="K34" s="30"/>
      <c r="L34" s="278"/>
      <c r="M34" s="278"/>
      <c r="N34" s="100" t="s">
        <v>273</v>
      </c>
      <c r="O34" s="29"/>
      <c r="P34" s="29"/>
      <c r="Q34" s="29"/>
      <c r="R34" s="29"/>
      <c r="S34" s="29"/>
      <c r="T34" s="29"/>
      <c r="U34" s="29"/>
      <c r="V34" s="29"/>
      <c r="W34" s="29"/>
      <c r="X34" s="29"/>
      <c r="Y34" s="29"/>
      <c r="Z34" s="29"/>
      <c r="AA34" s="30"/>
      <c r="AB34" s="99"/>
    </row>
    <row r="35" spans="1:28" ht="18" customHeight="1">
      <c r="A35" s="98"/>
      <c r="B35" s="94">
        <f>COUNTA($B$8:B34)</f>
        <v>27</v>
      </c>
      <c r="C35" s="100" t="s">
        <v>141</v>
      </c>
      <c r="D35" s="29"/>
      <c r="E35" s="29"/>
      <c r="F35" s="29"/>
      <c r="G35" s="29"/>
      <c r="H35" s="29"/>
      <c r="I35" s="29"/>
      <c r="J35" s="29"/>
      <c r="K35" s="30"/>
      <c r="L35" s="278"/>
      <c r="M35" s="278"/>
      <c r="N35" s="100" t="s">
        <v>273</v>
      </c>
      <c r="O35" s="29"/>
      <c r="P35" s="29"/>
      <c r="Q35" s="29"/>
      <c r="R35" s="29"/>
      <c r="S35" s="29"/>
      <c r="T35" s="29"/>
      <c r="U35" s="29"/>
      <c r="V35" s="29"/>
      <c r="W35" s="29"/>
      <c r="X35" s="29"/>
      <c r="Y35" s="29"/>
      <c r="Z35" s="29"/>
      <c r="AA35" s="30"/>
      <c r="AB35" s="99"/>
    </row>
    <row r="36" spans="1:28" ht="18" customHeight="1">
      <c r="A36" s="98"/>
      <c r="B36" s="94">
        <f>COUNTA($B$8:B35)</f>
        <v>28</v>
      </c>
      <c r="C36" s="100" t="s">
        <v>173</v>
      </c>
      <c r="D36" s="29"/>
      <c r="E36" s="29"/>
      <c r="F36" s="29"/>
      <c r="G36" s="29"/>
      <c r="H36" s="29"/>
      <c r="I36" s="29"/>
      <c r="J36" s="29"/>
      <c r="K36" s="30"/>
      <c r="L36" s="278"/>
      <c r="M36" s="278"/>
      <c r="N36" s="100" t="s">
        <v>273</v>
      </c>
      <c r="O36" s="29"/>
      <c r="P36" s="29"/>
      <c r="Q36" s="29"/>
      <c r="R36" s="29"/>
      <c r="S36" s="29"/>
      <c r="T36" s="29"/>
      <c r="U36" s="29"/>
      <c r="V36" s="29"/>
      <c r="W36" s="29"/>
      <c r="X36" s="29"/>
      <c r="Y36" s="29"/>
      <c r="Z36" s="29"/>
      <c r="AA36" s="30"/>
      <c r="AB36" s="99"/>
    </row>
    <row r="37" spans="1:28" ht="18" customHeight="1">
      <c r="A37" s="98"/>
      <c r="B37" s="94">
        <f>COUNTA($B$8:B36)</f>
        <v>29</v>
      </c>
      <c r="C37" s="100" t="s">
        <v>142</v>
      </c>
      <c r="D37" s="29"/>
      <c r="E37" s="29"/>
      <c r="F37" s="29"/>
      <c r="G37" s="29"/>
      <c r="H37" s="29"/>
      <c r="I37" s="29"/>
      <c r="J37" s="29"/>
      <c r="K37" s="30"/>
      <c r="L37" s="278" t="s">
        <v>44</v>
      </c>
      <c r="M37" s="278"/>
      <c r="N37" s="100" t="s">
        <v>273</v>
      </c>
      <c r="O37" s="29"/>
      <c r="P37" s="29"/>
      <c r="Q37" s="29"/>
      <c r="R37" s="29"/>
      <c r="S37" s="29"/>
      <c r="T37" s="29"/>
      <c r="U37" s="29"/>
      <c r="V37" s="29"/>
      <c r="W37" s="29"/>
      <c r="X37" s="29"/>
      <c r="Y37" s="29"/>
      <c r="Z37" s="29"/>
      <c r="AA37" s="30"/>
      <c r="AB37" s="99"/>
    </row>
    <row r="38" spans="1:28" ht="18" customHeight="1">
      <c r="A38" s="98"/>
      <c r="B38" s="94">
        <f>COUNTA($B$8:B37)</f>
        <v>30</v>
      </c>
      <c r="C38" s="100" t="s">
        <v>163</v>
      </c>
      <c r="D38" s="29"/>
      <c r="E38" s="29"/>
      <c r="F38" s="29"/>
      <c r="G38" s="29"/>
      <c r="H38" s="29"/>
      <c r="I38" s="29"/>
      <c r="J38" s="29"/>
      <c r="K38" s="30"/>
      <c r="L38" s="278"/>
      <c r="M38" s="278"/>
      <c r="N38" s="100" t="s">
        <v>273</v>
      </c>
      <c r="O38" s="29"/>
      <c r="P38" s="29"/>
      <c r="Q38" s="29"/>
      <c r="R38" s="29"/>
      <c r="S38" s="29"/>
      <c r="T38" s="29"/>
      <c r="U38" s="29"/>
      <c r="V38" s="29"/>
      <c r="W38" s="29"/>
      <c r="X38" s="29"/>
      <c r="Y38" s="29"/>
      <c r="Z38" s="29"/>
      <c r="AA38" s="30"/>
      <c r="AB38" s="99"/>
    </row>
    <row r="39" spans="1:28" ht="18" customHeight="1">
      <c r="A39" s="98"/>
      <c r="B39" s="94">
        <f>COUNTA($B$8:B38)</f>
        <v>31</v>
      </c>
      <c r="C39" s="100" t="s">
        <v>143</v>
      </c>
      <c r="D39" s="29"/>
      <c r="E39" s="29"/>
      <c r="F39" s="29"/>
      <c r="G39" s="29"/>
      <c r="H39" s="29"/>
      <c r="I39" s="29"/>
      <c r="J39" s="29"/>
      <c r="K39" s="30"/>
      <c r="L39" s="278"/>
      <c r="M39" s="278"/>
      <c r="N39" s="100" t="s">
        <v>273</v>
      </c>
      <c r="O39" s="29"/>
      <c r="P39" s="29"/>
      <c r="Q39" s="29"/>
      <c r="R39" s="29"/>
      <c r="S39" s="29"/>
      <c r="T39" s="29"/>
      <c r="U39" s="29"/>
      <c r="V39" s="29"/>
      <c r="W39" s="29"/>
      <c r="X39" s="29"/>
      <c r="Y39" s="29"/>
      <c r="Z39" s="29"/>
      <c r="AA39" s="30"/>
      <c r="AB39" s="99"/>
    </row>
    <row r="40" spans="1:28" ht="18" customHeight="1">
      <c r="A40" s="98"/>
      <c r="B40" s="94">
        <f>COUNTA($B$8:B39)</f>
        <v>32</v>
      </c>
      <c r="C40" s="100" t="s">
        <v>61</v>
      </c>
      <c r="D40" s="29"/>
      <c r="E40" s="29"/>
      <c r="F40" s="29"/>
      <c r="G40" s="29"/>
      <c r="H40" s="29"/>
      <c r="I40" s="29"/>
      <c r="J40" s="29"/>
      <c r="K40" s="30"/>
      <c r="L40" s="278"/>
      <c r="M40" s="278"/>
      <c r="N40" s="100" t="s">
        <v>273</v>
      </c>
      <c r="O40" s="29"/>
      <c r="P40" s="29"/>
      <c r="Q40" s="29"/>
      <c r="R40" s="29"/>
      <c r="S40" s="29"/>
      <c r="T40" s="29"/>
      <c r="U40" s="29"/>
      <c r="V40" s="29"/>
      <c r="W40" s="29"/>
      <c r="X40" s="29"/>
      <c r="Y40" s="29"/>
      <c r="Z40" s="29"/>
      <c r="AA40" s="30"/>
      <c r="AB40" s="99"/>
    </row>
    <row r="41" spans="1:28" ht="18" customHeight="1">
      <c r="A41" s="98"/>
      <c r="B41" s="94">
        <f>COUNTA($B$8:B40)</f>
        <v>33</v>
      </c>
      <c r="C41" s="100" t="s">
        <v>62</v>
      </c>
      <c r="D41" s="29"/>
      <c r="E41" s="29"/>
      <c r="F41" s="29"/>
      <c r="G41" s="29"/>
      <c r="H41" s="29"/>
      <c r="I41" s="29"/>
      <c r="J41" s="29"/>
      <c r="K41" s="30"/>
      <c r="L41" s="278"/>
      <c r="M41" s="278"/>
      <c r="N41" s="100" t="s">
        <v>273</v>
      </c>
      <c r="O41" s="29"/>
      <c r="P41" s="29"/>
      <c r="Q41" s="29"/>
      <c r="R41" s="29"/>
      <c r="S41" s="29"/>
      <c r="T41" s="29"/>
      <c r="U41" s="29"/>
      <c r="V41" s="29"/>
      <c r="W41" s="29"/>
      <c r="X41" s="29"/>
      <c r="Y41" s="29"/>
      <c r="Z41" s="29"/>
      <c r="AA41" s="30"/>
      <c r="AB41" s="99"/>
    </row>
    <row r="42" spans="1:28" ht="18" customHeight="1">
      <c r="A42" s="98"/>
      <c r="B42" s="94">
        <f>COUNTA($B$8:B41)</f>
        <v>34</v>
      </c>
      <c r="C42" s="100" t="s">
        <v>144</v>
      </c>
      <c r="D42" s="29"/>
      <c r="E42" s="29"/>
      <c r="F42" s="29"/>
      <c r="G42" s="29"/>
      <c r="H42" s="29"/>
      <c r="I42" s="29"/>
      <c r="J42" s="29"/>
      <c r="K42" s="30"/>
      <c r="L42" s="278" t="s">
        <v>44</v>
      </c>
      <c r="M42" s="278"/>
      <c r="N42" s="100" t="s">
        <v>273</v>
      </c>
      <c r="O42" s="29"/>
      <c r="P42" s="29"/>
      <c r="Q42" s="29"/>
      <c r="R42" s="29"/>
      <c r="S42" s="29"/>
      <c r="T42" s="29"/>
      <c r="U42" s="29"/>
      <c r="V42" s="29"/>
      <c r="W42" s="29"/>
      <c r="X42" s="29"/>
      <c r="Y42" s="29"/>
      <c r="Z42" s="29"/>
      <c r="AA42" s="30"/>
      <c r="AB42" s="99"/>
    </row>
    <row r="43" spans="1:28" ht="18" customHeight="1">
      <c r="A43" s="98"/>
      <c r="B43" s="94">
        <f>COUNTA($B$8:B42)</f>
        <v>35</v>
      </c>
      <c r="C43" s="100" t="s">
        <v>145</v>
      </c>
      <c r="D43" s="29"/>
      <c r="E43" s="29"/>
      <c r="F43" s="29"/>
      <c r="G43" s="29"/>
      <c r="H43" s="29"/>
      <c r="I43" s="29"/>
      <c r="J43" s="29"/>
      <c r="K43" s="30"/>
      <c r="L43" s="278" t="s">
        <v>44</v>
      </c>
      <c r="M43" s="278"/>
      <c r="N43" s="100" t="s">
        <v>273</v>
      </c>
      <c r="O43" s="29"/>
      <c r="P43" s="29"/>
      <c r="Q43" s="29"/>
      <c r="R43" s="29"/>
      <c r="S43" s="29"/>
      <c r="T43" s="29"/>
      <c r="U43" s="29"/>
      <c r="V43" s="29"/>
      <c r="W43" s="29"/>
      <c r="X43" s="29"/>
      <c r="Y43" s="29"/>
      <c r="Z43" s="29"/>
      <c r="AA43" s="30"/>
      <c r="AB43" s="99"/>
    </row>
    <row r="44" spans="1:28" ht="18" customHeight="1">
      <c r="A44" s="98"/>
      <c r="B44" s="94">
        <f>COUNTA($B$8:B43)</f>
        <v>36</v>
      </c>
      <c r="C44" s="100" t="s">
        <v>146</v>
      </c>
      <c r="D44" s="29"/>
      <c r="E44" s="29"/>
      <c r="F44" s="29"/>
      <c r="G44" s="29"/>
      <c r="H44" s="29"/>
      <c r="I44" s="29"/>
      <c r="J44" s="29"/>
      <c r="K44" s="30"/>
      <c r="L44" s="278" t="s">
        <v>44</v>
      </c>
      <c r="M44" s="278"/>
      <c r="N44" s="100" t="s">
        <v>273</v>
      </c>
      <c r="O44" s="29"/>
      <c r="P44" s="29"/>
      <c r="Q44" s="29"/>
      <c r="R44" s="29"/>
      <c r="S44" s="29"/>
      <c r="T44" s="29"/>
      <c r="U44" s="29"/>
      <c r="V44" s="29"/>
      <c r="W44" s="29"/>
      <c r="X44" s="29"/>
      <c r="Y44" s="29"/>
      <c r="Z44" s="29"/>
      <c r="AA44" s="30"/>
      <c r="AB44" s="99"/>
    </row>
    <row r="45" spans="1:28" ht="18" customHeight="1">
      <c r="A45" s="98"/>
      <c r="B45" s="94">
        <f>COUNTA($B$8:B44)</f>
        <v>37</v>
      </c>
      <c r="C45" s="100" t="s">
        <v>147</v>
      </c>
      <c r="D45" s="29"/>
      <c r="E45" s="29"/>
      <c r="F45" s="29"/>
      <c r="G45" s="29"/>
      <c r="H45" s="29"/>
      <c r="I45" s="29"/>
      <c r="J45" s="29"/>
      <c r="K45" s="30"/>
      <c r="L45" s="278" t="s">
        <v>44</v>
      </c>
      <c r="M45" s="278"/>
      <c r="N45" s="100" t="s">
        <v>273</v>
      </c>
      <c r="O45" s="29"/>
      <c r="P45" s="29"/>
      <c r="Q45" s="29"/>
      <c r="R45" s="29"/>
      <c r="S45" s="29"/>
      <c r="T45" s="29"/>
      <c r="U45" s="29"/>
      <c r="V45" s="29"/>
      <c r="W45" s="29"/>
      <c r="X45" s="29"/>
      <c r="Y45" s="29"/>
      <c r="Z45" s="29"/>
      <c r="AA45" s="30"/>
      <c r="AB45" s="99"/>
    </row>
    <row r="46" spans="1:28" ht="18" customHeight="1">
      <c r="A46" s="98"/>
      <c r="B46" s="94">
        <f>COUNTA($B$8:B45)</f>
        <v>38</v>
      </c>
      <c r="C46" s="100" t="s">
        <v>148</v>
      </c>
      <c r="D46" s="29"/>
      <c r="E46" s="29"/>
      <c r="F46" s="29"/>
      <c r="G46" s="29"/>
      <c r="H46" s="29"/>
      <c r="I46" s="29"/>
      <c r="J46" s="29"/>
      <c r="K46" s="30"/>
      <c r="L46" s="278" t="s">
        <v>44</v>
      </c>
      <c r="M46" s="278"/>
      <c r="N46" s="100" t="s">
        <v>273</v>
      </c>
      <c r="O46" s="29"/>
      <c r="P46" s="29"/>
      <c r="Q46" s="29"/>
      <c r="R46" s="29"/>
      <c r="S46" s="29"/>
      <c r="T46" s="29"/>
      <c r="U46" s="29"/>
      <c r="V46" s="29"/>
      <c r="W46" s="29"/>
      <c r="X46" s="29"/>
      <c r="Y46" s="29"/>
      <c r="Z46" s="29"/>
      <c r="AA46" s="30"/>
      <c r="AB46" s="99"/>
    </row>
    <row r="47" spans="1:28" ht="18" customHeight="1">
      <c r="A47" s="98"/>
      <c r="B47" s="94">
        <f>COUNTA($B$8:B46)</f>
        <v>39</v>
      </c>
      <c r="C47" s="100" t="s">
        <v>149</v>
      </c>
      <c r="D47" s="29"/>
      <c r="E47" s="29"/>
      <c r="F47" s="29"/>
      <c r="G47" s="29"/>
      <c r="H47" s="29"/>
      <c r="I47" s="29"/>
      <c r="J47" s="29"/>
      <c r="K47" s="30"/>
      <c r="L47" s="278" t="s">
        <v>44</v>
      </c>
      <c r="M47" s="278"/>
      <c r="N47" s="100" t="s">
        <v>273</v>
      </c>
      <c r="O47" s="29"/>
      <c r="P47" s="29"/>
      <c r="Q47" s="29"/>
      <c r="R47" s="29"/>
      <c r="S47" s="29"/>
      <c r="T47" s="29"/>
      <c r="U47" s="29"/>
      <c r="V47" s="29"/>
      <c r="W47" s="29"/>
      <c r="X47" s="29"/>
      <c r="Y47" s="29"/>
      <c r="Z47" s="29"/>
      <c r="AA47" s="30"/>
      <c r="AB47" s="99"/>
    </row>
    <row r="48" spans="1:28" ht="18" customHeight="1">
      <c r="A48" s="98"/>
      <c r="B48" s="94">
        <f>COUNTA($B$8:B47)</f>
        <v>40</v>
      </c>
      <c r="C48" s="100" t="s">
        <v>63</v>
      </c>
      <c r="D48" s="29"/>
      <c r="E48" s="29"/>
      <c r="F48" s="29"/>
      <c r="G48" s="29"/>
      <c r="H48" s="29"/>
      <c r="I48" s="29"/>
      <c r="J48" s="29"/>
      <c r="K48" s="30"/>
      <c r="L48" s="278"/>
      <c r="M48" s="278"/>
      <c r="N48" s="100" t="s">
        <v>273</v>
      </c>
      <c r="O48" s="29"/>
      <c r="P48" s="29"/>
      <c r="Q48" s="29"/>
      <c r="R48" s="29"/>
      <c r="S48" s="29"/>
      <c r="T48" s="29"/>
      <c r="U48" s="29"/>
      <c r="V48" s="29"/>
      <c r="W48" s="29"/>
      <c r="X48" s="29"/>
      <c r="Y48" s="29"/>
      <c r="Z48" s="29"/>
      <c r="AA48" s="30"/>
      <c r="AB48" s="99"/>
    </row>
    <row r="49" spans="1:29" ht="18" customHeight="1">
      <c r="A49" s="98"/>
      <c r="B49" s="94">
        <f>COUNTA($B$8:B48)</f>
        <v>41</v>
      </c>
      <c r="C49" s="100" t="s">
        <v>150</v>
      </c>
      <c r="D49" s="29"/>
      <c r="E49" s="29"/>
      <c r="F49" s="29"/>
      <c r="G49" s="29"/>
      <c r="H49" s="29"/>
      <c r="I49" s="29"/>
      <c r="J49" s="29"/>
      <c r="K49" s="30"/>
      <c r="L49" s="278"/>
      <c r="M49" s="278"/>
      <c r="N49" s="100" t="s">
        <v>273</v>
      </c>
      <c r="O49" s="29"/>
      <c r="P49" s="29"/>
      <c r="Q49" s="29"/>
      <c r="R49" s="29"/>
      <c r="S49" s="29"/>
      <c r="T49" s="29"/>
      <c r="U49" s="29"/>
      <c r="V49" s="29"/>
      <c r="W49" s="29"/>
      <c r="X49" s="29"/>
      <c r="Y49" s="29"/>
      <c r="Z49" s="29"/>
      <c r="AA49" s="30"/>
      <c r="AB49" s="99"/>
    </row>
    <row r="50" spans="1:29" ht="18" customHeight="1">
      <c r="A50" s="98"/>
      <c r="B50" s="94">
        <f>COUNTA($B$8:B49)</f>
        <v>42</v>
      </c>
      <c r="C50" s="100" t="s">
        <v>151</v>
      </c>
      <c r="D50" s="29"/>
      <c r="E50" s="29"/>
      <c r="F50" s="29"/>
      <c r="G50" s="29"/>
      <c r="H50" s="29"/>
      <c r="I50" s="29"/>
      <c r="J50" s="29"/>
      <c r="K50" s="30"/>
      <c r="L50" s="278"/>
      <c r="M50" s="278"/>
      <c r="N50" s="100" t="s">
        <v>273</v>
      </c>
      <c r="O50" s="29"/>
      <c r="P50" s="29"/>
      <c r="Q50" s="29"/>
      <c r="R50" s="29"/>
      <c r="S50" s="29"/>
      <c r="T50" s="29"/>
      <c r="U50" s="29"/>
      <c r="V50" s="29"/>
      <c r="W50" s="29"/>
      <c r="X50" s="29"/>
      <c r="Y50" s="29"/>
      <c r="Z50" s="29"/>
      <c r="AA50" s="30"/>
      <c r="AB50" s="99"/>
    </row>
    <row r="51" spans="1:29" ht="18" customHeight="1">
      <c r="A51" s="98"/>
      <c r="B51" s="94">
        <f>COUNTA($B$8:B50)</f>
        <v>43</v>
      </c>
      <c r="C51" s="100" t="s">
        <v>152</v>
      </c>
      <c r="D51" s="29"/>
      <c r="E51" s="29"/>
      <c r="F51" s="29"/>
      <c r="G51" s="29"/>
      <c r="H51" s="29"/>
      <c r="I51" s="29"/>
      <c r="J51" s="29"/>
      <c r="K51" s="30"/>
      <c r="L51" s="278"/>
      <c r="M51" s="278"/>
      <c r="N51" s="100" t="s">
        <v>273</v>
      </c>
      <c r="O51" s="29"/>
      <c r="P51" s="29"/>
      <c r="Q51" s="29"/>
      <c r="R51" s="29"/>
      <c r="S51" s="29"/>
      <c r="T51" s="29"/>
      <c r="U51" s="29"/>
      <c r="V51" s="29"/>
      <c r="W51" s="29"/>
      <c r="X51" s="29"/>
      <c r="Y51" s="29"/>
      <c r="Z51" s="29"/>
      <c r="AA51" s="30"/>
      <c r="AB51" s="99"/>
    </row>
    <row r="52" spans="1:29" ht="18" customHeight="1">
      <c r="A52" s="98"/>
      <c r="B52" s="94">
        <f>COUNTA($B$8:B51)</f>
        <v>44</v>
      </c>
      <c r="C52" s="100" t="s">
        <v>164</v>
      </c>
      <c r="D52" s="29"/>
      <c r="E52" s="29"/>
      <c r="F52" s="29"/>
      <c r="G52" s="29"/>
      <c r="H52" s="29"/>
      <c r="I52" s="29"/>
      <c r="J52" s="29"/>
      <c r="K52" s="30"/>
      <c r="L52" s="278"/>
      <c r="M52" s="278"/>
      <c r="N52" s="100" t="s">
        <v>273</v>
      </c>
      <c r="O52" s="29"/>
      <c r="P52" s="29"/>
      <c r="Q52" s="29"/>
      <c r="R52" s="29"/>
      <c r="S52" s="29"/>
      <c r="T52" s="29"/>
      <c r="U52" s="29"/>
      <c r="V52" s="29"/>
      <c r="W52" s="29"/>
      <c r="X52" s="29"/>
      <c r="Y52" s="29"/>
      <c r="Z52" s="29"/>
      <c r="AA52" s="30"/>
      <c r="AB52" s="99"/>
    </row>
    <row r="53" spans="1:29" ht="18" customHeight="1">
      <c r="A53" s="98"/>
      <c r="B53" s="94">
        <f>COUNTA($B$8:B52)</f>
        <v>45</v>
      </c>
      <c r="C53" s="100" t="s">
        <v>153</v>
      </c>
      <c r="D53" s="29"/>
      <c r="E53" s="29"/>
      <c r="F53" s="29"/>
      <c r="G53" s="29"/>
      <c r="H53" s="29"/>
      <c r="I53" s="29"/>
      <c r="J53" s="29"/>
      <c r="K53" s="30"/>
      <c r="L53" s="278"/>
      <c r="M53" s="278"/>
      <c r="N53" s="100" t="s">
        <v>273</v>
      </c>
      <c r="O53" s="29"/>
      <c r="P53" s="29"/>
      <c r="Q53" s="29"/>
      <c r="R53" s="29"/>
      <c r="S53" s="29"/>
      <c r="T53" s="29"/>
      <c r="U53" s="29"/>
      <c r="V53" s="29"/>
      <c r="W53" s="29"/>
      <c r="X53" s="29"/>
      <c r="Y53" s="29"/>
      <c r="Z53" s="29"/>
      <c r="AA53" s="30"/>
      <c r="AB53" s="99"/>
    </row>
    <row r="54" spans="1:29" ht="18" customHeight="1">
      <c r="A54" s="98"/>
      <c r="B54" s="94">
        <f>COUNTA($B$8:B53)</f>
        <v>46</v>
      </c>
      <c r="C54" s="100" t="s">
        <v>154</v>
      </c>
      <c r="D54" s="29"/>
      <c r="E54" s="29"/>
      <c r="F54" s="29"/>
      <c r="G54" s="29"/>
      <c r="H54" s="29"/>
      <c r="I54" s="29"/>
      <c r="J54" s="29"/>
      <c r="K54" s="30"/>
      <c r="L54" s="278"/>
      <c r="M54" s="278"/>
      <c r="N54" s="100" t="s">
        <v>273</v>
      </c>
      <c r="O54" s="29"/>
      <c r="P54" s="29"/>
      <c r="Q54" s="29"/>
      <c r="R54" s="29"/>
      <c r="S54" s="29"/>
      <c r="T54" s="29"/>
      <c r="U54" s="29"/>
      <c r="V54" s="29"/>
      <c r="W54" s="29"/>
      <c r="X54" s="29"/>
      <c r="Y54" s="29"/>
      <c r="Z54" s="29"/>
      <c r="AA54" s="30"/>
      <c r="AB54" s="99"/>
    </row>
    <row r="55" spans="1:29" ht="18" customHeight="1">
      <c r="A55" s="26"/>
      <c r="B55" s="33">
        <f>COUNTA($B$8:B54)</f>
        <v>47</v>
      </c>
      <c r="C55" s="71" t="s">
        <v>738</v>
      </c>
      <c r="D55" s="72"/>
      <c r="E55" s="72"/>
      <c r="F55" s="72"/>
      <c r="G55" s="72"/>
      <c r="H55" s="72"/>
      <c r="I55" s="72"/>
      <c r="J55" s="72"/>
      <c r="K55" s="73"/>
      <c r="L55" s="335"/>
      <c r="M55" s="335"/>
      <c r="N55" s="71" t="s">
        <v>273</v>
      </c>
      <c r="O55" s="72"/>
      <c r="P55" s="72"/>
      <c r="Q55" s="72"/>
      <c r="R55" s="72"/>
      <c r="S55" s="72"/>
      <c r="T55" s="72"/>
      <c r="U55" s="72"/>
      <c r="V55" s="72"/>
      <c r="W55" s="72"/>
      <c r="X55" s="72"/>
      <c r="Y55" s="72"/>
      <c r="Z55" s="72"/>
      <c r="AA55" s="73"/>
      <c r="AB55" s="28"/>
      <c r="AC55" s="70" t="s">
        <v>737</v>
      </c>
    </row>
    <row r="56" spans="1:29" ht="18" customHeight="1">
      <c r="A56" s="98"/>
      <c r="B56" s="94">
        <f>COUNTA($B$8:B55)</f>
        <v>48</v>
      </c>
      <c r="C56" s="100" t="s">
        <v>195</v>
      </c>
      <c r="D56" s="29"/>
      <c r="E56" s="29"/>
      <c r="F56" s="29"/>
      <c r="G56" s="29"/>
      <c r="H56" s="29"/>
      <c r="I56" s="29"/>
      <c r="J56" s="29"/>
      <c r="K56" s="30"/>
      <c r="L56" s="278"/>
      <c r="M56" s="278"/>
      <c r="N56" s="100" t="s">
        <v>273</v>
      </c>
      <c r="O56" s="29"/>
      <c r="P56" s="29"/>
      <c r="Q56" s="29"/>
      <c r="R56" s="29"/>
      <c r="S56" s="29"/>
      <c r="T56" s="29"/>
      <c r="U56" s="29"/>
      <c r="V56" s="29"/>
      <c r="W56" s="29"/>
      <c r="X56" s="29"/>
      <c r="Y56" s="29"/>
      <c r="Z56" s="29"/>
      <c r="AA56" s="30"/>
      <c r="AB56" s="99"/>
    </row>
    <row r="57" spans="1:29" ht="18" customHeight="1">
      <c r="A57" s="98"/>
      <c r="B57" s="94">
        <f>COUNTA($B$8:B56)</f>
        <v>49</v>
      </c>
      <c r="C57" s="100"/>
      <c r="D57" s="29" t="s">
        <v>179</v>
      </c>
      <c r="E57" s="29"/>
      <c r="F57" s="29"/>
      <c r="G57" s="29"/>
      <c r="H57" s="29"/>
      <c r="I57" s="29"/>
      <c r="J57" s="29"/>
      <c r="K57" s="30"/>
      <c r="L57" s="278"/>
      <c r="M57" s="278"/>
      <c r="N57" s="100" t="s">
        <v>273</v>
      </c>
      <c r="O57" s="29"/>
      <c r="P57" s="29"/>
      <c r="Q57" s="29"/>
      <c r="R57" s="29"/>
      <c r="S57" s="29"/>
      <c r="T57" s="29"/>
      <c r="U57" s="29"/>
      <c r="V57" s="29"/>
      <c r="W57" s="29"/>
      <c r="X57" s="29"/>
      <c r="Y57" s="29"/>
      <c r="Z57" s="29"/>
      <c r="AA57" s="30"/>
      <c r="AB57" s="99"/>
    </row>
    <row r="58" spans="1:29" ht="18" customHeight="1">
      <c r="A58" s="98"/>
      <c r="B58" s="94">
        <f>COUNTA($B$8:B57)</f>
        <v>50</v>
      </c>
      <c r="C58" s="100"/>
      <c r="D58" s="29" t="s">
        <v>180</v>
      </c>
      <c r="E58" s="29"/>
      <c r="F58" s="29"/>
      <c r="G58" s="29"/>
      <c r="H58" s="29"/>
      <c r="I58" s="29"/>
      <c r="J58" s="29"/>
      <c r="K58" s="30"/>
      <c r="L58" s="278"/>
      <c r="M58" s="278"/>
      <c r="N58" s="100" t="s">
        <v>273</v>
      </c>
      <c r="O58" s="29"/>
      <c r="P58" s="29"/>
      <c r="Q58" s="29"/>
      <c r="R58" s="29"/>
      <c r="S58" s="29"/>
      <c r="T58" s="29"/>
      <c r="U58" s="29"/>
      <c r="V58" s="29"/>
      <c r="W58" s="29"/>
      <c r="X58" s="29"/>
      <c r="Y58" s="29"/>
      <c r="Z58" s="29"/>
      <c r="AA58" s="30"/>
      <c r="AB58" s="99"/>
    </row>
    <row r="59" spans="1:29" ht="18" customHeight="1">
      <c r="A59" s="98"/>
      <c r="B59" s="94">
        <f>COUNTA($B$8:B58)</f>
        <v>51</v>
      </c>
      <c r="C59" s="100"/>
      <c r="D59" s="29" t="s">
        <v>185</v>
      </c>
      <c r="E59" s="29"/>
      <c r="F59" s="29"/>
      <c r="G59" s="29"/>
      <c r="H59" s="29"/>
      <c r="I59" s="29"/>
      <c r="J59" s="29"/>
      <c r="K59" s="30"/>
      <c r="L59" s="278"/>
      <c r="M59" s="278"/>
      <c r="N59" s="100" t="s">
        <v>273</v>
      </c>
      <c r="O59" s="29"/>
      <c r="P59" s="29"/>
      <c r="Q59" s="29"/>
      <c r="R59" s="29"/>
      <c r="S59" s="29"/>
      <c r="T59" s="29"/>
      <c r="U59" s="29"/>
      <c r="V59" s="29"/>
      <c r="W59" s="29"/>
      <c r="X59" s="29"/>
      <c r="Y59" s="29"/>
      <c r="Z59" s="29"/>
      <c r="AA59" s="30"/>
      <c r="AB59" s="99"/>
    </row>
    <row r="60" spans="1:29" ht="18" customHeight="1">
      <c r="A60" s="98"/>
      <c r="B60" s="94">
        <f>COUNTA($B$8:B59)</f>
        <v>52</v>
      </c>
      <c r="C60" s="100"/>
      <c r="D60" s="29" t="s">
        <v>250</v>
      </c>
      <c r="E60" s="29"/>
      <c r="F60" s="29"/>
      <c r="G60" s="29"/>
      <c r="H60" s="29"/>
      <c r="I60" s="29"/>
      <c r="J60" s="29"/>
      <c r="K60" s="30"/>
      <c r="L60" s="278"/>
      <c r="M60" s="278"/>
      <c r="N60" s="100" t="s">
        <v>273</v>
      </c>
      <c r="O60" s="29"/>
      <c r="P60" s="29"/>
      <c r="Q60" s="29"/>
      <c r="R60" s="29"/>
      <c r="S60" s="29"/>
      <c r="T60" s="29"/>
      <c r="U60" s="29"/>
      <c r="V60" s="29"/>
      <c r="W60" s="29"/>
      <c r="X60" s="29"/>
      <c r="Y60" s="29"/>
      <c r="Z60" s="29"/>
      <c r="AA60" s="30"/>
      <c r="AB60" s="99"/>
    </row>
    <row r="61" spans="1:29" ht="18" customHeight="1">
      <c r="A61" s="98"/>
      <c r="B61" s="94">
        <f>COUNTA($B$8:B60)</f>
        <v>53</v>
      </c>
      <c r="C61" s="100"/>
      <c r="D61" s="29" t="s">
        <v>181</v>
      </c>
      <c r="E61" s="29"/>
      <c r="F61" s="29"/>
      <c r="G61" s="29"/>
      <c r="H61" s="29"/>
      <c r="I61" s="29"/>
      <c r="J61" s="29"/>
      <c r="K61" s="30"/>
      <c r="L61" s="278"/>
      <c r="M61" s="278"/>
      <c r="N61" s="100" t="s">
        <v>273</v>
      </c>
      <c r="O61" s="29"/>
      <c r="P61" s="29"/>
      <c r="Q61" s="29"/>
      <c r="R61" s="29"/>
      <c r="S61" s="29"/>
      <c r="T61" s="29"/>
      <c r="U61" s="29"/>
      <c r="V61" s="29"/>
      <c r="W61" s="29"/>
      <c r="X61" s="29"/>
      <c r="Y61" s="29"/>
      <c r="Z61" s="29"/>
      <c r="AA61" s="30"/>
      <c r="AB61" s="99"/>
    </row>
    <row r="62" spans="1:29" ht="18" customHeight="1">
      <c r="A62" s="98"/>
      <c r="B62" s="94">
        <f>COUNTA($B$8:B61)</f>
        <v>54</v>
      </c>
      <c r="C62" s="100"/>
      <c r="D62" s="29" t="s">
        <v>182</v>
      </c>
      <c r="E62" s="29"/>
      <c r="F62" s="29"/>
      <c r="G62" s="29"/>
      <c r="H62" s="29"/>
      <c r="I62" s="29"/>
      <c r="J62" s="29"/>
      <c r="K62" s="30"/>
      <c r="L62" s="278"/>
      <c r="M62" s="278"/>
      <c r="N62" s="100" t="s">
        <v>273</v>
      </c>
      <c r="O62" s="29"/>
      <c r="P62" s="29"/>
      <c r="Q62" s="29"/>
      <c r="R62" s="29"/>
      <c r="S62" s="29"/>
      <c r="T62" s="29"/>
      <c r="U62" s="29"/>
      <c r="V62" s="29"/>
      <c r="W62" s="29"/>
      <c r="X62" s="29"/>
      <c r="Y62" s="29"/>
      <c r="Z62" s="29"/>
      <c r="AA62" s="30"/>
      <c r="AB62" s="99"/>
    </row>
    <row r="63" spans="1:29" ht="18" customHeight="1">
      <c r="A63" s="98"/>
      <c r="B63" s="94">
        <f>COUNTA($B$8:B62)</f>
        <v>55</v>
      </c>
      <c r="C63" s="100"/>
      <c r="D63" s="29" t="s">
        <v>251</v>
      </c>
      <c r="E63" s="29"/>
      <c r="F63" s="29"/>
      <c r="G63" s="29"/>
      <c r="H63" s="29"/>
      <c r="I63" s="29"/>
      <c r="J63" s="29"/>
      <c r="K63" s="30"/>
      <c r="L63" s="278"/>
      <c r="M63" s="278"/>
      <c r="N63" s="100" t="s">
        <v>273</v>
      </c>
      <c r="O63" s="29"/>
      <c r="P63" s="29"/>
      <c r="Q63" s="29"/>
      <c r="R63" s="29"/>
      <c r="S63" s="29"/>
      <c r="T63" s="29"/>
      <c r="U63" s="29"/>
      <c r="V63" s="29"/>
      <c r="W63" s="29"/>
      <c r="X63" s="29"/>
      <c r="Y63" s="29"/>
      <c r="Z63" s="29"/>
      <c r="AA63" s="30"/>
      <c r="AB63" s="99"/>
    </row>
    <row r="64" spans="1:29" ht="18" customHeight="1">
      <c r="A64" s="98"/>
      <c r="B64" s="94">
        <f>COUNTA($B$8:B63)</f>
        <v>56</v>
      </c>
      <c r="C64" s="100"/>
      <c r="D64" s="29" t="s">
        <v>252</v>
      </c>
      <c r="E64" s="29"/>
      <c r="F64" s="29"/>
      <c r="G64" s="29"/>
      <c r="H64" s="29"/>
      <c r="I64" s="29"/>
      <c r="J64" s="29"/>
      <c r="K64" s="30"/>
      <c r="L64" s="278"/>
      <c r="M64" s="278"/>
      <c r="N64" s="100" t="s">
        <v>273</v>
      </c>
      <c r="O64" s="29"/>
      <c r="P64" s="29"/>
      <c r="Q64" s="29"/>
      <c r="R64" s="29"/>
      <c r="S64" s="29"/>
      <c r="T64" s="29"/>
      <c r="U64" s="29"/>
      <c r="V64" s="29"/>
      <c r="W64" s="29"/>
      <c r="X64" s="29"/>
      <c r="Y64" s="29"/>
      <c r="Z64" s="29"/>
      <c r="AA64" s="30"/>
      <c r="AB64" s="99"/>
    </row>
    <row r="65" spans="1:32" ht="18" customHeight="1">
      <c r="A65" s="98"/>
      <c r="B65" s="94">
        <f>COUNTA($B$8:B64)</f>
        <v>57</v>
      </c>
      <c r="C65" s="100"/>
      <c r="D65" s="29" t="s">
        <v>187</v>
      </c>
      <c r="E65" s="29"/>
      <c r="F65" s="29"/>
      <c r="G65" s="29"/>
      <c r="H65" s="29"/>
      <c r="I65" s="29"/>
      <c r="J65" s="29"/>
      <c r="K65" s="30"/>
      <c r="L65" s="278"/>
      <c r="M65" s="278"/>
      <c r="N65" s="100" t="s">
        <v>273</v>
      </c>
      <c r="O65" s="29"/>
      <c r="P65" s="29"/>
      <c r="Q65" s="29"/>
      <c r="R65" s="29"/>
      <c r="S65" s="29"/>
      <c r="T65" s="29"/>
      <c r="U65" s="29"/>
      <c r="V65" s="29"/>
      <c r="W65" s="29"/>
      <c r="X65" s="29"/>
      <c r="Y65" s="29"/>
      <c r="Z65" s="29"/>
      <c r="AA65" s="30"/>
      <c r="AB65" s="99"/>
    </row>
    <row r="66" spans="1:32" ht="18" customHeight="1">
      <c r="A66" s="98"/>
      <c r="B66" s="94">
        <f>COUNTA($B$8:B65)</f>
        <v>58</v>
      </c>
      <c r="C66" s="100"/>
      <c r="D66" s="29" t="s">
        <v>188</v>
      </c>
      <c r="E66" s="29"/>
      <c r="F66" s="29"/>
      <c r="G66" s="29"/>
      <c r="H66" s="29"/>
      <c r="I66" s="29"/>
      <c r="J66" s="29"/>
      <c r="K66" s="30"/>
      <c r="L66" s="278"/>
      <c r="M66" s="278"/>
      <c r="N66" s="100" t="s">
        <v>273</v>
      </c>
      <c r="O66" s="29"/>
      <c r="P66" s="29"/>
      <c r="Q66" s="29"/>
      <c r="R66" s="29"/>
      <c r="S66" s="29"/>
      <c r="T66" s="29"/>
      <c r="U66" s="29"/>
      <c r="V66" s="29"/>
      <c r="W66" s="29"/>
      <c r="X66" s="29"/>
      <c r="Y66" s="29"/>
      <c r="Z66" s="29"/>
      <c r="AA66" s="30"/>
      <c r="AB66" s="99"/>
    </row>
    <row r="67" spans="1:32" ht="18" customHeight="1">
      <c r="A67" s="98"/>
      <c r="B67" s="94">
        <f>COUNTA($B$8:B66)</f>
        <v>59</v>
      </c>
      <c r="C67" s="100" t="s">
        <v>935</v>
      </c>
      <c r="D67" s="29"/>
      <c r="E67" s="29"/>
      <c r="F67" s="29"/>
      <c r="G67" s="29"/>
      <c r="H67" s="29"/>
      <c r="I67" s="29"/>
      <c r="J67" s="29"/>
      <c r="K67" s="30"/>
      <c r="L67" s="278"/>
      <c r="M67" s="278"/>
      <c r="N67" s="100" t="s">
        <v>273</v>
      </c>
      <c r="O67" s="29"/>
      <c r="P67" s="29"/>
      <c r="Q67" s="29"/>
      <c r="R67" s="29"/>
      <c r="S67" s="29"/>
      <c r="T67" s="29"/>
      <c r="U67" s="29"/>
      <c r="V67" s="29"/>
      <c r="W67" s="29"/>
      <c r="X67" s="29"/>
      <c r="Y67" s="29"/>
      <c r="Z67" s="29"/>
      <c r="AA67" s="30"/>
      <c r="AB67" s="99"/>
      <c r="AC67" s="132" t="s">
        <v>934</v>
      </c>
    </row>
    <row r="68" spans="1:32" ht="18" customHeight="1">
      <c r="A68" s="98"/>
      <c r="B68" s="94">
        <f>COUNTA($B$8:B67)</f>
        <v>60</v>
      </c>
      <c r="C68" s="100"/>
      <c r="D68" s="29" t="s">
        <v>179</v>
      </c>
      <c r="E68" s="29"/>
      <c r="F68" s="29"/>
      <c r="G68" s="29"/>
      <c r="H68" s="29"/>
      <c r="I68" s="29"/>
      <c r="J68" s="29"/>
      <c r="K68" s="30"/>
      <c r="L68" s="278"/>
      <c r="M68" s="278"/>
      <c r="N68" s="100" t="s">
        <v>273</v>
      </c>
      <c r="O68" s="29"/>
      <c r="P68" s="29"/>
      <c r="Q68" s="29"/>
      <c r="R68" s="29"/>
      <c r="S68" s="29"/>
      <c r="T68" s="29"/>
      <c r="U68" s="29"/>
      <c r="V68" s="29"/>
      <c r="W68" s="29"/>
      <c r="X68" s="29"/>
      <c r="Y68" s="29"/>
      <c r="Z68" s="29"/>
      <c r="AA68" s="30"/>
      <c r="AB68" s="99"/>
    </row>
    <row r="69" spans="1:32" ht="18" customHeight="1">
      <c r="A69" s="98"/>
      <c r="B69" s="94">
        <f>COUNTA($B$8:B68)</f>
        <v>61</v>
      </c>
      <c r="C69" s="100"/>
      <c r="D69" s="29" t="s">
        <v>180</v>
      </c>
      <c r="E69" s="29"/>
      <c r="F69" s="29"/>
      <c r="G69" s="29"/>
      <c r="H69" s="29"/>
      <c r="I69" s="29"/>
      <c r="J69" s="29"/>
      <c r="K69" s="30"/>
      <c r="L69" s="278"/>
      <c r="M69" s="278"/>
      <c r="N69" s="100" t="s">
        <v>273</v>
      </c>
      <c r="O69" s="29"/>
      <c r="P69" s="29"/>
      <c r="Q69" s="29"/>
      <c r="R69" s="29"/>
      <c r="S69" s="29"/>
      <c r="T69" s="29"/>
      <c r="U69" s="29"/>
      <c r="V69" s="29"/>
      <c r="W69" s="29"/>
      <c r="X69" s="29"/>
      <c r="Y69" s="29"/>
      <c r="Z69" s="29"/>
      <c r="AA69" s="30"/>
      <c r="AB69" s="99"/>
    </row>
    <row r="70" spans="1:32" ht="18" customHeight="1">
      <c r="A70" s="98"/>
      <c r="B70" s="94">
        <f>COUNTA($B$8:B69)</f>
        <v>62</v>
      </c>
      <c r="C70" s="100"/>
      <c r="D70" s="29" t="s">
        <v>190</v>
      </c>
      <c r="E70" s="29"/>
      <c r="F70" s="29"/>
      <c r="G70" s="29"/>
      <c r="H70" s="29"/>
      <c r="I70" s="29"/>
      <c r="J70" s="29"/>
      <c r="K70" s="30"/>
      <c r="L70" s="278"/>
      <c r="M70" s="278"/>
      <c r="N70" s="100" t="s">
        <v>273</v>
      </c>
      <c r="O70" s="29"/>
      <c r="P70" s="29"/>
      <c r="Q70" s="29"/>
      <c r="R70" s="29"/>
      <c r="S70" s="29"/>
      <c r="T70" s="29"/>
      <c r="U70" s="29"/>
      <c r="V70" s="29"/>
      <c r="W70" s="29"/>
      <c r="X70" s="29"/>
      <c r="Y70" s="29"/>
      <c r="Z70" s="29"/>
      <c r="AA70" s="30"/>
      <c r="AB70" s="99"/>
    </row>
    <row r="71" spans="1:32" ht="18" customHeight="1">
      <c r="A71" s="98"/>
      <c r="B71" s="94">
        <f>COUNTA($B$8:B70)</f>
        <v>63</v>
      </c>
      <c r="C71" s="100"/>
      <c r="D71" s="29" t="s">
        <v>191</v>
      </c>
      <c r="E71" s="29"/>
      <c r="F71" s="29"/>
      <c r="G71" s="29"/>
      <c r="H71" s="29"/>
      <c r="I71" s="29"/>
      <c r="J71" s="29"/>
      <c r="K71" s="30"/>
      <c r="L71" s="278"/>
      <c r="M71" s="278"/>
      <c r="N71" s="100" t="s">
        <v>273</v>
      </c>
      <c r="O71" s="29"/>
      <c r="P71" s="29"/>
      <c r="Q71" s="29"/>
      <c r="R71" s="29"/>
      <c r="S71" s="29"/>
      <c r="T71" s="29"/>
      <c r="U71" s="29"/>
      <c r="V71" s="29"/>
      <c r="W71" s="29"/>
      <c r="X71" s="29"/>
      <c r="Y71" s="29"/>
      <c r="Z71" s="29"/>
      <c r="AA71" s="30"/>
      <c r="AB71" s="99"/>
    </row>
    <row r="72" spans="1:32" ht="18" customHeight="1">
      <c r="A72" s="98"/>
      <c r="B72" s="94">
        <f>COUNTA($B$8:B71)</f>
        <v>64</v>
      </c>
      <c r="C72" s="129" t="s">
        <v>739</v>
      </c>
      <c r="D72" s="130"/>
      <c r="E72" s="130"/>
      <c r="F72" s="130"/>
      <c r="G72" s="130"/>
      <c r="H72" s="130"/>
      <c r="I72" s="130"/>
      <c r="J72" s="130"/>
      <c r="K72" s="131"/>
      <c r="L72" s="391"/>
      <c r="M72" s="391"/>
      <c r="N72" s="129" t="s">
        <v>273</v>
      </c>
      <c r="O72" s="130"/>
      <c r="P72" s="130"/>
      <c r="Q72" s="130"/>
      <c r="R72" s="130"/>
      <c r="S72" s="130"/>
      <c r="T72" s="130"/>
      <c r="U72" s="130"/>
      <c r="V72" s="130"/>
      <c r="W72" s="130"/>
      <c r="X72" s="130"/>
      <c r="Y72" s="130"/>
      <c r="Z72" s="130"/>
      <c r="AA72" s="131"/>
      <c r="AB72" s="151"/>
      <c r="AC72" s="128" t="s">
        <v>655</v>
      </c>
      <c r="AE72" s="132" t="s">
        <v>934</v>
      </c>
      <c r="AF72" s="27"/>
    </row>
    <row r="73" spans="1:32" ht="18" customHeight="1">
      <c r="A73" s="98"/>
      <c r="B73" s="94">
        <f>COUNTA($B$8:B72)</f>
        <v>65</v>
      </c>
      <c r="C73" s="129"/>
      <c r="D73" s="130" t="s">
        <v>179</v>
      </c>
      <c r="E73" s="130"/>
      <c r="F73" s="130"/>
      <c r="G73" s="130"/>
      <c r="H73" s="130"/>
      <c r="I73" s="130"/>
      <c r="J73" s="130"/>
      <c r="K73" s="131"/>
      <c r="L73" s="391"/>
      <c r="M73" s="391"/>
      <c r="N73" s="129" t="s">
        <v>273</v>
      </c>
      <c r="O73" s="130"/>
      <c r="P73" s="130"/>
      <c r="Q73" s="130"/>
      <c r="R73" s="130"/>
      <c r="S73" s="130"/>
      <c r="T73" s="130"/>
      <c r="U73" s="130"/>
      <c r="V73" s="130"/>
      <c r="W73" s="130"/>
      <c r="X73" s="130"/>
      <c r="Y73" s="130"/>
      <c r="Z73" s="130"/>
      <c r="AA73" s="131"/>
      <c r="AB73" s="151"/>
      <c r="AC73" s="128"/>
      <c r="AE73" s="132" t="s">
        <v>934</v>
      </c>
      <c r="AF73" s="27"/>
    </row>
    <row r="74" spans="1:32" ht="18" customHeight="1">
      <c r="A74" s="98"/>
      <c r="B74" s="94">
        <f>COUNTA($B$8:B73)</f>
        <v>66</v>
      </c>
      <c r="C74" s="100" t="s">
        <v>198</v>
      </c>
      <c r="D74" s="29"/>
      <c r="E74" s="29"/>
      <c r="F74" s="29"/>
      <c r="G74" s="29"/>
      <c r="H74" s="29"/>
      <c r="I74" s="29"/>
      <c r="J74" s="29"/>
      <c r="K74" s="30"/>
      <c r="L74" s="278"/>
      <c r="M74" s="278"/>
      <c r="N74" s="100" t="s">
        <v>273</v>
      </c>
      <c r="O74" s="29"/>
      <c r="P74" s="29"/>
      <c r="Q74" s="29"/>
      <c r="R74" s="29"/>
      <c r="S74" s="29"/>
      <c r="T74" s="29"/>
      <c r="U74" s="29"/>
      <c r="V74" s="29"/>
      <c r="W74" s="29"/>
      <c r="X74" s="29"/>
      <c r="Y74" s="29"/>
      <c r="Z74" s="29"/>
      <c r="AA74" s="30"/>
      <c r="AB74" s="99"/>
    </row>
    <row r="75" spans="1:32" ht="18" customHeight="1">
      <c r="A75" s="98"/>
      <c r="B75" s="94">
        <f>COUNTA($B$8:B74)</f>
        <v>67</v>
      </c>
      <c r="C75" s="100"/>
      <c r="D75" s="29" t="s">
        <v>179</v>
      </c>
      <c r="E75" s="29"/>
      <c r="F75" s="29"/>
      <c r="G75" s="29"/>
      <c r="H75" s="29"/>
      <c r="I75" s="29"/>
      <c r="J75" s="29"/>
      <c r="K75" s="30"/>
      <c r="L75" s="278"/>
      <c r="M75" s="278"/>
      <c r="N75" s="100" t="s">
        <v>273</v>
      </c>
      <c r="O75" s="29"/>
      <c r="P75" s="29"/>
      <c r="Q75" s="29"/>
      <c r="R75" s="29"/>
      <c r="S75" s="29"/>
      <c r="T75" s="29"/>
      <c r="U75" s="29"/>
      <c r="V75" s="29"/>
      <c r="W75" s="29"/>
      <c r="X75" s="29"/>
      <c r="Y75" s="29"/>
      <c r="Z75" s="29"/>
      <c r="AA75" s="30"/>
      <c r="AB75" s="99"/>
    </row>
    <row r="76" spans="1:32" ht="18" customHeight="1">
      <c r="A76" s="98"/>
      <c r="B76" s="94">
        <f>COUNTA($B$8:B75)</f>
        <v>68</v>
      </c>
      <c r="C76" s="100"/>
      <c r="D76" s="29" t="s">
        <v>180</v>
      </c>
      <c r="E76" s="29"/>
      <c r="F76" s="29"/>
      <c r="G76" s="29"/>
      <c r="H76" s="29"/>
      <c r="I76" s="29"/>
      <c r="J76" s="29"/>
      <c r="K76" s="30"/>
      <c r="L76" s="278"/>
      <c r="M76" s="278"/>
      <c r="N76" s="100" t="s">
        <v>273</v>
      </c>
      <c r="O76" s="29"/>
      <c r="P76" s="29"/>
      <c r="Q76" s="29"/>
      <c r="R76" s="29"/>
      <c r="S76" s="29"/>
      <c r="T76" s="29"/>
      <c r="U76" s="29"/>
      <c r="V76" s="29"/>
      <c r="W76" s="29"/>
      <c r="X76" s="29"/>
      <c r="Y76" s="29"/>
      <c r="Z76" s="29"/>
      <c r="AA76" s="30"/>
      <c r="AB76" s="99"/>
    </row>
    <row r="77" spans="1:32" ht="18" customHeight="1">
      <c r="A77" s="98"/>
      <c r="B77" s="94">
        <f>COUNTA($B$8:B76)</f>
        <v>69</v>
      </c>
      <c r="C77" s="100"/>
      <c r="D77" s="29" t="s">
        <v>202</v>
      </c>
      <c r="E77" s="29"/>
      <c r="F77" s="29"/>
      <c r="G77" s="29"/>
      <c r="H77" s="29"/>
      <c r="I77" s="29"/>
      <c r="J77" s="29"/>
      <c r="K77" s="30"/>
      <c r="L77" s="278"/>
      <c r="M77" s="278"/>
      <c r="N77" s="100" t="s">
        <v>273</v>
      </c>
      <c r="O77" s="29"/>
      <c r="P77" s="29"/>
      <c r="Q77" s="29"/>
      <c r="R77" s="29"/>
      <c r="S77" s="29"/>
      <c r="T77" s="29"/>
      <c r="U77" s="29"/>
      <c r="V77" s="29"/>
      <c r="W77" s="29"/>
      <c r="X77" s="29"/>
      <c r="Y77" s="29"/>
      <c r="Z77" s="29"/>
      <c r="AA77" s="30"/>
      <c r="AB77" s="99"/>
    </row>
    <row r="78" spans="1:32" ht="18" customHeight="1">
      <c r="A78" s="98"/>
      <c r="B78" s="94">
        <f>COUNTA($B$8:B77)</f>
        <v>70</v>
      </c>
      <c r="C78" s="100"/>
      <c r="D78" s="29" t="s">
        <v>203</v>
      </c>
      <c r="E78" s="29"/>
      <c r="F78" s="29"/>
      <c r="G78" s="29"/>
      <c r="H78" s="29"/>
      <c r="I78" s="29"/>
      <c r="J78" s="29"/>
      <c r="K78" s="30"/>
      <c r="L78" s="278"/>
      <c r="M78" s="278"/>
      <c r="N78" s="100" t="s">
        <v>273</v>
      </c>
      <c r="O78" s="29"/>
      <c r="P78" s="29"/>
      <c r="Q78" s="29"/>
      <c r="R78" s="29"/>
      <c r="S78" s="29"/>
      <c r="T78" s="29"/>
      <c r="U78" s="29"/>
      <c r="V78" s="29"/>
      <c r="W78" s="29"/>
      <c r="X78" s="29"/>
      <c r="Y78" s="29"/>
      <c r="Z78" s="29"/>
      <c r="AA78" s="30"/>
      <c r="AB78" s="99"/>
    </row>
    <row r="79" spans="1:32" ht="18" customHeight="1">
      <c r="A79" s="98"/>
      <c r="B79" s="94">
        <f>COUNTA($B$8:B78)</f>
        <v>71</v>
      </c>
      <c r="C79" s="100"/>
      <c r="D79" s="29" t="s">
        <v>364</v>
      </c>
      <c r="E79" s="29"/>
      <c r="F79" s="29"/>
      <c r="G79" s="29"/>
      <c r="H79" s="29"/>
      <c r="I79" s="29"/>
      <c r="J79" s="29"/>
      <c r="K79" s="30"/>
      <c r="L79" s="278"/>
      <c r="M79" s="278"/>
      <c r="N79" s="100" t="s">
        <v>273</v>
      </c>
      <c r="O79" s="29"/>
      <c r="P79" s="29"/>
      <c r="Q79" s="29"/>
      <c r="R79" s="29"/>
      <c r="S79" s="29"/>
      <c r="T79" s="29"/>
      <c r="U79" s="29"/>
      <c r="V79" s="29"/>
      <c r="W79" s="29"/>
      <c r="X79" s="29"/>
      <c r="Y79" s="29"/>
      <c r="Z79" s="29"/>
      <c r="AA79" s="30"/>
      <c r="AB79" s="99"/>
    </row>
    <row r="80" spans="1:32" ht="18" customHeight="1">
      <c r="A80" s="98"/>
      <c r="B80" s="94">
        <f>COUNTA($B$8:B79)</f>
        <v>72</v>
      </c>
      <c r="C80" s="100" t="s">
        <v>1306</v>
      </c>
      <c r="D80" s="29"/>
      <c r="E80" s="29"/>
      <c r="F80" s="29"/>
      <c r="G80" s="29"/>
      <c r="H80" s="29"/>
      <c r="I80" s="29"/>
      <c r="J80" s="29"/>
      <c r="K80" s="30"/>
      <c r="L80" s="278"/>
      <c r="M80" s="278"/>
      <c r="N80" s="100" t="s">
        <v>273</v>
      </c>
      <c r="O80" s="29"/>
      <c r="P80" s="29"/>
      <c r="Q80" s="29"/>
      <c r="R80" s="29"/>
      <c r="S80" s="29"/>
      <c r="T80" s="29"/>
      <c r="U80" s="29"/>
      <c r="V80" s="29"/>
      <c r="W80" s="29"/>
      <c r="X80" s="29"/>
      <c r="Y80" s="29"/>
      <c r="Z80" s="29"/>
      <c r="AA80" s="30"/>
      <c r="AB80" s="99"/>
      <c r="AC80" s="188" t="s">
        <v>1259</v>
      </c>
    </row>
    <row r="81" spans="1:29" ht="18" customHeight="1">
      <c r="A81" s="98"/>
      <c r="B81" s="94">
        <f>COUNTA($B$8:B80)</f>
        <v>73</v>
      </c>
      <c r="C81" s="100"/>
      <c r="D81" s="29" t="s">
        <v>375</v>
      </c>
      <c r="E81" s="29"/>
      <c r="F81" s="29"/>
      <c r="G81" s="29"/>
      <c r="H81" s="29"/>
      <c r="I81" s="29"/>
      <c r="J81" s="29"/>
      <c r="K81" s="30"/>
      <c r="L81" s="278"/>
      <c r="M81" s="278"/>
      <c r="N81" s="100" t="s">
        <v>273</v>
      </c>
      <c r="O81" s="29"/>
      <c r="P81" s="29"/>
      <c r="Q81" s="29"/>
      <c r="R81" s="29"/>
      <c r="S81" s="29"/>
      <c r="T81" s="29"/>
      <c r="U81" s="29"/>
      <c r="V81" s="29"/>
      <c r="W81" s="29"/>
      <c r="X81" s="29"/>
      <c r="Y81" s="29"/>
      <c r="Z81" s="29"/>
      <c r="AA81" s="30"/>
      <c r="AB81" s="99"/>
    </row>
    <row r="82" spans="1:29" ht="18" customHeight="1">
      <c r="A82" s="98"/>
      <c r="B82" s="94">
        <f>COUNTA($B$8:B81)</f>
        <v>74</v>
      </c>
      <c r="C82" s="100"/>
      <c r="D82" s="29" t="s">
        <v>373</v>
      </c>
      <c r="E82" s="29"/>
      <c r="F82" s="29"/>
      <c r="G82" s="29"/>
      <c r="H82" s="29"/>
      <c r="I82" s="29"/>
      <c r="J82" s="29"/>
      <c r="K82" s="30"/>
      <c r="L82" s="278"/>
      <c r="M82" s="278"/>
      <c r="N82" s="100" t="s">
        <v>273</v>
      </c>
      <c r="O82" s="29"/>
      <c r="P82" s="29"/>
      <c r="Q82" s="29"/>
      <c r="R82" s="29"/>
      <c r="S82" s="29"/>
      <c r="T82" s="29"/>
      <c r="U82" s="29"/>
      <c r="V82" s="29"/>
      <c r="W82" s="29"/>
      <c r="X82" s="29"/>
      <c r="Y82" s="29"/>
      <c r="Z82" s="29"/>
      <c r="AA82" s="30"/>
      <c r="AB82" s="99"/>
    </row>
    <row r="83" spans="1:29" ht="18" customHeight="1">
      <c r="A83" s="98"/>
      <c r="B83" s="94">
        <f>COUNTA($B$8:B82)</f>
        <v>75</v>
      </c>
      <c r="C83" s="100"/>
      <c r="D83" s="29" t="s">
        <v>374</v>
      </c>
      <c r="E83" s="29"/>
      <c r="F83" s="29"/>
      <c r="G83" s="29"/>
      <c r="H83" s="29"/>
      <c r="I83" s="29"/>
      <c r="J83" s="29"/>
      <c r="K83" s="30"/>
      <c r="L83" s="278"/>
      <c r="M83" s="278"/>
      <c r="N83" s="100" t="s">
        <v>273</v>
      </c>
      <c r="O83" s="29"/>
      <c r="P83" s="29"/>
      <c r="Q83" s="29"/>
      <c r="R83" s="29"/>
      <c r="S83" s="29"/>
      <c r="T83" s="29"/>
      <c r="U83" s="29"/>
      <c r="V83" s="29"/>
      <c r="W83" s="29"/>
      <c r="X83" s="29"/>
      <c r="Y83" s="29"/>
      <c r="Z83" s="29"/>
      <c r="AA83" s="30"/>
      <c r="AB83" s="99"/>
    </row>
    <row r="84" spans="1:29" ht="18" customHeight="1">
      <c r="A84" s="98"/>
      <c r="B84" s="232">
        <f>COUNTA($B$8:B83)</f>
        <v>76</v>
      </c>
      <c r="C84" s="235"/>
      <c r="D84" s="234" t="s">
        <v>376</v>
      </c>
      <c r="E84" s="234"/>
      <c r="F84" s="234"/>
      <c r="G84" s="234"/>
      <c r="H84" s="234"/>
      <c r="I84" s="234"/>
      <c r="J84" s="234"/>
      <c r="K84" s="236"/>
      <c r="L84" s="390"/>
      <c r="M84" s="390"/>
      <c r="N84" s="235" t="s">
        <v>273</v>
      </c>
      <c r="O84" s="234"/>
      <c r="P84" s="234"/>
      <c r="Q84" s="234"/>
      <c r="R84" s="234"/>
      <c r="S84" s="234"/>
      <c r="T84" s="234"/>
      <c r="U84" s="234"/>
      <c r="V84" s="234"/>
      <c r="W84" s="234"/>
      <c r="X84" s="234"/>
      <c r="Y84" s="234"/>
      <c r="Z84" s="234"/>
      <c r="AA84" s="236"/>
      <c r="AB84" s="99"/>
      <c r="AC84" s="188" t="s">
        <v>1259</v>
      </c>
    </row>
    <row r="85" spans="1:29" ht="18" customHeight="1">
      <c r="A85" s="98"/>
      <c r="B85" s="232">
        <f>COUNTA($B$8:B84)</f>
        <v>77</v>
      </c>
      <c r="C85" s="235"/>
      <c r="D85" s="234" t="s">
        <v>377</v>
      </c>
      <c r="E85" s="234"/>
      <c r="F85" s="234"/>
      <c r="G85" s="234"/>
      <c r="H85" s="234"/>
      <c r="I85" s="234"/>
      <c r="J85" s="234"/>
      <c r="K85" s="236"/>
      <c r="L85" s="390"/>
      <c r="M85" s="390"/>
      <c r="N85" s="235" t="s">
        <v>273</v>
      </c>
      <c r="O85" s="234"/>
      <c r="P85" s="234"/>
      <c r="Q85" s="234"/>
      <c r="R85" s="234"/>
      <c r="S85" s="234"/>
      <c r="T85" s="234"/>
      <c r="U85" s="234"/>
      <c r="V85" s="234"/>
      <c r="W85" s="234"/>
      <c r="X85" s="234"/>
      <c r="Y85" s="234"/>
      <c r="Z85" s="234"/>
      <c r="AA85" s="236"/>
      <c r="AB85" s="99"/>
      <c r="AC85" s="188" t="s">
        <v>1259</v>
      </c>
    </row>
    <row r="86" spans="1:29" ht="18" customHeight="1">
      <c r="A86" s="98"/>
      <c r="B86" s="232">
        <f>COUNTA($B$8:B85)</f>
        <v>78</v>
      </c>
      <c r="C86" s="235"/>
      <c r="D86" s="234" t="s">
        <v>378</v>
      </c>
      <c r="E86" s="234"/>
      <c r="F86" s="234"/>
      <c r="G86" s="234"/>
      <c r="H86" s="234"/>
      <c r="I86" s="234"/>
      <c r="J86" s="234"/>
      <c r="K86" s="236"/>
      <c r="L86" s="390"/>
      <c r="M86" s="390"/>
      <c r="N86" s="235" t="s">
        <v>273</v>
      </c>
      <c r="O86" s="234"/>
      <c r="P86" s="234"/>
      <c r="Q86" s="234"/>
      <c r="R86" s="234"/>
      <c r="S86" s="234"/>
      <c r="T86" s="234"/>
      <c r="U86" s="234"/>
      <c r="V86" s="234"/>
      <c r="W86" s="234"/>
      <c r="X86" s="234"/>
      <c r="Y86" s="234"/>
      <c r="Z86" s="234"/>
      <c r="AA86" s="236"/>
      <c r="AB86" s="99"/>
      <c r="AC86" s="188" t="s">
        <v>1259</v>
      </c>
    </row>
    <row r="87" spans="1:29" ht="18" customHeight="1">
      <c r="A87" s="98"/>
      <c r="B87" s="94">
        <f>COUNTA($B$8:B86)</f>
        <v>79</v>
      </c>
      <c r="C87" s="100"/>
      <c r="D87" s="29" t="s">
        <v>379</v>
      </c>
      <c r="E87" s="29"/>
      <c r="F87" s="29"/>
      <c r="G87" s="29"/>
      <c r="H87" s="29"/>
      <c r="I87" s="29"/>
      <c r="J87" s="29"/>
      <c r="K87" s="30"/>
      <c r="L87" s="278"/>
      <c r="M87" s="278"/>
      <c r="N87" s="100" t="s">
        <v>273</v>
      </c>
      <c r="O87" s="29"/>
      <c r="P87" s="29"/>
      <c r="Q87" s="29"/>
      <c r="R87" s="29"/>
      <c r="S87" s="29"/>
      <c r="T87" s="29"/>
      <c r="U87" s="29"/>
      <c r="V87" s="29"/>
      <c r="W87" s="29"/>
      <c r="X87" s="29"/>
      <c r="Y87" s="29"/>
      <c r="Z87" s="29"/>
      <c r="AA87" s="30"/>
      <c r="AB87" s="99"/>
    </row>
    <row r="88" spans="1:29" ht="18" customHeight="1">
      <c r="A88" s="98"/>
      <c r="B88" s="94">
        <f>COUNTA($B$8:B87)</f>
        <v>80</v>
      </c>
      <c r="C88" s="100"/>
      <c r="D88" s="29" t="s">
        <v>380</v>
      </c>
      <c r="E88" s="29"/>
      <c r="F88" s="29"/>
      <c r="G88" s="29"/>
      <c r="H88" s="29"/>
      <c r="I88" s="29"/>
      <c r="J88" s="29"/>
      <c r="K88" s="30"/>
      <c r="L88" s="278"/>
      <c r="M88" s="278"/>
      <c r="N88" s="100" t="s">
        <v>273</v>
      </c>
      <c r="O88" s="29"/>
      <c r="P88" s="29"/>
      <c r="Q88" s="29"/>
      <c r="R88" s="29"/>
      <c r="S88" s="29"/>
      <c r="T88" s="29"/>
      <c r="U88" s="29"/>
      <c r="V88" s="29"/>
      <c r="W88" s="29"/>
      <c r="X88" s="29"/>
      <c r="Y88" s="29"/>
      <c r="Z88" s="29"/>
      <c r="AA88" s="30"/>
      <c r="AB88" s="99"/>
    </row>
    <row r="89" spans="1:29" ht="18" customHeight="1">
      <c r="A89" s="98"/>
      <c r="B89" s="94">
        <f>COUNTA($B$8:B88)</f>
        <v>81</v>
      </c>
      <c r="C89" s="100"/>
      <c r="D89" s="29" t="s">
        <v>381</v>
      </c>
      <c r="E89" s="29"/>
      <c r="F89" s="29"/>
      <c r="G89" s="29"/>
      <c r="H89" s="29"/>
      <c r="I89" s="29"/>
      <c r="J89" s="29"/>
      <c r="K89" s="30"/>
      <c r="L89" s="278"/>
      <c r="M89" s="278"/>
      <c r="N89" s="100" t="s">
        <v>273</v>
      </c>
      <c r="O89" s="29"/>
      <c r="P89" s="29"/>
      <c r="Q89" s="29"/>
      <c r="R89" s="29"/>
      <c r="S89" s="29"/>
      <c r="T89" s="29"/>
      <c r="U89" s="29"/>
      <c r="V89" s="29"/>
      <c r="W89" s="29"/>
      <c r="X89" s="29"/>
      <c r="Y89" s="29"/>
      <c r="Z89" s="29"/>
      <c r="AA89" s="30"/>
      <c r="AB89" s="99"/>
    </row>
    <row r="90" spans="1:29" ht="18" customHeight="1">
      <c r="A90" s="98"/>
      <c r="B90" s="94">
        <f>COUNTA($B$8:B89)</f>
        <v>82</v>
      </c>
      <c r="C90" s="100"/>
      <c r="D90" s="29" t="s">
        <v>382</v>
      </c>
      <c r="E90" s="29"/>
      <c r="F90" s="29"/>
      <c r="G90" s="29"/>
      <c r="H90" s="29"/>
      <c r="I90" s="29"/>
      <c r="J90" s="29"/>
      <c r="K90" s="30"/>
      <c r="L90" s="278"/>
      <c r="M90" s="278"/>
      <c r="N90" s="100" t="s">
        <v>273</v>
      </c>
      <c r="O90" s="29"/>
      <c r="P90" s="29"/>
      <c r="Q90" s="29"/>
      <c r="R90" s="29"/>
      <c r="S90" s="29"/>
      <c r="T90" s="29"/>
      <c r="U90" s="29"/>
      <c r="V90" s="29"/>
      <c r="W90" s="29"/>
      <c r="X90" s="29"/>
      <c r="Y90" s="29"/>
      <c r="Z90" s="29"/>
      <c r="AA90" s="30"/>
      <c r="AB90" s="99"/>
    </row>
    <row r="91" spans="1:29" ht="18" customHeight="1">
      <c r="A91" s="98"/>
      <c r="B91" s="94">
        <f>COUNTA($B$8:B90)</f>
        <v>83</v>
      </c>
      <c r="C91" s="100"/>
      <c r="D91" s="29" t="s">
        <v>383</v>
      </c>
      <c r="E91" s="29"/>
      <c r="F91" s="29"/>
      <c r="G91" s="29"/>
      <c r="H91" s="29"/>
      <c r="I91" s="29"/>
      <c r="J91" s="29"/>
      <c r="K91" s="30"/>
      <c r="L91" s="278"/>
      <c r="M91" s="278"/>
      <c r="N91" s="100" t="s">
        <v>273</v>
      </c>
      <c r="O91" s="29"/>
      <c r="P91" s="29"/>
      <c r="Q91" s="29"/>
      <c r="R91" s="29"/>
      <c r="S91" s="29"/>
      <c r="T91" s="29"/>
      <c r="U91" s="29"/>
      <c r="V91" s="29"/>
      <c r="W91" s="29"/>
      <c r="X91" s="29"/>
      <c r="Y91" s="29"/>
      <c r="Z91" s="29"/>
      <c r="AA91" s="30"/>
      <c r="AB91" s="99"/>
    </row>
    <row r="92" spans="1:29" ht="18" customHeight="1">
      <c r="A92" s="98"/>
      <c r="B92" s="94">
        <f>COUNTA($B$8:B91)</f>
        <v>84</v>
      </c>
      <c r="C92" s="100"/>
      <c r="D92" s="29" t="s">
        <v>384</v>
      </c>
      <c r="E92" s="29"/>
      <c r="F92" s="29"/>
      <c r="G92" s="29"/>
      <c r="H92" s="29"/>
      <c r="I92" s="29"/>
      <c r="J92" s="29"/>
      <c r="K92" s="30"/>
      <c r="L92" s="278"/>
      <c r="M92" s="278"/>
      <c r="N92" s="100" t="s">
        <v>273</v>
      </c>
      <c r="O92" s="29"/>
      <c r="P92" s="29"/>
      <c r="Q92" s="29"/>
      <c r="R92" s="29"/>
      <c r="S92" s="29"/>
      <c r="T92" s="29"/>
      <c r="U92" s="29"/>
      <c r="V92" s="29"/>
      <c r="W92" s="29"/>
      <c r="X92" s="29"/>
      <c r="Y92" s="29"/>
      <c r="Z92" s="29"/>
      <c r="AA92" s="30"/>
      <c r="AB92" s="99"/>
    </row>
    <row r="93" spans="1:29" ht="18" customHeight="1">
      <c r="A93" s="98"/>
      <c r="B93" s="94">
        <f>COUNTA($B$8:B92)</f>
        <v>85</v>
      </c>
      <c r="C93" s="100"/>
      <c r="D93" s="29" t="s">
        <v>385</v>
      </c>
      <c r="E93" s="29"/>
      <c r="F93" s="29"/>
      <c r="G93" s="29"/>
      <c r="H93" s="29"/>
      <c r="I93" s="29"/>
      <c r="J93" s="29"/>
      <c r="K93" s="30"/>
      <c r="L93" s="278"/>
      <c r="M93" s="278"/>
      <c r="N93" s="100" t="s">
        <v>273</v>
      </c>
      <c r="O93" s="29"/>
      <c r="P93" s="29"/>
      <c r="Q93" s="29"/>
      <c r="R93" s="29"/>
      <c r="S93" s="29"/>
      <c r="T93" s="29"/>
      <c r="U93" s="29"/>
      <c r="V93" s="29"/>
      <c r="W93" s="29"/>
      <c r="X93" s="29"/>
      <c r="Y93" s="29"/>
      <c r="Z93" s="29"/>
      <c r="AA93" s="30"/>
      <c r="AB93" s="99"/>
    </row>
    <row r="94" spans="1:29" ht="18" customHeight="1">
      <c r="A94" s="98"/>
      <c r="B94" s="94">
        <f>COUNTA($B$8:B93)</f>
        <v>86</v>
      </c>
      <c r="C94" s="100"/>
      <c r="D94" s="29" t="s">
        <v>386</v>
      </c>
      <c r="E94" s="29"/>
      <c r="F94" s="29"/>
      <c r="G94" s="29"/>
      <c r="H94" s="29"/>
      <c r="I94" s="29"/>
      <c r="J94" s="29"/>
      <c r="K94" s="30"/>
      <c r="L94" s="278"/>
      <c r="M94" s="278"/>
      <c r="N94" s="100" t="s">
        <v>273</v>
      </c>
      <c r="O94" s="29"/>
      <c r="P94" s="29"/>
      <c r="Q94" s="29"/>
      <c r="R94" s="29"/>
      <c r="S94" s="29"/>
      <c r="T94" s="29"/>
      <c r="U94" s="29"/>
      <c r="V94" s="29"/>
      <c r="W94" s="29"/>
      <c r="X94" s="29"/>
      <c r="Y94" s="29"/>
      <c r="Z94" s="29"/>
      <c r="AA94" s="30"/>
      <c r="AB94" s="99"/>
    </row>
    <row r="95" spans="1:29" ht="16.5">
      <c r="A95" s="98"/>
      <c r="B95" s="232">
        <f>COUNTA($B$8:B94)</f>
        <v>87</v>
      </c>
      <c r="C95" s="235"/>
      <c r="D95" s="234" t="s">
        <v>1307</v>
      </c>
      <c r="E95" s="234"/>
      <c r="F95" s="234"/>
      <c r="G95" s="234"/>
      <c r="H95" s="234"/>
      <c r="I95" s="234"/>
      <c r="J95" s="234"/>
      <c r="K95" s="236"/>
      <c r="L95" s="390"/>
      <c r="M95" s="390"/>
      <c r="N95" s="392" t="s">
        <v>273</v>
      </c>
      <c r="O95" s="393"/>
      <c r="P95" s="393"/>
      <c r="Q95" s="393"/>
      <c r="R95" s="393"/>
      <c r="S95" s="393"/>
      <c r="T95" s="393"/>
      <c r="U95" s="393"/>
      <c r="V95" s="393"/>
      <c r="W95" s="393"/>
      <c r="X95" s="393"/>
      <c r="Y95" s="393"/>
      <c r="Z95" s="393"/>
      <c r="AA95" s="394"/>
      <c r="AB95" s="99"/>
      <c r="AC95" s="188" t="s">
        <v>1259</v>
      </c>
    </row>
    <row r="96" spans="1:29" ht="18" customHeight="1">
      <c r="A96" s="98"/>
      <c r="B96" s="232">
        <f>COUNTA($B$8:B95)</f>
        <v>88</v>
      </c>
      <c r="C96" s="235"/>
      <c r="D96" s="234" t="s">
        <v>388</v>
      </c>
      <c r="E96" s="234"/>
      <c r="F96" s="234"/>
      <c r="G96" s="234"/>
      <c r="H96" s="234"/>
      <c r="I96" s="234"/>
      <c r="J96" s="234"/>
      <c r="K96" s="236"/>
      <c r="L96" s="390"/>
      <c r="M96" s="390"/>
      <c r="N96" s="235" t="s">
        <v>273</v>
      </c>
      <c r="O96" s="234"/>
      <c r="P96" s="234"/>
      <c r="Q96" s="234"/>
      <c r="R96" s="234"/>
      <c r="S96" s="234"/>
      <c r="T96" s="234"/>
      <c r="U96" s="234"/>
      <c r="V96" s="234"/>
      <c r="W96" s="234"/>
      <c r="X96" s="234"/>
      <c r="Y96" s="234"/>
      <c r="Z96" s="234"/>
      <c r="AA96" s="236"/>
      <c r="AB96" s="99"/>
      <c r="AC96" s="188" t="s">
        <v>1259</v>
      </c>
    </row>
    <row r="97" spans="1:29" ht="18" customHeight="1">
      <c r="A97" s="98"/>
      <c r="B97" s="232">
        <f>COUNTA($B$8:B96)</f>
        <v>89</v>
      </c>
      <c r="C97" s="235" t="s">
        <v>254</v>
      </c>
      <c r="D97" s="234"/>
      <c r="E97" s="234"/>
      <c r="F97" s="234"/>
      <c r="G97" s="234"/>
      <c r="H97" s="234"/>
      <c r="I97" s="234"/>
      <c r="J97" s="234"/>
      <c r="K97" s="236"/>
      <c r="L97" s="390"/>
      <c r="M97" s="390"/>
      <c r="N97" s="235" t="s">
        <v>273</v>
      </c>
      <c r="O97" s="234"/>
      <c r="P97" s="234"/>
      <c r="Q97" s="234"/>
      <c r="R97" s="234"/>
      <c r="S97" s="234"/>
      <c r="T97" s="234"/>
      <c r="U97" s="234"/>
      <c r="V97" s="234"/>
      <c r="W97" s="234"/>
      <c r="X97" s="234"/>
      <c r="Y97" s="234"/>
      <c r="Z97" s="234"/>
      <c r="AA97" s="236"/>
      <c r="AB97" s="99"/>
      <c r="AC97" s="188" t="s">
        <v>1259</v>
      </c>
    </row>
    <row r="98" spans="1:29" ht="18" customHeight="1">
      <c r="A98" s="98"/>
      <c r="B98" s="232">
        <f>COUNTA($B$8:B97)</f>
        <v>90</v>
      </c>
      <c r="C98" s="235"/>
      <c r="D98" s="234" t="s">
        <v>179</v>
      </c>
      <c r="E98" s="234"/>
      <c r="F98" s="234"/>
      <c r="G98" s="234"/>
      <c r="H98" s="234"/>
      <c r="I98" s="234"/>
      <c r="J98" s="234"/>
      <c r="K98" s="236"/>
      <c r="L98" s="390"/>
      <c r="M98" s="390"/>
      <c r="N98" s="235" t="s">
        <v>273</v>
      </c>
      <c r="O98" s="234"/>
      <c r="P98" s="234"/>
      <c r="Q98" s="234"/>
      <c r="R98" s="234"/>
      <c r="S98" s="234"/>
      <c r="T98" s="234"/>
      <c r="U98" s="234"/>
      <c r="V98" s="234"/>
      <c r="W98" s="234"/>
      <c r="X98" s="234"/>
      <c r="Y98" s="234"/>
      <c r="Z98" s="234"/>
      <c r="AA98" s="236"/>
      <c r="AB98" s="99"/>
      <c r="AC98" s="188" t="s">
        <v>1259</v>
      </c>
    </row>
    <row r="99" spans="1:29" ht="18" customHeight="1">
      <c r="A99" s="98"/>
      <c r="B99" s="232">
        <f>COUNTA($B$8:B98)</f>
        <v>91</v>
      </c>
      <c r="C99" s="235"/>
      <c r="D99" s="234" t="s">
        <v>180</v>
      </c>
      <c r="E99" s="234"/>
      <c r="F99" s="234"/>
      <c r="G99" s="234"/>
      <c r="H99" s="234"/>
      <c r="I99" s="234"/>
      <c r="J99" s="234"/>
      <c r="K99" s="236"/>
      <c r="L99" s="390"/>
      <c r="M99" s="390"/>
      <c r="N99" s="235" t="s">
        <v>273</v>
      </c>
      <c r="O99" s="234"/>
      <c r="P99" s="234"/>
      <c r="Q99" s="234"/>
      <c r="R99" s="234"/>
      <c r="S99" s="234"/>
      <c r="T99" s="234"/>
      <c r="U99" s="234"/>
      <c r="V99" s="234"/>
      <c r="W99" s="234"/>
      <c r="X99" s="234"/>
      <c r="Y99" s="234"/>
      <c r="Z99" s="234"/>
      <c r="AA99" s="236"/>
      <c r="AB99" s="99"/>
      <c r="AC99" s="188" t="s">
        <v>1259</v>
      </c>
    </row>
    <row r="100" spans="1:29" ht="18" customHeight="1">
      <c r="A100" s="98"/>
      <c r="B100" s="232">
        <f>COUNTA($B$8:B99)</f>
        <v>92</v>
      </c>
      <c r="C100" s="235"/>
      <c r="D100" s="234" t="s">
        <v>255</v>
      </c>
      <c r="E100" s="234"/>
      <c r="F100" s="234"/>
      <c r="G100" s="234"/>
      <c r="H100" s="234"/>
      <c r="I100" s="234"/>
      <c r="J100" s="234"/>
      <c r="K100" s="236"/>
      <c r="L100" s="390"/>
      <c r="M100" s="390"/>
      <c r="N100" s="235" t="s">
        <v>273</v>
      </c>
      <c r="O100" s="234"/>
      <c r="P100" s="234"/>
      <c r="Q100" s="234"/>
      <c r="R100" s="234"/>
      <c r="S100" s="234"/>
      <c r="T100" s="234"/>
      <c r="U100" s="234"/>
      <c r="V100" s="234"/>
      <c r="W100" s="234"/>
      <c r="X100" s="234"/>
      <c r="Y100" s="234"/>
      <c r="Z100" s="234"/>
      <c r="AA100" s="236"/>
      <c r="AB100" s="99"/>
      <c r="AC100" s="188" t="s">
        <v>1259</v>
      </c>
    </row>
    <row r="101" spans="1:29" ht="18" customHeight="1">
      <c r="A101" s="98"/>
      <c r="B101" s="232">
        <f>COUNTA($B$8:B100)</f>
        <v>93</v>
      </c>
      <c r="C101" s="235"/>
      <c r="D101" s="234" t="s">
        <v>223</v>
      </c>
      <c r="E101" s="234"/>
      <c r="F101" s="234"/>
      <c r="G101" s="234"/>
      <c r="H101" s="234"/>
      <c r="I101" s="234"/>
      <c r="J101" s="234"/>
      <c r="K101" s="236"/>
      <c r="L101" s="390"/>
      <c r="M101" s="390"/>
      <c r="N101" s="235" t="s">
        <v>273</v>
      </c>
      <c r="O101" s="234"/>
      <c r="P101" s="234"/>
      <c r="Q101" s="234"/>
      <c r="R101" s="234"/>
      <c r="S101" s="234"/>
      <c r="T101" s="234"/>
      <c r="U101" s="234"/>
      <c r="V101" s="234"/>
      <c r="W101" s="234"/>
      <c r="X101" s="234"/>
      <c r="Y101" s="234"/>
      <c r="Z101" s="234"/>
      <c r="AA101" s="236"/>
      <c r="AB101" s="99"/>
      <c r="AC101" s="188" t="s">
        <v>1259</v>
      </c>
    </row>
    <row r="102" spans="1:29" ht="18" customHeight="1">
      <c r="A102" s="98"/>
      <c r="B102" s="232">
        <f>COUNTA($B$8:B101)</f>
        <v>94</v>
      </c>
      <c r="C102" s="235"/>
      <c r="D102" s="234" t="s">
        <v>256</v>
      </c>
      <c r="E102" s="234"/>
      <c r="F102" s="234"/>
      <c r="G102" s="234"/>
      <c r="H102" s="234"/>
      <c r="I102" s="234"/>
      <c r="J102" s="234"/>
      <c r="K102" s="236"/>
      <c r="L102" s="390"/>
      <c r="M102" s="390"/>
      <c r="N102" s="235" t="s">
        <v>273</v>
      </c>
      <c r="O102" s="234"/>
      <c r="P102" s="234"/>
      <c r="Q102" s="234"/>
      <c r="R102" s="234"/>
      <c r="S102" s="234"/>
      <c r="T102" s="234"/>
      <c r="U102" s="234"/>
      <c r="V102" s="234"/>
      <c r="W102" s="234"/>
      <c r="X102" s="234"/>
      <c r="Y102" s="234"/>
      <c r="Z102" s="234"/>
      <c r="AA102" s="236"/>
      <c r="AB102" s="99"/>
      <c r="AC102" s="188" t="s">
        <v>1259</v>
      </c>
    </row>
    <row r="103" spans="1:29" ht="18" customHeight="1">
      <c r="A103" s="98"/>
      <c r="B103" s="232">
        <f>COUNTA($B$8:B102)</f>
        <v>95</v>
      </c>
      <c r="C103" s="235"/>
      <c r="D103" s="234" t="s">
        <v>74</v>
      </c>
      <c r="E103" s="234"/>
      <c r="F103" s="234"/>
      <c r="G103" s="234"/>
      <c r="H103" s="234"/>
      <c r="I103" s="234"/>
      <c r="J103" s="234"/>
      <c r="K103" s="236"/>
      <c r="L103" s="390"/>
      <c r="M103" s="390"/>
      <c r="N103" s="235" t="s">
        <v>273</v>
      </c>
      <c r="O103" s="234"/>
      <c r="P103" s="234"/>
      <c r="Q103" s="234"/>
      <c r="R103" s="234"/>
      <c r="S103" s="234"/>
      <c r="T103" s="234"/>
      <c r="U103" s="234"/>
      <c r="V103" s="234"/>
      <c r="W103" s="234"/>
      <c r="X103" s="234"/>
      <c r="Y103" s="234"/>
      <c r="Z103" s="234"/>
      <c r="AA103" s="236"/>
      <c r="AB103" s="99"/>
      <c r="AC103" s="188" t="s">
        <v>1259</v>
      </c>
    </row>
    <row r="104" spans="1:29" ht="18" customHeight="1">
      <c r="A104" s="98"/>
      <c r="B104" s="232">
        <f>COUNTA($B$8:B103)</f>
        <v>96</v>
      </c>
      <c r="C104" s="235"/>
      <c r="D104" s="234" t="s">
        <v>207</v>
      </c>
      <c r="E104" s="234"/>
      <c r="F104" s="234"/>
      <c r="G104" s="234"/>
      <c r="H104" s="234"/>
      <c r="I104" s="234"/>
      <c r="J104" s="234"/>
      <c r="K104" s="236"/>
      <c r="L104" s="390"/>
      <c r="M104" s="390"/>
      <c r="N104" s="235" t="s">
        <v>273</v>
      </c>
      <c r="O104" s="234"/>
      <c r="P104" s="234"/>
      <c r="Q104" s="234"/>
      <c r="R104" s="234"/>
      <c r="S104" s="234"/>
      <c r="T104" s="234"/>
      <c r="U104" s="234"/>
      <c r="V104" s="234"/>
      <c r="W104" s="234"/>
      <c r="X104" s="234"/>
      <c r="Y104" s="234"/>
      <c r="Z104" s="234"/>
      <c r="AA104" s="236"/>
      <c r="AB104" s="99"/>
      <c r="AC104" s="188" t="s">
        <v>1259</v>
      </c>
    </row>
    <row r="105" spans="1:29" ht="18" customHeight="1">
      <c r="A105" s="98"/>
      <c r="B105" s="232">
        <f>COUNTA($B$8:B104)</f>
        <v>97</v>
      </c>
      <c r="C105" s="235"/>
      <c r="D105" s="234" t="s">
        <v>208</v>
      </c>
      <c r="E105" s="234"/>
      <c r="F105" s="234"/>
      <c r="G105" s="234"/>
      <c r="H105" s="234"/>
      <c r="I105" s="234"/>
      <c r="J105" s="234"/>
      <c r="K105" s="236"/>
      <c r="L105" s="390"/>
      <c r="M105" s="390"/>
      <c r="N105" s="235" t="s">
        <v>273</v>
      </c>
      <c r="O105" s="234"/>
      <c r="P105" s="234"/>
      <c r="Q105" s="234"/>
      <c r="R105" s="234"/>
      <c r="S105" s="234"/>
      <c r="T105" s="234"/>
      <c r="U105" s="234"/>
      <c r="V105" s="234"/>
      <c r="W105" s="234"/>
      <c r="X105" s="234"/>
      <c r="Y105" s="234"/>
      <c r="Z105" s="234"/>
      <c r="AA105" s="236"/>
      <c r="AB105" s="99"/>
      <c r="AC105" s="188" t="s">
        <v>1259</v>
      </c>
    </row>
    <row r="106" spans="1:29" ht="18" customHeight="1">
      <c r="A106" s="98"/>
      <c r="B106" s="232">
        <f>COUNTA($B$8:B105)</f>
        <v>98</v>
      </c>
      <c r="C106" s="235"/>
      <c r="D106" s="234" t="s">
        <v>209</v>
      </c>
      <c r="E106" s="234"/>
      <c r="F106" s="234"/>
      <c r="G106" s="234"/>
      <c r="H106" s="234"/>
      <c r="I106" s="234"/>
      <c r="J106" s="234"/>
      <c r="K106" s="236"/>
      <c r="L106" s="390"/>
      <c r="M106" s="390"/>
      <c r="N106" s="235" t="s">
        <v>273</v>
      </c>
      <c r="O106" s="234"/>
      <c r="P106" s="234"/>
      <c r="Q106" s="234"/>
      <c r="R106" s="234"/>
      <c r="S106" s="234"/>
      <c r="T106" s="234"/>
      <c r="U106" s="234"/>
      <c r="V106" s="234"/>
      <c r="W106" s="234"/>
      <c r="X106" s="234"/>
      <c r="Y106" s="234"/>
      <c r="Z106" s="234"/>
      <c r="AA106" s="236"/>
      <c r="AB106" s="99"/>
      <c r="AC106" s="188" t="s">
        <v>1259</v>
      </c>
    </row>
    <row r="107" spans="1:29" ht="18" customHeight="1">
      <c r="A107" s="98"/>
      <c r="B107" s="232">
        <f>COUNTA($B$8:B106)</f>
        <v>99</v>
      </c>
      <c r="C107" s="235"/>
      <c r="D107" s="234" t="s">
        <v>227</v>
      </c>
      <c r="E107" s="234"/>
      <c r="F107" s="234"/>
      <c r="G107" s="234"/>
      <c r="H107" s="234"/>
      <c r="I107" s="234"/>
      <c r="J107" s="234"/>
      <c r="K107" s="236"/>
      <c r="L107" s="390"/>
      <c r="M107" s="390"/>
      <c r="N107" s="235" t="s">
        <v>273</v>
      </c>
      <c r="O107" s="234"/>
      <c r="P107" s="234"/>
      <c r="Q107" s="234"/>
      <c r="R107" s="234"/>
      <c r="S107" s="234"/>
      <c r="T107" s="234"/>
      <c r="U107" s="234"/>
      <c r="V107" s="234"/>
      <c r="W107" s="234"/>
      <c r="X107" s="234"/>
      <c r="Y107" s="234"/>
      <c r="Z107" s="234"/>
      <c r="AA107" s="236"/>
      <c r="AB107" s="99"/>
      <c r="AC107" s="188" t="s">
        <v>1259</v>
      </c>
    </row>
    <row r="108" spans="1:29" ht="18" customHeight="1">
      <c r="A108" s="98"/>
      <c r="B108" s="232">
        <f>COUNTA($B$8:B107)</f>
        <v>100</v>
      </c>
      <c r="C108" s="235"/>
      <c r="D108" s="234" t="s">
        <v>228</v>
      </c>
      <c r="E108" s="234"/>
      <c r="F108" s="234"/>
      <c r="G108" s="234"/>
      <c r="H108" s="234"/>
      <c r="I108" s="234"/>
      <c r="J108" s="234"/>
      <c r="K108" s="236"/>
      <c r="L108" s="390"/>
      <c r="M108" s="390"/>
      <c r="N108" s="235" t="s">
        <v>273</v>
      </c>
      <c r="O108" s="234"/>
      <c r="P108" s="234"/>
      <c r="Q108" s="234"/>
      <c r="R108" s="234"/>
      <c r="S108" s="234"/>
      <c r="T108" s="234"/>
      <c r="U108" s="234"/>
      <c r="V108" s="234"/>
      <c r="W108" s="234"/>
      <c r="X108" s="234"/>
      <c r="Y108" s="234"/>
      <c r="Z108" s="234"/>
      <c r="AA108" s="236"/>
      <c r="AB108" s="99"/>
      <c r="AC108" s="188" t="s">
        <v>1259</v>
      </c>
    </row>
    <row r="109" spans="1:29" ht="18" customHeight="1">
      <c r="A109" s="102"/>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4"/>
    </row>
    <row r="110" spans="1:29" ht="18" customHeight="1">
      <c r="A110" s="98"/>
      <c r="B110" s="95" t="s">
        <v>14</v>
      </c>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9"/>
    </row>
    <row r="111" spans="1:29" ht="18" customHeight="1">
      <c r="A111" s="98"/>
      <c r="B111" s="95"/>
      <c r="C111" s="97" t="s">
        <v>936</v>
      </c>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9"/>
      <c r="AC111" s="132" t="s">
        <v>934</v>
      </c>
    </row>
    <row r="112" spans="1:29" ht="18" customHeight="1">
      <c r="A112" s="98"/>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9"/>
    </row>
    <row r="113" spans="1:32" ht="18" customHeight="1">
      <c r="A113" s="98"/>
      <c r="B113" s="95" t="s">
        <v>835</v>
      </c>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9"/>
    </row>
    <row r="114" spans="1:32" ht="18" customHeight="1">
      <c r="A114" s="98"/>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9"/>
    </row>
    <row r="115" spans="1:32" ht="18" customHeight="1">
      <c r="A115" s="98"/>
      <c r="B115" s="95" t="s">
        <v>806</v>
      </c>
      <c r="C115" s="10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9"/>
      <c r="AC115" s="70" t="s">
        <v>1032</v>
      </c>
      <c r="AF115" s="27"/>
    </row>
    <row r="116" spans="1:32" ht="18" customHeight="1">
      <c r="A116" s="98"/>
      <c r="B116" s="95"/>
      <c r="C116" s="319" t="s">
        <v>483</v>
      </c>
      <c r="D116" s="319"/>
      <c r="E116" s="319"/>
      <c r="F116" s="319"/>
      <c r="G116" s="333" t="s">
        <v>615</v>
      </c>
      <c r="H116" s="333"/>
      <c r="I116" s="333"/>
      <c r="J116" s="333"/>
      <c r="K116" s="333"/>
      <c r="L116" s="333"/>
      <c r="M116" s="333"/>
      <c r="N116" s="333"/>
      <c r="O116" s="333"/>
      <c r="P116" s="333"/>
      <c r="Q116" s="333"/>
      <c r="R116" s="333"/>
      <c r="S116" s="333"/>
      <c r="T116" s="333"/>
      <c r="U116" s="333"/>
      <c r="V116" s="333"/>
      <c r="W116" s="333"/>
      <c r="X116" s="333"/>
      <c r="Y116" s="333"/>
      <c r="Z116" s="333"/>
      <c r="AA116" s="333"/>
      <c r="AB116" s="99"/>
      <c r="AC116" s="70"/>
      <c r="AD116" s="36"/>
      <c r="AF116" s="27"/>
    </row>
    <row r="117" spans="1:32" ht="18" customHeight="1">
      <c r="A117" s="98"/>
      <c r="B117" s="95"/>
      <c r="C117" s="323" t="s">
        <v>35</v>
      </c>
      <c r="D117" s="324"/>
      <c r="E117" s="324"/>
      <c r="F117" s="325"/>
      <c r="G117" s="332" t="s">
        <v>616</v>
      </c>
      <c r="H117" s="332"/>
      <c r="I117" s="332"/>
      <c r="J117" s="332"/>
      <c r="K117" s="332"/>
      <c r="L117" s="332"/>
      <c r="M117" s="332"/>
      <c r="N117" s="332"/>
      <c r="O117" s="332"/>
      <c r="P117" s="332"/>
      <c r="Q117" s="332"/>
      <c r="R117" s="332"/>
      <c r="S117" s="332"/>
      <c r="T117" s="332"/>
      <c r="U117" s="332"/>
      <c r="V117" s="332"/>
      <c r="W117" s="332"/>
      <c r="X117" s="332"/>
      <c r="Y117" s="332"/>
      <c r="Z117" s="332"/>
      <c r="AA117" s="332"/>
      <c r="AB117" s="99"/>
      <c r="AC117" s="70"/>
      <c r="AF117" s="27"/>
    </row>
    <row r="118" spans="1:32" ht="18" customHeight="1">
      <c r="A118" s="98"/>
      <c r="B118" s="95"/>
      <c r="C118" s="326"/>
      <c r="D118" s="327"/>
      <c r="E118" s="327"/>
      <c r="F118" s="328"/>
      <c r="G118" s="333" t="s">
        <v>617</v>
      </c>
      <c r="H118" s="333"/>
      <c r="I118" s="333"/>
      <c r="J118" s="333"/>
      <c r="K118" s="333"/>
      <c r="L118" s="333"/>
      <c r="M118" s="333"/>
      <c r="N118" s="333"/>
      <c r="O118" s="333"/>
      <c r="P118" s="333"/>
      <c r="Q118" s="333"/>
      <c r="R118" s="333"/>
      <c r="S118" s="333"/>
      <c r="T118" s="333"/>
      <c r="U118" s="333"/>
      <c r="V118" s="333"/>
      <c r="W118" s="333"/>
      <c r="X118" s="333"/>
      <c r="Y118" s="333"/>
      <c r="Z118" s="333"/>
      <c r="AA118" s="333"/>
      <c r="AB118" s="99"/>
      <c r="AC118" s="70"/>
      <c r="AF118" s="27"/>
    </row>
    <row r="119" spans="1:32" ht="18" customHeight="1">
      <c r="A119" s="98"/>
      <c r="B119" s="95"/>
      <c r="C119" s="329"/>
      <c r="D119" s="330"/>
      <c r="E119" s="330"/>
      <c r="F119" s="331"/>
      <c r="G119" s="333" t="s">
        <v>618</v>
      </c>
      <c r="H119" s="333"/>
      <c r="I119" s="333"/>
      <c r="J119" s="333"/>
      <c r="K119" s="333"/>
      <c r="L119" s="333"/>
      <c r="M119" s="333"/>
      <c r="N119" s="333"/>
      <c r="O119" s="333"/>
      <c r="P119" s="333"/>
      <c r="Q119" s="333"/>
      <c r="R119" s="333"/>
      <c r="S119" s="333"/>
      <c r="T119" s="333"/>
      <c r="U119" s="333"/>
      <c r="V119" s="333"/>
      <c r="W119" s="333"/>
      <c r="X119" s="333"/>
      <c r="Y119" s="333"/>
      <c r="Z119" s="333"/>
      <c r="AA119" s="333"/>
      <c r="AB119" s="99"/>
      <c r="AC119" s="70"/>
      <c r="AF119" s="27"/>
    </row>
    <row r="120" spans="1:32" ht="18" customHeight="1">
      <c r="A120" s="98"/>
      <c r="B120" s="95"/>
      <c r="C120" s="319" t="s">
        <v>613</v>
      </c>
      <c r="D120" s="319"/>
      <c r="E120" s="319"/>
      <c r="F120" s="319"/>
      <c r="G120" s="320" t="s">
        <v>619</v>
      </c>
      <c r="H120" s="321"/>
      <c r="I120" s="321"/>
      <c r="J120" s="321"/>
      <c r="K120" s="321"/>
      <c r="L120" s="321"/>
      <c r="M120" s="321"/>
      <c r="N120" s="321"/>
      <c r="O120" s="321"/>
      <c r="P120" s="321"/>
      <c r="Q120" s="321"/>
      <c r="R120" s="321"/>
      <c r="S120" s="321"/>
      <c r="T120" s="321"/>
      <c r="U120" s="321"/>
      <c r="V120" s="321"/>
      <c r="W120" s="321"/>
      <c r="X120" s="321"/>
      <c r="Y120" s="321"/>
      <c r="Z120" s="321"/>
      <c r="AA120" s="322"/>
      <c r="AB120" s="99"/>
      <c r="AC120" s="70"/>
      <c r="AF120" s="27"/>
    </row>
    <row r="121" spans="1:32" ht="18" customHeight="1">
      <c r="A121" s="98"/>
      <c r="B121" s="95"/>
      <c r="C121" s="323" t="s">
        <v>17</v>
      </c>
      <c r="D121" s="324"/>
      <c r="E121" s="324"/>
      <c r="F121" s="325"/>
      <c r="G121" s="332" t="s">
        <v>622</v>
      </c>
      <c r="H121" s="332"/>
      <c r="I121" s="332"/>
      <c r="J121" s="332"/>
      <c r="K121" s="332"/>
      <c r="L121" s="332"/>
      <c r="M121" s="332"/>
      <c r="N121" s="332"/>
      <c r="O121" s="332"/>
      <c r="P121" s="332"/>
      <c r="Q121" s="332"/>
      <c r="R121" s="332"/>
      <c r="S121" s="332"/>
      <c r="T121" s="332"/>
      <c r="U121" s="332"/>
      <c r="V121" s="332"/>
      <c r="W121" s="332"/>
      <c r="X121" s="332"/>
      <c r="Y121" s="332"/>
      <c r="Z121" s="332"/>
      <c r="AA121" s="332"/>
      <c r="AB121" s="99"/>
      <c r="AC121" s="70"/>
      <c r="AF121" s="27"/>
    </row>
    <row r="122" spans="1:32" ht="18" customHeight="1">
      <c r="A122" s="98"/>
      <c r="B122" s="95"/>
      <c r="C122" s="326"/>
      <c r="D122" s="327"/>
      <c r="E122" s="327"/>
      <c r="F122" s="328"/>
      <c r="G122" s="333" t="s">
        <v>620</v>
      </c>
      <c r="H122" s="333"/>
      <c r="I122" s="333"/>
      <c r="J122" s="333"/>
      <c r="K122" s="333"/>
      <c r="L122" s="333"/>
      <c r="M122" s="333"/>
      <c r="N122" s="333"/>
      <c r="O122" s="333"/>
      <c r="P122" s="333"/>
      <c r="Q122" s="333"/>
      <c r="R122" s="333"/>
      <c r="S122" s="333"/>
      <c r="T122" s="333"/>
      <c r="U122" s="333"/>
      <c r="V122" s="333"/>
      <c r="W122" s="333"/>
      <c r="X122" s="333"/>
      <c r="Y122" s="333"/>
      <c r="Z122" s="333"/>
      <c r="AA122" s="333"/>
      <c r="AB122" s="99"/>
      <c r="AC122" s="70"/>
      <c r="AF122" s="27"/>
    </row>
    <row r="123" spans="1:32" ht="18" customHeight="1">
      <c r="A123" s="98"/>
      <c r="B123" s="95"/>
      <c r="C123" s="329"/>
      <c r="D123" s="330"/>
      <c r="E123" s="330"/>
      <c r="F123" s="331"/>
      <c r="G123" s="333" t="s">
        <v>621</v>
      </c>
      <c r="H123" s="333"/>
      <c r="I123" s="333"/>
      <c r="J123" s="333"/>
      <c r="K123" s="333"/>
      <c r="L123" s="333"/>
      <c r="M123" s="333"/>
      <c r="N123" s="333"/>
      <c r="O123" s="333"/>
      <c r="P123" s="333"/>
      <c r="Q123" s="333"/>
      <c r="R123" s="333"/>
      <c r="S123" s="333"/>
      <c r="T123" s="333"/>
      <c r="U123" s="333"/>
      <c r="V123" s="333"/>
      <c r="W123" s="333"/>
      <c r="X123" s="333"/>
      <c r="Y123" s="333"/>
      <c r="Z123" s="333"/>
      <c r="AA123" s="333"/>
      <c r="AB123" s="99"/>
      <c r="AC123" s="70"/>
      <c r="AF123" s="27"/>
    </row>
    <row r="124" spans="1:32" ht="18" customHeight="1">
      <c r="A124" s="98"/>
      <c r="B124" s="95"/>
      <c r="C124" s="319" t="s">
        <v>613</v>
      </c>
      <c r="D124" s="319"/>
      <c r="E124" s="319"/>
      <c r="F124" s="319"/>
      <c r="G124" s="320" t="s">
        <v>623</v>
      </c>
      <c r="H124" s="321"/>
      <c r="I124" s="321"/>
      <c r="J124" s="321"/>
      <c r="K124" s="321"/>
      <c r="L124" s="321"/>
      <c r="M124" s="321"/>
      <c r="N124" s="321"/>
      <c r="O124" s="321"/>
      <c r="P124" s="321"/>
      <c r="Q124" s="321"/>
      <c r="R124" s="321"/>
      <c r="S124" s="321"/>
      <c r="T124" s="321"/>
      <c r="U124" s="321"/>
      <c r="V124" s="321"/>
      <c r="W124" s="321"/>
      <c r="X124" s="321"/>
      <c r="Y124" s="321"/>
      <c r="Z124" s="321"/>
      <c r="AA124" s="322"/>
      <c r="AB124" s="99"/>
      <c r="AC124" s="70"/>
      <c r="AF124" s="27"/>
    </row>
    <row r="125" spans="1:32" ht="18" customHeight="1">
      <c r="A125" s="98"/>
      <c r="B125" s="95"/>
      <c r="C125" s="323" t="s">
        <v>17</v>
      </c>
      <c r="D125" s="324"/>
      <c r="E125" s="324"/>
      <c r="F125" s="325"/>
      <c r="G125" s="332" t="s">
        <v>624</v>
      </c>
      <c r="H125" s="332"/>
      <c r="I125" s="332"/>
      <c r="J125" s="332"/>
      <c r="K125" s="332"/>
      <c r="L125" s="332"/>
      <c r="M125" s="332"/>
      <c r="N125" s="332"/>
      <c r="O125" s="332"/>
      <c r="P125" s="332"/>
      <c r="Q125" s="332"/>
      <c r="R125" s="332"/>
      <c r="S125" s="332"/>
      <c r="T125" s="332"/>
      <c r="U125" s="332"/>
      <c r="V125" s="332"/>
      <c r="W125" s="332"/>
      <c r="X125" s="332"/>
      <c r="Y125" s="332"/>
      <c r="Z125" s="332"/>
      <c r="AA125" s="332"/>
      <c r="AB125" s="99"/>
      <c r="AC125" s="70"/>
      <c r="AF125" s="27"/>
    </row>
    <row r="126" spans="1:32" ht="18" customHeight="1">
      <c r="A126" s="98"/>
      <c r="B126" s="95"/>
      <c r="C126" s="326"/>
      <c r="D126" s="327"/>
      <c r="E126" s="327"/>
      <c r="F126" s="328"/>
      <c r="G126" s="333" t="s">
        <v>625</v>
      </c>
      <c r="H126" s="333"/>
      <c r="I126" s="333"/>
      <c r="J126" s="333"/>
      <c r="K126" s="333"/>
      <c r="L126" s="333"/>
      <c r="M126" s="333"/>
      <c r="N126" s="333"/>
      <c r="O126" s="333"/>
      <c r="P126" s="333"/>
      <c r="Q126" s="333"/>
      <c r="R126" s="333"/>
      <c r="S126" s="333"/>
      <c r="T126" s="333"/>
      <c r="U126" s="333"/>
      <c r="V126" s="333"/>
      <c r="W126" s="333"/>
      <c r="X126" s="333"/>
      <c r="Y126" s="333"/>
      <c r="Z126" s="333"/>
      <c r="AA126" s="333"/>
      <c r="AB126" s="99"/>
      <c r="AC126" s="70"/>
      <c r="AF126" s="27"/>
    </row>
    <row r="127" spans="1:32" ht="18" customHeight="1">
      <c r="A127" s="98"/>
      <c r="B127" s="95"/>
      <c r="C127" s="329"/>
      <c r="D127" s="330"/>
      <c r="E127" s="330"/>
      <c r="F127" s="331"/>
      <c r="G127" s="333" t="s">
        <v>626</v>
      </c>
      <c r="H127" s="333"/>
      <c r="I127" s="333"/>
      <c r="J127" s="333"/>
      <c r="K127" s="333"/>
      <c r="L127" s="333"/>
      <c r="M127" s="333"/>
      <c r="N127" s="333"/>
      <c r="O127" s="333"/>
      <c r="P127" s="333"/>
      <c r="Q127" s="333"/>
      <c r="R127" s="333"/>
      <c r="S127" s="333"/>
      <c r="T127" s="333"/>
      <c r="U127" s="333"/>
      <c r="V127" s="333"/>
      <c r="W127" s="333"/>
      <c r="X127" s="333"/>
      <c r="Y127" s="333"/>
      <c r="Z127" s="333"/>
      <c r="AA127" s="333"/>
      <c r="AB127" s="99"/>
      <c r="AC127" s="70"/>
      <c r="AF127" s="27"/>
    </row>
    <row r="128" spans="1:32" ht="18" customHeight="1">
      <c r="A128" s="98"/>
      <c r="B128" s="95"/>
      <c r="C128" s="121"/>
      <c r="D128" s="96"/>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9"/>
      <c r="AC128" s="70"/>
    </row>
    <row r="129" spans="1:32" ht="18" customHeight="1">
      <c r="A129" s="98"/>
      <c r="B129" s="95"/>
      <c r="C129" s="122" t="s">
        <v>657</v>
      </c>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9"/>
      <c r="AC129" s="70"/>
      <c r="AF129" s="27"/>
    </row>
    <row r="130" spans="1:32" ht="18" customHeight="1">
      <c r="A130" s="98"/>
      <c r="B130" s="95"/>
      <c r="C130" s="95"/>
      <c r="D130" s="95"/>
      <c r="E130" s="95"/>
      <c r="F130" s="95"/>
      <c r="G130" s="95"/>
      <c r="H130" s="95"/>
      <c r="I130" s="95"/>
      <c r="J130" s="95"/>
      <c r="K130" s="95"/>
      <c r="L130" s="96"/>
      <c r="M130" s="96"/>
      <c r="N130" s="96"/>
      <c r="O130" s="96"/>
      <c r="P130" s="96"/>
      <c r="Q130" s="96"/>
      <c r="R130" s="96"/>
      <c r="S130" s="96"/>
      <c r="T130" s="96"/>
      <c r="U130" s="96"/>
      <c r="V130" s="96"/>
      <c r="W130" s="96"/>
      <c r="X130" s="96"/>
      <c r="Y130" s="96"/>
      <c r="Z130" s="96"/>
      <c r="AA130" s="96"/>
      <c r="AB130" s="99"/>
      <c r="AC130" s="70"/>
      <c r="AF130" s="27"/>
    </row>
    <row r="131" spans="1:32" ht="18" customHeight="1">
      <c r="A131" s="98"/>
      <c r="B131" s="95"/>
      <c r="C131" s="105" t="s">
        <v>852</v>
      </c>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9"/>
      <c r="AC131" s="70"/>
      <c r="AF131" s="27"/>
    </row>
    <row r="132" spans="1:32" ht="18" customHeight="1">
      <c r="A132" s="98"/>
      <c r="B132" s="95"/>
      <c r="C132" s="337" t="s">
        <v>7</v>
      </c>
      <c r="D132" s="337"/>
      <c r="E132" s="343" t="s">
        <v>9</v>
      </c>
      <c r="F132" s="344"/>
      <c r="G132" s="344"/>
      <c r="H132" s="344"/>
      <c r="I132" s="344"/>
      <c r="J132" s="344"/>
      <c r="K132" s="345"/>
      <c r="L132" s="343" t="s">
        <v>18</v>
      </c>
      <c r="M132" s="344"/>
      <c r="N132" s="344"/>
      <c r="O132" s="344"/>
      <c r="P132" s="344"/>
      <c r="Q132" s="344"/>
      <c r="R132" s="344"/>
      <c r="S132" s="344"/>
      <c r="T132" s="344"/>
      <c r="U132" s="344"/>
      <c r="V132" s="344"/>
      <c r="W132" s="344"/>
      <c r="X132" s="344"/>
      <c r="Y132" s="344"/>
      <c r="Z132" s="344"/>
      <c r="AA132" s="345"/>
      <c r="AB132" s="99"/>
      <c r="AC132" s="70"/>
      <c r="AF132" s="27"/>
    </row>
    <row r="133" spans="1:32" ht="18" customHeight="1">
      <c r="A133" s="98"/>
      <c r="B133" s="95"/>
      <c r="C133" s="278">
        <v>1</v>
      </c>
      <c r="D133" s="278"/>
      <c r="E133" s="101" t="s">
        <v>627</v>
      </c>
      <c r="F133" s="29"/>
      <c r="G133" s="29"/>
      <c r="H133" s="29"/>
      <c r="I133" s="29"/>
      <c r="J133" s="29"/>
      <c r="K133" s="30"/>
      <c r="L133" s="100"/>
      <c r="M133" s="29"/>
      <c r="N133" s="29"/>
      <c r="O133" s="29"/>
      <c r="P133" s="29"/>
      <c r="Q133" s="29"/>
      <c r="R133" s="29"/>
      <c r="S133" s="29"/>
      <c r="T133" s="29"/>
      <c r="U133" s="29"/>
      <c r="V133" s="29"/>
      <c r="W133" s="29"/>
      <c r="X133" s="29"/>
      <c r="Y133" s="29"/>
      <c r="Z133" s="29"/>
      <c r="AA133" s="30"/>
      <c r="AB133" s="99"/>
      <c r="AC133" s="70"/>
      <c r="AF133" s="27"/>
    </row>
    <row r="134" spans="1:32" ht="18" customHeight="1">
      <c r="A134" s="98"/>
      <c r="B134" s="95"/>
      <c r="C134" s="278">
        <v>2</v>
      </c>
      <c r="D134" s="278"/>
      <c r="E134" s="137"/>
      <c r="F134" s="29" t="s">
        <v>284</v>
      </c>
      <c r="G134" s="29"/>
      <c r="H134" s="29"/>
      <c r="I134" s="29"/>
      <c r="J134" s="29"/>
      <c r="K134" s="30"/>
      <c r="L134" s="100" t="s">
        <v>628</v>
      </c>
      <c r="M134" s="29"/>
      <c r="N134" s="29"/>
      <c r="O134" s="29"/>
      <c r="P134" s="29"/>
      <c r="Q134" s="29"/>
      <c r="R134" s="29"/>
      <c r="S134" s="29"/>
      <c r="T134" s="29"/>
      <c r="U134" s="29"/>
      <c r="V134" s="29"/>
      <c r="W134" s="29"/>
      <c r="X134" s="29"/>
      <c r="Y134" s="29"/>
      <c r="Z134" s="29"/>
      <c r="AA134" s="30"/>
      <c r="AB134" s="99"/>
      <c r="AC134" s="70"/>
      <c r="AF134" s="27"/>
    </row>
    <row r="135" spans="1:32" ht="18" customHeight="1">
      <c r="A135" s="98"/>
      <c r="B135" s="95"/>
      <c r="C135" s="121"/>
      <c r="D135" s="96"/>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9"/>
      <c r="AC135" s="70"/>
    </row>
    <row r="136" spans="1:32" ht="18" customHeight="1">
      <c r="A136" s="98"/>
      <c r="B136" s="95"/>
      <c r="C136" s="105" t="s">
        <v>853</v>
      </c>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9"/>
      <c r="AC136" s="70"/>
      <c r="AF136" s="27"/>
    </row>
    <row r="137" spans="1:32" ht="18" customHeight="1">
      <c r="A137" s="98"/>
      <c r="B137" s="95"/>
      <c r="C137" s="319" t="s">
        <v>483</v>
      </c>
      <c r="D137" s="319"/>
      <c r="E137" s="319"/>
      <c r="F137" s="319"/>
      <c r="G137" s="333" t="s">
        <v>629</v>
      </c>
      <c r="H137" s="333"/>
      <c r="I137" s="333"/>
      <c r="J137" s="333"/>
      <c r="K137" s="333"/>
      <c r="L137" s="333"/>
      <c r="M137" s="333"/>
      <c r="N137" s="333"/>
      <c r="O137" s="333"/>
      <c r="P137" s="333"/>
      <c r="Q137" s="333"/>
      <c r="R137" s="333"/>
      <c r="S137" s="333"/>
      <c r="T137" s="333"/>
      <c r="U137" s="333"/>
      <c r="V137" s="333"/>
      <c r="W137" s="333"/>
      <c r="X137" s="333"/>
      <c r="Y137" s="333"/>
      <c r="Z137" s="333"/>
      <c r="AA137" s="333"/>
      <c r="AB137" s="99"/>
      <c r="AC137" s="70"/>
      <c r="AD137" s="36"/>
      <c r="AF137" s="27"/>
    </row>
    <row r="138" spans="1:32" ht="36" customHeight="1">
      <c r="A138" s="98"/>
      <c r="B138" s="95"/>
      <c r="C138" s="319" t="s">
        <v>637</v>
      </c>
      <c r="D138" s="319"/>
      <c r="E138" s="319"/>
      <c r="F138" s="319"/>
      <c r="G138" s="332" t="s">
        <v>638</v>
      </c>
      <c r="H138" s="332"/>
      <c r="I138" s="332"/>
      <c r="J138" s="332"/>
      <c r="K138" s="332"/>
      <c r="L138" s="332"/>
      <c r="M138" s="332"/>
      <c r="N138" s="332"/>
      <c r="O138" s="332"/>
      <c r="P138" s="332"/>
      <c r="Q138" s="332"/>
      <c r="R138" s="332"/>
      <c r="S138" s="332"/>
      <c r="T138" s="332"/>
      <c r="U138" s="332"/>
      <c r="V138" s="332"/>
      <c r="W138" s="332"/>
      <c r="X138" s="332"/>
      <c r="Y138" s="332"/>
      <c r="Z138" s="332"/>
      <c r="AA138" s="332"/>
      <c r="AB138" s="99"/>
      <c r="AC138" s="70"/>
      <c r="AD138" s="36"/>
      <c r="AF138" s="27"/>
    </row>
    <row r="139" spans="1:32" ht="18" customHeight="1">
      <c r="A139" s="98"/>
      <c r="B139" s="95"/>
      <c r="C139" s="319" t="s">
        <v>640</v>
      </c>
      <c r="D139" s="319"/>
      <c r="E139" s="319"/>
      <c r="F139" s="319"/>
      <c r="G139" s="333" t="s">
        <v>639</v>
      </c>
      <c r="H139" s="333"/>
      <c r="I139" s="333"/>
      <c r="J139" s="333"/>
      <c r="K139" s="333"/>
      <c r="L139" s="333"/>
      <c r="M139" s="333"/>
      <c r="N139" s="333"/>
      <c r="O139" s="333"/>
      <c r="P139" s="333"/>
      <c r="Q139" s="333"/>
      <c r="R139" s="333"/>
      <c r="S139" s="333"/>
      <c r="T139" s="333"/>
      <c r="U139" s="333"/>
      <c r="V139" s="333"/>
      <c r="W139" s="333"/>
      <c r="X139" s="333"/>
      <c r="Y139" s="333"/>
      <c r="Z139" s="333"/>
      <c r="AA139" s="333"/>
      <c r="AB139" s="99"/>
      <c r="AC139" s="70"/>
      <c r="AD139" s="36"/>
      <c r="AF139" s="27"/>
    </row>
    <row r="140" spans="1:32" ht="18" customHeight="1">
      <c r="A140" s="98"/>
      <c r="B140" s="95"/>
      <c r="C140" s="323" t="s">
        <v>35</v>
      </c>
      <c r="D140" s="324"/>
      <c r="E140" s="324"/>
      <c r="F140" s="325"/>
      <c r="G140" s="332" t="s">
        <v>630</v>
      </c>
      <c r="H140" s="332"/>
      <c r="I140" s="332"/>
      <c r="J140" s="332"/>
      <c r="K140" s="332"/>
      <c r="L140" s="332"/>
      <c r="M140" s="332"/>
      <c r="N140" s="332"/>
      <c r="O140" s="332"/>
      <c r="P140" s="332"/>
      <c r="Q140" s="332"/>
      <c r="R140" s="332"/>
      <c r="S140" s="332"/>
      <c r="T140" s="332"/>
      <c r="U140" s="332"/>
      <c r="V140" s="332"/>
      <c r="W140" s="332"/>
      <c r="X140" s="332"/>
      <c r="Y140" s="332"/>
      <c r="Z140" s="332"/>
      <c r="AA140" s="332"/>
      <c r="AB140" s="99"/>
      <c r="AC140" s="70"/>
      <c r="AF140" s="27"/>
    </row>
    <row r="141" spans="1:32" ht="18" customHeight="1">
      <c r="A141" s="98"/>
      <c r="B141" s="95"/>
      <c r="C141" s="326"/>
      <c r="D141" s="327"/>
      <c r="E141" s="327"/>
      <c r="F141" s="328"/>
      <c r="G141" s="333" t="s">
        <v>631</v>
      </c>
      <c r="H141" s="333"/>
      <c r="I141" s="333"/>
      <c r="J141" s="333"/>
      <c r="K141" s="333"/>
      <c r="L141" s="333"/>
      <c r="M141" s="333"/>
      <c r="N141" s="333"/>
      <c r="O141" s="333"/>
      <c r="P141" s="333"/>
      <c r="Q141" s="333"/>
      <c r="R141" s="333"/>
      <c r="S141" s="333"/>
      <c r="T141" s="333"/>
      <c r="U141" s="333"/>
      <c r="V141" s="333"/>
      <c r="W141" s="333"/>
      <c r="X141" s="333"/>
      <c r="Y141" s="333"/>
      <c r="Z141" s="333"/>
      <c r="AA141" s="333"/>
      <c r="AB141" s="99"/>
      <c r="AC141" s="70"/>
      <c r="AF141" s="27"/>
    </row>
    <row r="142" spans="1:32" ht="18" customHeight="1">
      <c r="A142" s="98"/>
      <c r="B142" s="95"/>
      <c r="C142" s="329"/>
      <c r="D142" s="330"/>
      <c r="E142" s="330"/>
      <c r="F142" s="331"/>
      <c r="G142" s="333" t="s">
        <v>632</v>
      </c>
      <c r="H142" s="333"/>
      <c r="I142" s="333"/>
      <c r="J142" s="333"/>
      <c r="K142" s="333"/>
      <c r="L142" s="333"/>
      <c r="M142" s="333"/>
      <c r="N142" s="333"/>
      <c r="O142" s="333"/>
      <c r="P142" s="333"/>
      <c r="Q142" s="333"/>
      <c r="R142" s="333"/>
      <c r="S142" s="333"/>
      <c r="T142" s="333"/>
      <c r="U142" s="333"/>
      <c r="V142" s="333"/>
      <c r="W142" s="333"/>
      <c r="X142" s="333"/>
      <c r="Y142" s="333"/>
      <c r="Z142" s="333"/>
      <c r="AA142" s="333"/>
      <c r="AB142" s="99"/>
      <c r="AC142" s="70"/>
      <c r="AF142" s="27"/>
    </row>
    <row r="143" spans="1:32" ht="18" customHeight="1">
      <c r="A143" s="98"/>
      <c r="B143" s="95"/>
      <c r="C143" s="319" t="s">
        <v>613</v>
      </c>
      <c r="D143" s="319"/>
      <c r="E143" s="319"/>
      <c r="F143" s="319"/>
      <c r="G143" s="320" t="s">
        <v>633</v>
      </c>
      <c r="H143" s="321"/>
      <c r="I143" s="321"/>
      <c r="J143" s="321"/>
      <c r="K143" s="321"/>
      <c r="L143" s="321"/>
      <c r="M143" s="321"/>
      <c r="N143" s="321"/>
      <c r="O143" s="321"/>
      <c r="P143" s="321"/>
      <c r="Q143" s="321"/>
      <c r="R143" s="321"/>
      <c r="S143" s="321"/>
      <c r="T143" s="321"/>
      <c r="U143" s="321"/>
      <c r="V143" s="321"/>
      <c r="W143" s="321"/>
      <c r="X143" s="321"/>
      <c r="Y143" s="321"/>
      <c r="Z143" s="321"/>
      <c r="AA143" s="322"/>
      <c r="AB143" s="99"/>
      <c r="AC143" s="70"/>
      <c r="AF143" s="27"/>
    </row>
    <row r="144" spans="1:32" ht="18" customHeight="1">
      <c r="A144" s="98"/>
      <c r="B144" s="95"/>
      <c r="C144" s="323" t="s">
        <v>17</v>
      </c>
      <c r="D144" s="324"/>
      <c r="E144" s="324"/>
      <c r="F144" s="325"/>
      <c r="G144" s="332" t="s">
        <v>636</v>
      </c>
      <c r="H144" s="332"/>
      <c r="I144" s="332"/>
      <c r="J144" s="332"/>
      <c r="K144" s="332"/>
      <c r="L144" s="332"/>
      <c r="M144" s="332"/>
      <c r="N144" s="332"/>
      <c r="O144" s="332"/>
      <c r="P144" s="332"/>
      <c r="Q144" s="332"/>
      <c r="R144" s="332"/>
      <c r="S144" s="332"/>
      <c r="T144" s="332"/>
      <c r="U144" s="332"/>
      <c r="V144" s="332"/>
      <c r="W144" s="332"/>
      <c r="X144" s="332"/>
      <c r="Y144" s="332"/>
      <c r="Z144" s="332"/>
      <c r="AA144" s="332"/>
      <c r="AB144" s="99"/>
      <c r="AC144" s="70"/>
      <c r="AF144" s="27"/>
    </row>
    <row r="145" spans="1:32" ht="18" customHeight="1">
      <c r="A145" s="98"/>
      <c r="B145" s="95"/>
      <c r="C145" s="326"/>
      <c r="D145" s="327"/>
      <c r="E145" s="327"/>
      <c r="F145" s="328"/>
      <c r="G145" s="333" t="s">
        <v>634</v>
      </c>
      <c r="H145" s="333"/>
      <c r="I145" s="333"/>
      <c r="J145" s="333"/>
      <c r="K145" s="333"/>
      <c r="L145" s="333"/>
      <c r="M145" s="333"/>
      <c r="N145" s="333"/>
      <c r="O145" s="333"/>
      <c r="P145" s="333"/>
      <c r="Q145" s="333"/>
      <c r="R145" s="333"/>
      <c r="S145" s="333"/>
      <c r="T145" s="333"/>
      <c r="U145" s="333"/>
      <c r="V145" s="333"/>
      <c r="W145" s="333"/>
      <c r="X145" s="333"/>
      <c r="Y145" s="333"/>
      <c r="Z145" s="333"/>
      <c r="AA145" s="333"/>
      <c r="AB145" s="99"/>
      <c r="AC145" s="70"/>
      <c r="AF145" s="27"/>
    </row>
    <row r="146" spans="1:32" ht="18" customHeight="1">
      <c r="A146" s="98"/>
      <c r="B146" s="95"/>
      <c r="C146" s="329"/>
      <c r="D146" s="330"/>
      <c r="E146" s="330"/>
      <c r="F146" s="331"/>
      <c r="G146" s="333" t="s">
        <v>635</v>
      </c>
      <c r="H146" s="333"/>
      <c r="I146" s="333"/>
      <c r="J146" s="333"/>
      <c r="K146" s="333"/>
      <c r="L146" s="333"/>
      <c r="M146" s="333"/>
      <c r="N146" s="333"/>
      <c r="O146" s="333"/>
      <c r="P146" s="333"/>
      <c r="Q146" s="333"/>
      <c r="R146" s="333"/>
      <c r="S146" s="333"/>
      <c r="T146" s="333"/>
      <c r="U146" s="333"/>
      <c r="V146" s="333"/>
      <c r="W146" s="333"/>
      <c r="X146" s="333"/>
      <c r="Y146" s="333"/>
      <c r="Z146" s="333"/>
      <c r="AA146" s="333"/>
      <c r="AB146" s="99"/>
      <c r="AC146" s="70"/>
      <c r="AF146" s="27"/>
    </row>
    <row r="147" spans="1:32" ht="18" customHeight="1">
      <c r="A147" s="98"/>
      <c r="B147" s="95"/>
      <c r="C147" s="121"/>
      <c r="D147" s="96"/>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9"/>
      <c r="AC147" s="70"/>
    </row>
    <row r="148" spans="1:32" ht="18" customHeight="1">
      <c r="A148" s="98"/>
      <c r="B148" s="95"/>
      <c r="C148" s="122" t="s">
        <v>658</v>
      </c>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9"/>
      <c r="AC148" s="70"/>
      <c r="AF148" s="27"/>
    </row>
    <row r="149" spans="1:32" ht="18" customHeight="1">
      <c r="A149" s="98"/>
      <c r="B149" s="95"/>
      <c r="C149" s="95"/>
      <c r="D149" s="95"/>
      <c r="E149" s="95"/>
      <c r="F149" s="95"/>
      <c r="G149" s="95"/>
      <c r="H149" s="95"/>
      <c r="I149" s="95"/>
      <c r="J149" s="95"/>
      <c r="K149" s="95"/>
      <c r="L149" s="96"/>
      <c r="M149" s="96"/>
      <c r="N149" s="96"/>
      <c r="O149" s="96"/>
      <c r="P149" s="96"/>
      <c r="Q149" s="96"/>
      <c r="R149" s="96"/>
      <c r="S149" s="96"/>
      <c r="T149" s="96"/>
      <c r="U149" s="96"/>
      <c r="V149" s="96"/>
      <c r="W149" s="96"/>
      <c r="X149" s="96"/>
      <c r="Y149" s="96"/>
      <c r="Z149" s="96"/>
      <c r="AA149" s="96"/>
      <c r="AB149" s="99"/>
      <c r="AC149" s="70"/>
      <c r="AF149" s="27"/>
    </row>
    <row r="150" spans="1:32" ht="18" customHeight="1">
      <c r="A150" s="98"/>
      <c r="B150" s="95"/>
      <c r="C150" s="105" t="s">
        <v>854</v>
      </c>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9"/>
      <c r="AC150" s="70"/>
      <c r="AF150" s="27"/>
    </row>
    <row r="151" spans="1:32" ht="18" customHeight="1">
      <c r="A151" s="98"/>
      <c r="B151" s="95"/>
      <c r="C151" s="337" t="s">
        <v>7</v>
      </c>
      <c r="D151" s="337"/>
      <c r="E151" s="343" t="s">
        <v>9</v>
      </c>
      <c r="F151" s="344"/>
      <c r="G151" s="344"/>
      <c r="H151" s="344"/>
      <c r="I151" s="344"/>
      <c r="J151" s="344"/>
      <c r="K151" s="345"/>
      <c r="L151" s="343" t="s">
        <v>18</v>
      </c>
      <c r="M151" s="344"/>
      <c r="N151" s="344"/>
      <c r="O151" s="344"/>
      <c r="P151" s="344"/>
      <c r="Q151" s="344"/>
      <c r="R151" s="344"/>
      <c r="S151" s="344"/>
      <c r="T151" s="344"/>
      <c r="U151" s="344"/>
      <c r="V151" s="344"/>
      <c r="W151" s="344"/>
      <c r="X151" s="344"/>
      <c r="Y151" s="344"/>
      <c r="Z151" s="344"/>
      <c r="AA151" s="345"/>
      <c r="AB151" s="99"/>
      <c r="AC151" s="70"/>
      <c r="AF151" s="27"/>
    </row>
    <row r="152" spans="1:32" ht="18" customHeight="1">
      <c r="A152" s="98"/>
      <c r="B152" s="95"/>
      <c r="C152" s="278">
        <v>1</v>
      </c>
      <c r="D152" s="278"/>
      <c r="E152" s="101" t="s">
        <v>641</v>
      </c>
      <c r="F152" s="29"/>
      <c r="G152" s="29"/>
      <c r="H152" s="29"/>
      <c r="I152" s="29"/>
      <c r="J152" s="29"/>
      <c r="K152" s="30"/>
      <c r="L152" s="100"/>
      <c r="M152" s="29"/>
      <c r="N152" s="29"/>
      <c r="O152" s="29"/>
      <c r="P152" s="29"/>
      <c r="Q152" s="29"/>
      <c r="R152" s="29"/>
      <c r="S152" s="29"/>
      <c r="T152" s="29"/>
      <c r="U152" s="29"/>
      <c r="V152" s="29"/>
      <c r="W152" s="29"/>
      <c r="X152" s="29"/>
      <c r="Y152" s="29"/>
      <c r="Z152" s="29"/>
      <c r="AA152" s="30"/>
      <c r="AB152" s="99"/>
      <c r="AC152" s="70"/>
      <c r="AF152" s="27"/>
    </row>
    <row r="153" spans="1:32" ht="18" customHeight="1">
      <c r="A153" s="98"/>
      <c r="B153" s="95"/>
      <c r="C153" s="278">
        <v>2</v>
      </c>
      <c r="D153" s="278"/>
      <c r="E153" s="137"/>
      <c r="F153" s="29" t="s">
        <v>222</v>
      </c>
      <c r="G153" s="29"/>
      <c r="H153" s="29"/>
      <c r="I153" s="29"/>
      <c r="J153" s="29"/>
      <c r="K153" s="30"/>
      <c r="L153" s="100" t="s">
        <v>643</v>
      </c>
      <c r="M153" s="29"/>
      <c r="N153" s="29"/>
      <c r="O153" s="29"/>
      <c r="P153" s="29"/>
      <c r="Q153" s="29"/>
      <c r="R153" s="29"/>
      <c r="S153" s="29"/>
      <c r="T153" s="29"/>
      <c r="U153" s="29"/>
      <c r="V153" s="29"/>
      <c r="W153" s="29"/>
      <c r="X153" s="29"/>
      <c r="Y153" s="29"/>
      <c r="Z153" s="29"/>
      <c r="AA153" s="30"/>
      <c r="AB153" s="99"/>
      <c r="AC153" s="70"/>
      <c r="AF153" s="27"/>
    </row>
    <row r="154" spans="1:32" ht="18" customHeight="1">
      <c r="A154" s="98"/>
      <c r="B154" s="95"/>
      <c r="C154" s="278">
        <v>3</v>
      </c>
      <c r="D154" s="278"/>
      <c r="E154" s="137"/>
      <c r="F154" s="29" t="s">
        <v>228</v>
      </c>
      <c r="G154" s="29"/>
      <c r="H154" s="29"/>
      <c r="I154" s="29"/>
      <c r="J154" s="29"/>
      <c r="K154" s="30"/>
      <c r="L154" s="100" t="s">
        <v>644</v>
      </c>
      <c r="M154" s="29"/>
      <c r="N154" s="29"/>
      <c r="O154" s="29"/>
      <c r="P154" s="29"/>
      <c r="Q154" s="29"/>
      <c r="R154" s="29"/>
      <c r="S154" s="29"/>
      <c r="T154" s="29"/>
      <c r="U154" s="29"/>
      <c r="V154" s="29"/>
      <c r="W154" s="29"/>
      <c r="X154" s="29"/>
      <c r="Y154" s="29"/>
      <c r="Z154" s="29"/>
      <c r="AA154" s="30"/>
      <c r="AB154" s="99"/>
      <c r="AC154" s="70"/>
      <c r="AF154" s="27"/>
    </row>
    <row r="155" spans="1:32" ht="18" customHeight="1">
      <c r="A155" s="98"/>
      <c r="B155" s="95"/>
      <c r="C155" s="278">
        <v>4</v>
      </c>
      <c r="D155" s="278"/>
      <c r="E155" s="137"/>
      <c r="F155" s="29" t="s">
        <v>642</v>
      </c>
      <c r="G155" s="29"/>
      <c r="H155" s="29"/>
      <c r="I155" s="29"/>
      <c r="J155" s="29"/>
      <c r="K155" s="30"/>
      <c r="L155" s="100" t="s">
        <v>645</v>
      </c>
      <c r="M155" s="29"/>
      <c r="N155" s="29"/>
      <c r="O155" s="29"/>
      <c r="P155" s="29"/>
      <c r="Q155" s="29"/>
      <c r="R155" s="29"/>
      <c r="S155" s="29"/>
      <c r="T155" s="29"/>
      <c r="U155" s="29"/>
      <c r="V155" s="29"/>
      <c r="W155" s="29"/>
      <c r="X155" s="29"/>
      <c r="Y155" s="29"/>
      <c r="Z155" s="29"/>
      <c r="AA155" s="30"/>
      <c r="AB155" s="99"/>
      <c r="AC155" s="70"/>
      <c r="AF155" s="27"/>
    </row>
    <row r="156" spans="1:32" ht="18" customHeight="1">
      <c r="A156" s="98"/>
      <c r="B156" s="95"/>
      <c r="C156" s="121"/>
      <c r="D156" s="96"/>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9"/>
      <c r="AC156" s="70"/>
    </row>
    <row r="157" spans="1:32" ht="18" customHeight="1">
      <c r="A157" s="98"/>
      <c r="B157" s="95"/>
      <c r="C157" s="122" t="s">
        <v>855</v>
      </c>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9"/>
      <c r="AC157" s="70"/>
      <c r="AF157" s="27"/>
    </row>
    <row r="158" spans="1:32" ht="18" customHeight="1">
      <c r="A158" s="98"/>
      <c r="B158" s="95"/>
      <c r="C158" s="96" t="s">
        <v>646</v>
      </c>
      <c r="D158" s="95" t="s">
        <v>647</v>
      </c>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9"/>
      <c r="AC158" s="70"/>
      <c r="AF158" s="27"/>
    </row>
    <row r="159" spans="1:32" ht="18" customHeight="1">
      <c r="A159" s="98"/>
      <c r="B159" s="95"/>
      <c r="C159" s="337" t="s">
        <v>7</v>
      </c>
      <c r="D159" s="337"/>
      <c r="E159" s="343" t="s">
        <v>9</v>
      </c>
      <c r="F159" s="344"/>
      <c r="G159" s="344"/>
      <c r="H159" s="344"/>
      <c r="I159" s="344"/>
      <c r="J159" s="344"/>
      <c r="K159" s="345"/>
      <c r="L159" s="343" t="s">
        <v>18</v>
      </c>
      <c r="M159" s="344"/>
      <c r="N159" s="344"/>
      <c r="O159" s="344"/>
      <c r="P159" s="344"/>
      <c r="Q159" s="344"/>
      <c r="R159" s="344"/>
      <c r="S159" s="344"/>
      <c r="T159" s="344"/>
      <c r="U159" s="344"/>
      <c r="V159" s="344"/>
      <c r="W159" s="344"/>
      <c r="X159" s="344"/>
      <c r="Y159" s="344"/>
      <c r="Z159" s="344"/>
      <c r="AA159" s="345"/>
      <c r="AB159" s="99"/>
      <c r="AC159" s="70"/>
      <c r="AF159" s="27"/>
    </row>
    <row r="160" spans="1:32" ht="18" customHeight="1">
      <c r="A160" s="98"/>
      <c r="B160" s="95"/>
      <c r="C160" s="278">
        <v>1</v>
      </c>
      <c r="D160" s="278"/>
      <c r="E160" s="101" t="s">
        <v>649</v>
      </c>
      <c r="F160" s="29"/>
      <c r="G160" s="29"/>
      <c r="H160" s="29"/>
      <c r="I160" s="29"/>
      <c r="J160" s="29"/>
      <c r="K160" s="30"/>
      <c r="L160" s="100"/>
      <c r="M160" s="29"/>
      <c r="N160" s="29"/>
      <c r="O160" s="29"/>
      <c r="P160" s="29"/>
      <c r="Q160" s="29"/>
      <c r="R160" s="29"/>
      <c r="S160" s="29"/>
      <c r="T160" s="29"/>
      <c r="U160" s="29"/>
      <c r="V160" s="29"/>
      <c r="W160" s="29"/>
      <c r="X160" s="29"/>
      <c r="Y160" s="29"/>
      <c r="Z160" s="29"/>
      <c r="AA160" s="30"/>
      <c r="AB160" s="99"/>
      <c r="AC160" s="70"/>
      <c r="AF160" s="27"/>
    </row>
    <row r="161" spans="1:32" ht="18" customHeight="1">
      <c r="A161" s="98"/>
      <c r="B161" s="95"/>
      <c r="C161" s="278">
        <v>2</v>
      </c>
      <c r="D161" s="278"/>
      <c r="E161" s="137"/>
      <c r="F161" s="29" t="s">
        <v>222</v>
      </c>
      <c r="G161" s="29"/>
      <c r="H161" s="29"/>
      <c r="I161" s="29"/>
      <c r="J161" s="29"/>
      <c r="K161" s="30"/>
      <c r="L161" s="100" t="s">
        <v>648</v>
      </c>
      <c r="M161" s="29"/>
      <c r="N161" s="29"/>
      <c r="O161" s="29"/>
      <c r="P161" s="29"/>
      <c r="Q161" s="29"/>
      <c r="R161" s="29"/>
      <c r="S161" s="29"/>
      <c r="T161" s="29"/>
      <c r="U161" s="29"/>
      <c r="V161" s="29"/>
      <c r="W161" s="29"/>
      <c r="X161" s="29"/>
      <c r="Y161" s="29"/>
      <c r="Z161" s="29"/>
      <c r="AA161" s="30"/>
      <c r="AB161" s="99"/>
      <c r="AC161" s="70"/>
      <c r="AF161" s="27"/>
    </row>
    <row r="162" spans="1:32" ht="18" customHeight="1">
      <c r="A162" s="98"/>
      <c r="B162" s="95"/>
      <c r="C162" s="121"/>
      <c r="D162" s="96"/>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9"/>
      <c r="AC162" s="70"/>
    </row>
    <row r="163" spans="1:32" ht="18" customHeight="1">
      <c r="A163" s="98"/>
      <c r="B163" s="95"/>
      <c r="C163" s="122" t="s">
        <v>856</v>
      </c>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9"/>
      <c r="AC163" s="70"/>
      <c r="AF163" s="27"/>
    </row>
    <row r="164" spans="1:32" ht="18" customHeight="1">
      <c r="A164" s="98"/>
      <c r="B164" s="95"/>
      <c r="C164" s="400" t="s">
        <v>15</v>
      </c>
      <c r="D164" s="401"/>
      <c r="E164" s="401"/>
      <c r="F164" s="401"/>
      <c r="G164" s="401"/>
      <c r="H164" s="401"/>
      <c r="I164" s="401"/>
      <c r="J164" s="401"/>
      <c r="K164" s="401"/>
      <c r="L164" s="401"/>
      <c r="M164" s="401"/>
      <c r="N164" s="401"/>
      <c r="O164" s="401"/>
      <c r="P164" s="401"/>
      <c r="Q164" s="401"/>
      <c r="R164" s="401"/>
      <c r="S164" s="401"/>
      <c r="T164" s="401"/>
      <c r="U164" s="401"/>
      <c r="V164" s="401"/>
      <c r="W164" s="401"/>
      <c r="X164" s="401"/>
      <c r="Y164" s="401"/>
      <c r="Z164" s="401"/>
      <c r="AA164" s="402"/>
      <c r="AB164" s="99"/>
      <c r="AC164" s="70"/>
      <c r="AF164" s="27"/>
    </row>
    <row r="165" spans="1:32" ht="18" customHeight="1">
      <c r="A165" s="98"/>
      <c r="B165" s="95"/>
      <c r="C165" s="403" t="s">
        <v>16</v>
      </c>
      <c r="D165" s="403"/>
      <c r="E165" s="403"/>
      <c r="F165" s="403"/>
      <c r="G165" s="333">
        <v>201</v>
      </c>
      <c r="H165" s="333"/>
      <c r="I165" s="333"/>
      <c r="J165" s="333"/>
      <c r="K165" s="333"/>
      <c r="L165" s="333"/>
      <c r="M165" s="333"/>
      <c r="N165" s="333"/>
      <c r="O165" s="333"/>
      <c r="P165" s="333"/>
      <c r="Q165" s="333"/>
      <c r="R165" s="333"/>
      <c r="S165" s="333"/>
      <c r="T165" s="333"/>
      <c r="U165" s="333"/>
      <c r="V165" s="333"/>
      <c r="W165" s="333"/>
      <c r="X165" s="333"/>
      <c r="Y165" s="333"/>
      <c r="Z165" s="333"/>
      <c r="AA165" s="333"/>
      <c r="AB165" s="99"/>
      <c r="AC165" s="70"/>
      <c r="AF165" s="27"/>
    </row>
    <row r="166" spans="1:32" ht="18" customHeight="1">
      <c r="A166" s="98"/>
      <c r="B166" s="95"/>
      <c r="C166" s="403" t="s">
        <v>650</v>
      </c>
      <c r="D166" s="403"/>
      <c r="E166" s="403"/>
      <c r="F166" s="403"/>
      <c r="G166" s="133" t="s">
        <v>937</v>
      </c>
      <c r="H166" s="29"/>
      <c r="I166" s="29"/>
      <c r="J166" s="29"/>
      <c r="K166" s="29"/>
      <c r="L166" s="29"/>
      <c r="M166" s="29"/>
      <c r="N166" s="29"/>
      <c r="O166" s="29"/>
      <c r="P166" s="29"/>
      <c r="Q166" s="29"/>
      <c r="R166" s="29"/>
      <c r="S166" s="29"/>
      <c r="T166" s="29"/>
      <c r="U166" s="29"/>
      <c r="V166" s="29"/>
      <c r="W166" s="29"/>
      <c r="X166" s="29"/>
      <c r="Y166" s="29"/>
      <c r="Z166" s="29"/>
      <c r="AA166" s="30"/>
      <c r="AB166" s="99"/>
      <c r="AC166" s="70" t="s">
        <v>934</v>
      </c>
      <c r="AF166" s="27"/>
    </row>
    <row r="167" spans="1:32" ht="16.5">
      <c r="A167" s="98"/>
      <c r="B167" s="95"/>
      <c r="C167" s="404" t="s">
        <v>938</v>
      </c>
      <c r="D167" s="404"/>
      <c r="E167" s="404"/>
      <c r="F167" s="404"/>
      <c r="G167" s="397" t="s">
        <v>939</v>
      </c>
      <c r="H167" s="398"/>
      <c r="I167" s="398"/>
      <c r="J167" s="398"/>
      <c r="K167" s="398"/>
      <c r="L167" s="398"/>
      <c r="M167" s="398"/>
      <c r="N167" s="398"/>
      <c r="O167" s="398"/>
      <c r="P167" s="398"/>
      <c r="Q167" s="398"/>
      <c r="R167" s="398"/>
      <c r="S167" s="398"/>
      <c r="T167" s="398"/>
      <c r="U167" s="398"/>
      <c r="V167" s="398"/>
      <c r="W167" s="398"/>
      <c r="X167" s="398"/>
      <c r="Y167" s="398"/>
      <c r="Z167" s="398"/>
      <c r="AA167" s="399"/>
      <c r="AB167" s="99"/>
      <c r="AC167" s="70" t="s">
        <v>934</v>
      </c>
      <c r="AF167" s="27"/>
    </row>
    <row r="168" spans="1:32" ht="18" customHeight="1">
      <c r="A168" s="98"/>
      <c r="B168" s="95"/>
      <c r="C168" s="95"/>
      <c r="D168" s="95"/>
      <c r="E168" s="95"/>
      <c r="F168" s="95"/>
      <c r="G168" s="95"/>
      <c r="H168" s="95"/>
      <c r="I168" s="95"/>
      <c r="J168" s="95"/>
      <c r="K168" s="95"/>
      <c r="L168" s="96"/>
      <c r="M168" s="96"/>
      <c r="N168" s="96"/>
      <c r="O168" s="96"/>
      <c r="P168" s="96"/>
      <c r="Q168" s="96"/>
      <c r="R168" s="96"/>
      <c r="S168" s="96"/>
      <c r="T168" s="96"/>
      <c r="U168" s="96"/>
      <c r="V168" s="96"/>
      <c r="W168" s="96"/>
      <c r="X168" s="96"/>
      <c r="Y168" s="96"/>
      <c r="Z168" s="96"/>
      <c r="AA168" s="96"/>
      <c r="AB168" s="99"/>
      <c r="AC168" s="70"/>
      <c r="AF168" s="27"/>
    </row>
    <row r="169" spans="1:32" ht="18" customHeight="1">
      <c r="A169" s="98"/>
      <c r="B169" s="95"/>
      <c r="C169" s="95"/>
      <c r="D169" s="95"/>
      <c r="E169" s="95"/>
      <c r="F169" s="95"/>
      <c r="G169" s="95"/>
      <c r="H169" s="95"/>
      <c r="I169" s="95"/>
      <c r="J169" s="95"/>
      <c r="K169" s="95"/>
      <c r="L169" s="96"/>
      <c r="M169" s="96"/>
      <c r="N169" s="96"/>
      <c r="O169" s="96"/>
      <c r="P169" s="96"/>
      <c r="Q169" s="96"/>
      <c r="R169" s="96"/>
      <c r="S169" s="96"/>
      <c r="T169" s="96"/>
      <c r="U169" s="96"/>
      <c r="V169" s="96"/>
      <c r="W169" s="96"/>
      <c r="X169" s="96"/>
      <c r="Y169" s="96"/>
      <c r="Z169" s="96"/>
      <c r="AA169" s="96"/>
      <c r="AB169" s="99"/>
      <c r="AF169" s="27"/>
    </row>
    <row r="170" spans="1:32" ht="18" customHeight="1">
      <c r="A170" s="98"/>
      <c r="B170" s="95" t="s">
        <v>724</v>
      </c>
      <c r="C170" s="10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9"/>
      <c r="AC170" s="70" t="s">
        <v>732</v>
      </c>
      <c r="AF170" s="27"/>
    </row>
    <row r="171" spans="1:32" ht="18" customHeight="1">
      <c r="A171" s="98"/>
      <c r="B171" s="95"/>
      <c r="C171" s="105" t="s">
        <v>725</v>
      </c>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9"/>
      <c r="AC171" s="70"/>
      <c r="AF171" s="27"/>
    </row>
    <row r="172" spans="1:32" ht="18" customHeight="1">
      <c r="A172" s="98"/>
      <c r="B172" s="95"/>
      <c r="C172" s="319" t="s">
        <v>483</v>
      </c>
      <c r="D172" s="319"/>
      <c r="E172" s="319"/>
      <c r="F172" s="319"/>
      <c r="G172" s="333" t="s">
        <v>615</v>
      </c>
      <c r="H172" s="333"/>
      <c r="I172" s="333"/>
      <c r="J172" s="333"/>
      <c r="K172" s="333"/>
      <c r="L172" s="333"/>
      <c r="M172" s="333"/>
      <c r="N172" s="333"/>
      <c r="O172" s="333"/>
      <c r="P172" s="333"/>
      <c r="Q172" s="333"/>
      <c r="R172" s="333"/>
      <c r="S172" s="333"/>
      <c r="T172" s="333"/>
      <c r="U172" s="333"/>
      <c r="V172" s="333"/>
      <c r="W172" s="333"/>
      <c r="X172" s="333"/>
      <c r="Y172" s="333"/>
      <c r="Z172" s="333"/>
      <c r="AA172" s="333"/>
      <c r="AB172" s="99"/>
      <c r="AC172" s="70"/>
      <c r="AD172" s="36"/>
      <c r="AF172" s="27"/>
    </row>
    <row r="173" spans="1:32" ht="19.899999999999999" customHeight="1">
      <c r="A173" s="98"/>
      <c r="B173" s="95"/>
      <c r="C173" s="323" t="s">
        <v>35</v>
      </c>
      <c r="D173" s="324"/>
      <c r="E173" s="324"/>
      <c r="F173" s="325"/>
      <c r="G173" s="332" t="s">
        <v>616</v>
      </c>
      <c r="H173" s="332"/>
      <c r="I173" s="332"/>
      <c r="J173" s="332"/>
      <c r="K173" s="332"/>
      <c r="L173" s="332"/>
      <c r="M173" s="332"/>
      <c r="N173" s="332"/>
      <c r="O173" s="332"/>
      <c r="P173" s="332"/>
      <c r="Q173" s="332"/>
      <c r="R173" s="332"/>
      <c r="S173" s="332"/>
      <c r="T173" s="332"/>
      <c r="U173" s="332"/>
      <c r="V173" s="332"/>
      <c r="W173" s="332"/>
      <c r="X173" s="332"/>
      <c r="Y173" s="332"/>
      <c r="Z173" s="332"/>
      <c r="AA173" s="332"/>
      <c r="AB173" s="99"/>
      <c r="AC173" s="70"/>
      <c r="AF173" s="27"/>
    </row>
    <row r="174" spans="1:32" ht="18" customHeight="1">
      <c r="A174" s="98"/>
      <c r="B174" s="95"/>
      <c r="C174" s="326"/>
      <c r="D174" s="327"/>
      <c r="E174" s="327"/>
      <c r="F174" s="328"/>
      <c r="G174" s="333" t="s">
        <v>727</v>
      </c>
      <c r="H174" s="333"/>
      <c r="I174" s="333"/>
      <c r="J174" s="333"/>
      <c r="K174" s="333"/>
      <c r="L174" s="333"/>
      <c r="M174" s="333"/>
      <c r="N174" s="333"/>
      <c r="O174" s="333"/>
      <c r="P174" s="333"/>
      <c r="Q174" s="333"/>
      <c r="R174" s="333"/>
      <c r="S174" s="333"/>
      <c r="T174" s="333"/>
      <c r="U174" s="333"/>
      <c r="V174" s="333"/>
      <c r="W174" s="333"/>
      <c r="X174" s="333"/>
      <c r="Y174" s="333"/>
      <c r="Z174" s="333"/>
      <c r="AA174" s="333"/>
      <c r="AB174" s="99"/>
      <c r="AC174" s="70"/>
      <c r="AF174" s="27"/>
    </row>
    <row r="175" spans="1:32" ht="18" customHeight="1">
      <c r="A175" s="98"/>
      <c r="B175" s="95"/>
      <c r="C175" s="329"/>
      <c r="D175" s="330"/>
      <c r="E175" s="330"/>
      <c r="F175" s="331"/>
      <c r="G175" s="333" t="s">
        <v>728</v>
      </c>
      <c r="H175" s="333"/>
      <c r="I175" s="333"/>
      <c r="J175" s="333"/>
      <c r="K175" s="333"/>
      <c r="L175" s="333"/>
      <c r="M175" s="333"/>
      <c r="N175" s="333"/>
      <c r="O175" s="333"/>
      <c r="P175" s="333"/>
      <c r="Q175" s="333"/>
      <c r="R175" s="333"/>
      <c r="S175" s="333"/>
      <c r="T175" s="333"/>
      <c r="U175" s="333"/>
      <c r="V175" s="333"/>
      <c r="W175" s="333"/>
      <c r="X175" s="333"/>
      <c r="Y175" s="333"/>
      <c r="Z175" s="333"/>
      <c r="AA175" s="333"/>
      <c r="AB175" s="99"/>
      <c r="AC175" s="70"/>
      <c r="AF175" s="27"/>
    </row>
    <row r="176" spans="1:32" ht="18" customHeight="1">
      <c r="A176" s="98"/>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99"/>
      <c r="AC176" s="70"/>
      <c r="AF176" s="27"/>
    </row>
    <row r="177" spans="1:32" ht="18" customHeight="1">
      <c r="A177" s="98"/>
      <c r="B177" s="95"/>
      <c r="C177" s="105" t="s">
        <v>857</v>
      </c>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9"/>
      <c r="AC177" s="70"/>
      <c r="AF177" s="27"/>
    </row>
    <row r="178" spans="1:32" ht="18" customHeight="1">
      <c r="A178" s="98"/>
      <c r="B178" s="95"/>
      <c r="C178" s="337" t="s">
        <v>7</v>
      </c>
      <c r="D178" s="337"/>
      <c r="E178" s="343" t="s">
        <v>9</v>
      </c>
      <c r="F178" s="344"/>
      <c r="G178" s="344"/>
      <c r="H178" s="344"/>
      <c r="I178" s="344"/>
      <c r="J178" s="344"/>
      <c r="K178" s="345"/>
      <c r="L178" s="343" t="s">
        <v>18</v>
      </c>
      <c r="M178" s="344"/>
      <c r="N178" s="344"/>
      <c r="O178" s="344"/>
      <c r="P178" s="344"/>
      <c r="Q178" s="344"/>
      <c r="R178" s="344"/>
      <c r="S178" s="344"/>
      <c r="T178" s="344"/>
      <c r="U178" s="344"/>
      <c r="V178" s="344"/>
      <c r="W178" s="344"/>
      <c r="X178" s="344"/>
      <c r="Y178" s="344"/>
      <c r="Z178" s="344"/>
      <c r="AA178" s="345"/>
      <c r="AB178" s="99"/>
      <c r="AC178" s="70"/>
      <c r="AF178" s="27"/>
    </row>
    <row r="179" spans="1:32" ht="18" customHeight="1">
      <c r="A179" s="98"/>
      <c r="B179" s="95"/>
      <c r="C179" s="278">
        <v>1</v>
      </c>
      <c r="D179" s="278"/>
      <c r="E179" s="101" t="s">
        <v>179</v>
      </c>
      <c r="F179" s="29"/>
      <c r="G179" s="29"/>
      <c r="H179" s="29"/>
      <c r="I179" s="29"/>
      <c r="J179" s="29"/>
      <c r="K179" s="30"/>
      <c r="L179" s="100" t="s">
        <v>729</v>
      </c>
      <c r="M179" s="29"/>
      <c r="N179" s="29"/>
      <c r="O179" s="29"/>
      <c r="P179" s="29"/>
      <c r="Q179" s="29"/>
      <c r="R179" s="29"/>
      <c r="S179" s="29"/>
      <c r="T179" s="29"/>
      <c r="U179" s="29"/>
      <c r="V179" s="29"/>
      <c r="W179" s="29"/>
      <c r="X179" s="29"/>
      <c r="Y179" s="29"/>
      <c r="Z179" s="29"/>
      <c r="AA179" s="30"/>
      <c r="AB179" s="99"/>
      <c r="AC179" s="70"/>
      <c r="AF179" s="27"/>
    </row>
    <row r="180" spans="1:32" ht="18" customHeight="1">
      <c r="A180" s="98"/>
      <c r="B180" s="95"/>
      <c r="C180" s="278">
        <v>2</v>
      </c>
      <c r="D180" s="278"/>
      <c r="E180" s="101" t="s">
        <v>730</v>
      </c>
      <c r="F180" s="29"/>
      <c r="G180" s="29"/>
      <c r="H180" s="29"/>
      <c r="I180" s="29"/>
      <c r="J180" s="29"/>
      <c r="K180" s="30"/>
      <c r="L180" s="100" t="s">
        <v>731</v>
      </c>
      <c r="M180" s="29"/>
      <c r="N180" s="29"/>
      <c r="O180" s="29"/>
      <c r="P180" s="29"/>
      <c r="Q180" s="29"/>
      <c r="R180" s="29"/>
      <c r="S180" s="29"/>
      <c r="T180" s="29"/>
      <c r="U180" s="29"/>
      <c r="V180" s="29"/>
      <c r="W180" s="29"/>
      <c r="X180" s="29"/>
      <c r="Y180" s="29"/>
      <c r="Z180" s="29"/>
      <c r="AA180" s="30"/>
      <c r="AB180" s="99"/>
      <c r="AC180" s="70"/>
      <c r="AF180" s="27"/>
    </row>
    <row r="181" spans="1:32" ht="18" customHeight="1">
      <c r="A181" s="98"/>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99"/>
      <c r="AC181" s="70"/>
      <c r="AF181" s="27"/>
    </row>
    <row r="182" spans="1:32" ht="18" customHeight="1">
      <c r="A182" s="98"/>
      <c r="B182" s="121"/>
      <c r="C182" s="105" t="s">
        <v>858</v>
      </c>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99"/>
      <c r="AC182" s="70"/>
      <c r="AF182" s="27"/>
    </row>
    <row r="183" spans="1:32" customFormat="1" ht="20.100000000000001" customHeight="1">
      <c r="A183" s="95"/>
      <c r="B183" s="105"/>
      <c r="C183" s="337" t="s">
        <v>653</v>
      </c>
      <c r="D183" s="337"/>
      <c r="E183" s="337"/>
      <c r="F183" s="337"/>
      <c r="G183" s="333" t="s">
        <v>654</v>
      </c>
      <c r="H183" s="333"/>
      <c r="I183" s="333"/>
      <c r="J183" s="333"/>
      <c r="K183" s="333"/>
      <c r="L183" s="333"/>
      <c r="M183" s="333"/>
      <c r="N183" s="333"/>
      <c r="O183" s="333"/>
      <c r="P183" s="333"/>
      <c r="Q183" s="333"/>
      <c r="R183" s="333"/>
      <c r="S183" s="333"/>
      <c r="T183" s="333"/>
      <c r="U183" s="333"/>
      <c r="V183" s="333"/>
      <c r="W183" s="333"/>
      <c r="X183" s="333"/>
      <c r="Y183" s="333"/>
      <c r="Z183" s="333"/>
      <c r="AA183" s="333"/>
      <c r="AB183" s="99"/>
      <c r="AC183" s="70"/>
      <c r="AE183" s="112"/>
    </row>
    <row r="184" spans="1:32" ht="18" customHeight="1">
      <c r="A184" s="98"/>
      <c r="B184" s="95"/>
      <c r="C184" s="337" t="s">
        <v>417</v>
      </c>
      <c r="D184" s="337"/>
      <c r="E184" s="337"/>
      <c r="F184" s="337"/>
      <c r="G184" s="333" t="s">
        <v>615</v>
      </c>
      <c r="H184" s="333"/>
      <c r="I184" s="333"/>
      <c r="J184" s="333"/>
      <c r="K184" s="333"/>
      <c r="L184" s="333"/>
      <c r="M184" s="333"/>
      <c r="N184" s="333"/>
      <c r="O184" s="333"/>
      <c r="P184" s="333"/>
      <c r="Q184" s="333"/>
      <c r="R184" s="333"/>
      <c r="S184" s="333"/>
      <c r="T184" s="333"/>
      <c r="U184" s="333"/>
      <c r="V184" s="333"/>
      <c r="W184" s="333"/>
      <c r="X184" s="333"/>
      <c r="Y184" s="333"/>
      <c r="Z184" s="333"/>
      <c r="AA184" s="333"/>
      <c r="AB184" s="99"/>
      <c r="AC184" s="70"/>
      <c r="AD184" s="67"/>
      <c r="AF184" s="27"/>
    </row>
    <row r="185" spans="1:32" ht="19.899999999999999" customHeight="1">
      <c r="A185" s="98"/>
      <c r="B185" s="95"/>
      <c r="C185" s="294" t="s">
        <v>35</v>
      </c>
      <c r="D185" s="295"/>
      <c r="E185" s="295"/>
      <c r="F185" s="296"/>
      <c r="G185" s="332" t="s">
        <v>733</v>
      </c>
      <c r="H185" s="332"/>
      <c r="I185" s="332"/>
      <c r="J185" s="332"/>
      <c r="K185" s="332"/>
      <c r="L185" s="332"/>
      <c r="M185" s="332"/>
      <c r="N185" s="332"/>
      <c r="O185" s="332"/>
      <c r="P185" s="332"/>
      <c r="Q185" s="332"/>
      <c r="R185" s="332"/>
      <c r="S185" s="332"/>
      <c r="T185" s="332"/>
      <c r="U185" s="332"/>
      <c r="V185" s="332"/>
      <c r="W185" s="332"/>
      <c r="X185" s="332"/>
      <c r="Y185" s="332"/>
      <c r="Z185" s="332"/>
      <c r="AA185" s="332"/>
      <c r="AB185" s="99"/>
      <c r="AC185" s="70"/>
      <c r="AF185" s="27"/>
    </row>
    <row r="186" spans="1:32" ht="18" customHeight="1">
      <c r="A186" s="98"/>
      <c r="B186" s="95"/>
      <c r="C186" s="337" t="s">
        <v>7</v>
      </c>
      <c r="D186" s="337"/>
      <c r="E186" s="343" t="s">
        <v>9</v>
      </c>
      <c r="F186" s="344"/>
      <c r="G186" s="344"/>
      <c r="H186" s="344"/>
      <c r="I186" s="344"/>
      <c r="J186" s="344"/>
      <c r="K186" s="345"/>
      <c r="L186" s="337" t="s">
        <v>407</v>
      </c>
      <c r="M186" s="337"/>
      <c r="N186" s="337"/>
      <c r="O186" s="337"/>
      <c r="P186" s="337"/>
      <c r="Q186" s="337"/>
      <c r="R186" s="337"/>
      <c r="S186" s="337"/>
      <c r="T186" s="337"/>
      <c r="U186" s="337"/>
      <c r="V186" s="337"/>
      <c r="W186" s="337"/>
      <c r="X186" s="337"/>
      <c r="Y186" s="337"/>
      <c r="Z186" s="337"/>
      <c r="AA186" s="337"/>
      <c r="AB186" s="99"/>
      <c r="AC186" s="70"/>
    </row>
    <row r="187" spans="1:32" ht="18" customHeight="1">
      <c r="A187" s="98"/>
      <c r="B187" s="95"/>
      <c r="C187" s="278">
        <v>1</v>
      </c>
      <c r="D187" s="278"/>
      <c r="E187" s="137" t="s">
        <v>134</v>
      </c>
      <c r="F187" s="29"/>
      <c r="G187" s="29"/>
      <c r="H187" s="29"/>
      <c r="I187" s="29"/>
      <c r="J187" s="29"/>
      <c r="K187" s="29"/>
      <c r="L187" s="152" t="s">
        <v>734</v>
      </c>
      <c r="M187" s="29"/>
      <c r="N187" s="29"/>
      <c r="O187" s="29"/>
      <c r="P187" s="29"/>
      <c r="Q187" s="29"/>
      <c r="R187" s="29"/>
      <c r="S187" s="29"/>
      <c r="T187" s="29"/>
      <c r="U187" s="29"/>
      <c r="V187" s="29"/>
      <c r="W187" s="29"/>
      <c r="X187" s="29"/>
      <c r="Y187" s="29"/>
      <c r="Z187" s="29"/>
      <c r="AA187" s="30"/>
      <c r="AB187" s="99"/>
      <c r="AC187" s="70"/>
      <c r="AD187" s="27" t="e">
        <f>"{"""&amp;#REF!&amp;""":""example"&amp;#REF!&amp;""","</f>
        <v>#REF!</v>
      </c>
    </row>
    <row r="188" spans="1:32" ht="18" customHeight="1">
      <c r="A188" s="98"/>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99"/>
      <c r="AC188" s="70"/>
      <c r="AF188" s="27"/>
    </row>
    <row r="189" spans="1:32" ht="18" customHeight="1">
      <c r="A189" s="98"/>
      <c r="B189" s="105" t="s">
        <v>859</v>
      </c>
      <c r="C189" s="10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9"/>
    </row>
    <row r="190" spans="1:32" customFormat="1" ht="20.100000000000001" customHeight="1">
      <c r="A190" s="95"/>
      <c r="B190" s="105"/>
      <c r="C190" s="337" t="s">
        <v>653</v>
      </c>
      <c r="D190" s="337"/>
      <c r="E190" s="337"/>
      <c r="F190" s="337"/>
      <c r="G190" s="333" t="s">
        <v>656</v>
      </c>
      <c r="H190" s="333"/>
      <c r="I190" s="333"/>
      <c r="J190" s="333"/>
      <c r="K190" s="333"/>
      <c r="L190" s="333"/>
      <c r="M190" s="333"/>
      <c r="N190" s="333"/>
      <c r="O190" s="333"/>
      <c r="P190" s="333"/>
      <c r="Q190" s="333"/>
      <c r="R190" s="333"/>
      <c r="S190" s="333"/>
      <c r="T190" s="333"/>
      <c r="U190" s="333"/>
      <c r="V190" s="333"/>
      <c r="W190" s="333"/>
      <c r="X190" s="333"/>
      <c r="Y190" s="333"/>
      <c r="Z190" s="333"/>
      <c r="AA190" s="333"/>
      <c r="AB190" s="99"/>
      <c r="AC190" s="36"/>
      <c r="AE190" s="112"/>
    </row>
    <row r="191" spans="1:32" ht="18" customHeight="1">
      <c r="A191" s="98"/>
      <c r="B191" s="95"/>
      <c r="C191" s="337" t="s">
        <v>417</v>
      </c>
      <c r="D191" s="337"/>
      <c r="E191" s="337"/>
      <c r="F191" s="337"/>
      <c r="G191" s="333" t="s">
        <v>615</v>
      </c>
      <c r="H191" s="333"/>
      <c r="I191" s="333"/>
      <c r="J191" s="333"/>
      <c r="K191" s="333"/>
      <c r="L191" s="333"/>
      <c r="M191" s="333"/>
      <c r="N191" s="333"/>
      <c r="O191" s="333"/>
      <c r="P191" s="333"/>
      <c r="Q191" s="333"/>
      <c r="R191" s="333"/>
      <c r="S191" s="333"/>
      <c r="T191" s="333"/>
      <c r="U191" s="333"/>
      <c r="V191" s="333"/>
      <c r="W191" s="333"/>
      <c r="X191" s="333"/>
      <c r="Y191" s="333"/>
      <c r="Z191" s="333"/>
      <c r="AA191" s="333"/>
      <c r="AB191" s="99"/>
      <c r="AD191" s="67"/>
      <c r="AF191" s="27"/>
    </row>
    <row r="192" spans="1:32" ht="18" customHeight="1">
      <c r="A192" s="98"/>
      <c r="B192" s="95"/>
      <c r="C192" s="337" t="s">
        <v>7</v>
      </c>
      <c r="D192" s="337"/>
      <c r="E192" s="343" t="s">
        <v>9</v>
      </c>
      <c r="F192" s="344"/>
      <c r="G192" s="344"/>
      <c r="H192" s="344"/>
      <c r="I192" s="344"/>
      <c r="J192" s="344"/>
      <c r="K192" s="345"/>
      <c r="L192" s="337" t="s">
        <v>407</v>
      </c>
      <c r="M192" s="337"/>
      <c r="N192" s="337"/>
      <c r="O192" s="337"/>
      <c r="P192" s="337"/>
      <c r="Q192" s="337"/>
      <c r="R192" s="337"/>
      <c r="S192" s="337"/>
      <c r="T192" s="337"/>
      <c r="U192" s="337"/>
      <c r="V192" s="337"/>
      <c r="W192" s="337"/>
      <c r="X192" s="337"/>
      <c r="Y192" s="337"/>
      <c r="Z192" s="337"/>
      <c r="AA192" s="337"/>
      <c r="AB192" s="99"/>
    </row>
    <row r="193" spans="1:30" ht="18" customHeight="1">
      <c r="A193" s="98"/>
      <c r="B193" s="95"/>
      <c r="C193" s="278">
        <v>1</v>
      </c>
      <c r="D193" s="278"/>
      <c r="E193" s="137" t="s">
        <v>55</v>
      </c>
      <c r="F193" s="29"/>
      <c r="G193" s="29"/>
      <c r="H193" s="29"/>
      <c r="I193" s="29"/>
      <c r="J193" s="29"/>
      <c r="K193" s="29"/>
      <c r="L193" s="100" t="str">
        <f>"パラメータ．"&amp;E193</f>
        <v>パラメータ．案件コード</v>
      </c>
      <c r="M193" s="29"/>
      <c r="N193" s="29"/>
      <c r="O193" s="29"/>
      <c r="P193" s="29"/>
      <c r="Q193" s="29"/>
      <c r="R193" s="29"/>
      <c r="S193" s="29"/>
      <c r="T193" s="29"/>
      <c r="U193" s="29"/>
      <c r="V193" s="29"/>
      <c r="W193" s="29"/>
      <c r="X193" s="29"/>
      <c r="Y193" s="29"/>
      <c r="Z193" s="29"/>
      <c r="AA193" s="30"/>
      <c r="AB193" s="99"/>
      <c r="AD193" s="27" t="e">
        <f>"{"""&amp;#REF!&amp;""":""example"&amp;#REF!&amp;""","</f>
        <v>#REF!</v>
      </c>
    </row>
    <row r="194" spans="1:30" ht="18" customHeight="1">
      <c r="A194" s="98"/>
      <c r="B194" s="95"/>
      <c r="C194" s="278">
        <v>2</v>
      </c>
      <c r="D194" s="278"/>
      <c r="E194" s="137" t="s">
        <v>259</v>
      </c>
      <c r="F194" s="29"/>
      <c r="G194" s="29"/>
      <c r="H194" s="29"/>
      <c r="I194" s="29"/>
      <c r="J194" s="29"/>
      <c r="K194" s="29"/>
      <c r="L194" s="152" t="s">
        <v>860</v>
      </c>
      <c r="M194" s="29"/>
      <c r="N194" s="29"/>
      <c r="O194" s="29"/>
      <c r="P194" s="29"/>
      <c r="Q194" s="29"/>
      <c r="R194" s="29"/>
      <c r="S194" s="29"/>
      <c r="T194" s="29"/>
      <c r="U194" s="29"/>
      <c r="V194" s="29"/>
      <c r="W194" s="29"/>
      <c r="X194" s="29"/>
      <c r="Y194" s="29"/>
      <c r="Z194" s="29"/>
      <c r="AA194" s="30"/>
      <c r="AB194" s="99"/>
      <c r="AD194" s="27" t="e">
        <f>""""&amp;#REF!&amp;""":""example"&amp;#REF!&amp;""","</f>
        <v>#REF!</v>
      </c>
    </row>
    <row r="195" spans="1:30" ht="18" customHeight="1">
      <c r="A195" s="98"/>
      <c r="B195" s="95"/>
      <c r="C195" s="278">
        <v>3</v>
      </c>
      <c r="D195" s="278"/>
      <c r="E195" s="137" t="s">
        <v>134</v>
      </c>
      <c r="F195" s="29"/>
      <c r="G195" s="29"/>
      <c r="H195" s="29"/>
      <c r="I195" s="29"/>
      <c r="J195" s="29"/>
      <c r="K195" s="29"/>
      <c r="L195" s="152" t="s">
        <v>423</v>
      </c>
      <c r="M195" s="29"/>
      <c r="N195" s="29"/>
      <c r="O195" s="29"/>
      <c r="P195" s="29"/>
      <c r="Q195" s="29"/>
      <c r="R195" s="29"/>
      <c r="S195" s="29"/>
      <c r="T195" s="29"/>
      <c r="U195" s="29"/>
      <c r="V195" s="29"/>
      <c r="W195" s="29"/>
      <c r="X195" s="29"/>
      <c r="Y195" s="29"/>
      <c r="Z195" s="29"/>
      <c r="AA195" s="30"/>
      <c r="AB195" s="99"/>
      <c r="AD195" s="27" t="e">
        <f>""""&amp;#REF!&amp;""":""example"&amp;#REF!&amp;""","</f>
        <v>#REF!</v>
      </c>
    </row>
    <row r="196" spans="1:30" ht="18" customHeight="1">
      <c r="A196" s="98"/>
      <c r="B196" s="95"/>
      <c r="C196" s="278">
        <v>4</v>
      </c>
      <c r="D196" s="278"/>
      <c r="E196" s="137" t="s">
        <v>389</v>
      </c>
      <c r="F196" s="29"/>
      <c r="G196" s="29"/>
      <c r="H196" s="29"/>
      <c r="I196" s="29"/>
      <c r="J196" s="29"/>
      <c r="K196" s="29"/>
      <c r="L196" s="100" t="str">
        <f>"パラメータ．"&amp;E196</f>
        <v>パラメータ．案件名</v>
      </c>
      <c r="M196" s="29"/>
      <c r="N196" s="29"/>
      <c r="O196" s="29"/>
      <c r="P196" s="29"/>
      <c r="Q196" s="29"/>
      <c r="R196" s="29"/>
      <c r="S196" s="29"/>
      <c r="T196" s="29"/>
      <c r="U196" s="29"/>
      <c r="V196" s="29"/>
      <c r="W196" s="29"/>
      <c r="X196" s="29"/>
      <c r="Y196" s="29"/>
      <c r="Z196" s="29"/>
      <c r="AA196" s="30"/>
      <c r="AB196" s="99"/>
      <c r="AD196" s="27" t="str">
        <f>""""&amp;L195&amp;""":""example"&amp;L195&amp;""","</f>
        <v>"”１”（最新）":"example”１”（最新）",</v>
      </c>
    </row>
    <row r="197" spans="1:30" ht="18" customHeight="1">
      <c r="A197" s="98"/>
      <c r="B197" s="95"/>
      <c r="C197" s="278">
        <v>5</v>
      </c>
      <c r="D197" s="278"/>
      <c r="E197" s="137" t="s">
        <v>390</v>
      </c>
      <c r="F197" s="29"/>
      <c r="G197" s="29"/>
      <c r="H197" s="29"/>
      <c r="I197" s="29"/>
      <c r="J197" s="29"/>
      <c r="K197" s="29"/>
      <c r="L197" s="100" t="str">
        <f>"パラメータ．"&amp;E197</f>
        <v>パラメータ．案件カナ名</v>
      </c>
      <c r="M197" s="29"/>
      <c r="N197" s="29"/>
      <c r="O197" s="29"/>
      <c r="P197" s="29"/>
      <c r="Q197" s="29"/>
      <c r="R197" s="29"/>
      <c r="S197" s="29"/>
      <c r="T197" s="29"/>
      <c r="U197" s="29"/>
      <c r="V197" s="29"/>
      <c r="W197" s="29"/>
      <c r="X197" s="29"/>
      <c r="Y197" s="29"/>
      <c r="Z197" s="29"/>
      <c r="AA197" s="30"/>
      <c r="AB197" s="99"/>
      <c r="AD197" s="27" t="e">
        <f>""""&amp;#REF!&amp;""":""example"&amp;#REF!&amp;""","</f>
        <v>#REF!</v>
      </c>
    </row>
    <row r="198" spans="1:30" ht="18" customHeight="1">
      <c r="A198" s="98"/>
      <c r="B198" s="95"/>
      <c r="C198" s="336">
        <v>6</v>
      </c>
      <c r="D198" s="336"/>
      <c r="E198" s="113" t="s">
        <v>748</v>
      </c>
      <c r="F198" s="114"/>
      <c r="G198" s="114"/>
      <c r="H198" s="114"/>
      <c r="I198" s="114"/>
      <c r="J198" s="114"/>
      <c r="K198" s="114"/>
      <c r="L198" s="115" t="s">
        <v>832</v>
      </c>
      <c r="M198" s="114"/>
      <c r="N198" s="114"/>
      <c r="O198" s="114"/>
      <c r="P198" s="114"/>
      <c r="Q198" s="114"/>
      <c r="R198" s="114"/>
      <c r="S198" s="114"/>
      <c r="T198" s="114"/>
      <c r="U198" s="114"/>
      <c r="V198" s="114"/>
      <c r="W198" s="114"/>
      <c r="X198" s="114"/>
      <c r="Y198" s="114"/>
      <c r="Z198" s="114"/>
      <c r="AA198" s="116"/>
      <c r="AB198" s="99"/>
      <c r="AC198" s="111" t="s">
        <v>834</v>
      </c>
      <c r="AD198" s="27" t="str">
        <f>"{"""&amp;L199&amp;""":""example"&amp;L199&amp;""","</f>
        <v>{"パラメータ．対象現場コード":"exampleパラメータ．対象現場コード",</v>
      </c>
    </row>
    <row r="199" spans="1:30" ht="18" customHeight="1">
      <c r="A199" s="98"/>
      <c r="B199" s="95"/>
      <c r="C199" s="335">
        <v>7</v>
      </c>
      <c r="D199" s="335"/>
      <c r="E199" s="81" t="s">
        <v>752</v>
      </c>
      <c r="F199" s="72"/>
      <c r="G199" s="72"/>
      <c r="H199" s="72"/>
      <c r="I199" s="72"/>
      <c r="J199" s="72"/>
      <c r="K199" s="72"/>
      <c r="L199" s="71" t="str">
        <f t="shared" ref="L199:L242" si="0">"パラメータ．"&amp;E199</f>
        <v>パラメータ．対象現場コード</v>
      </c>
      <c r="M199" s="72"/>
      <c r="N199" s="72"/>
      <c r="O199" s="72"/>
      <c r="P199" s="72"/>
      <c r="Q199" s="72"/>
      <c r="R199" s="72"/>
      <c r="S199" s="72"/>
      <c r="T199" s="72"/>
      <c r="U199" s="72"/>
      <c r="V199" s="72"/>
      <c r="W199" s="72"/>
      <c r="X199" s="72"/>
      <c r="Y199" s="72"/>
      <c r="Z199" s="72"/>
      <c r="AA199" s="73"/>
      <c r="AB199" s="99"/>
      <c r="AC199" s="70" t="s">
        <v>750</v>
      </c>
      <c r="AD199" s="27" t="str">
        <f>""""&amp;L227&amp;""":""example"&amp;L227&amp;""","</f>
        <v>"パラメータ．階数（地上）":"exampleパラメータ．階数（地上）",</v>
      </c>
    </row>
    <row r="200" spans="1:30" ht="18" customHeight="1">
      <c r="A200" s="98"/>
      <c r="B200" s="95"/>
      <c r="C200" s="278">
        <v>6</v>
      </c>
      <c r="D200" s="278"/>
      <c r="E200" s="137" t="s">
        <v>135</v>
      </c>
      <c r="F200" s="29"/>
      <c r="G200" s="29"/>
      <c r="H200" s="29"/>
      <c r="I200" s="29"/>
      <c r="J200" s="29"/>
      <c r="K200" s="29"/>
      <c r="L200" s="100" t="str">
        <f t="shared" si="0"/>
        <v>パラメータ．受注状態コード</v>
      </c>
      <c r="M200" s="29"/>
      <c r="N200" s="29"/>
      <c r="O200" s="29"/>
      <c r="P200" s="29"/>
      <c r="Q200" s="29"/>
      <c r="R200" s="29"/>
      <c r="S200" s="29"/>
      <c r="T200" s="29"/>
      <c r="U200" s="29"/>
      <c r="V200" s="29"/>
      <c r="W200" s="29"/>
      <c r="X200" s="29"/>
      <c r="Y200" s="29"/>
      <c r="Z200" s="29"/>
      <c r="AA200" s="30"/>
      <c r="AB200" s="99"/>
      <c r="AD200" s="27" t="str">
        <f>"{"""&amp;L201&amp;""":""example"&amp;L201&amp;""","</f>
        <v>{"パラメータ．顧客支店コード":"exampleパラメータ．顧客支店コード",</v>
      </c>
    </row>
    <row r="201" spans="1:30" ht="18" customHeight="1">
      <c r="A201" s="98"/>
      <c r="B201" s="95"/>
      <c r="C201" s="278">
        <v>7</v>
      </c>
      <c r="D201" s="278"/>
      <c r="E201" s="137" t="s">
        <v>367</v>
      </c>
      <c r="F201" s="29"/>
      <c r="G201" s="29"/>
      <c r="H201" s="29"/>
      <c r="I201" s="29"/>
      <c r="J201" s="29"/>
      <c r="K201" s="29"/>
      <c r="L201" s="100" t="str">
        <f t="shared" si="0"/>
        <v>パラメータ．顧客支店コード</v>
      </c>
      <c r="M201" s="29"/>
      <c r="N201" s="29"/>
      <c r="O201" s="29"/>
      <c r="P201" s="29"/>
      <c r="Q201" s="29"/>
      <c r="R201" s="29"/>
      <c r="S201" s="29"/>
      <c r="T201" s="29"/>
      <c r="U201" s="29"/>
      <c r="V201" s="29"/>
      <c r="W201" s="29"/>
      <c r="X201" s="29"/>
      <c r="Y201" s="29"/>
      <c r="Z201" s="29"/>
      <c r="AA201" s="30"/>
      <c r="AB201" s="99"/>
      <c r="AD201" s="27" t="str">
        <f>""""&amp;L229&amp;""":""example"&amp;L229&amp;""","</f>
        <v>"パラメータ．工事経費率":"exampleパラメータ．工事経費率",</v>
      </c>
    </row>
    <row r="202" spans="1:30" ht="18" customHeight="1">
      <c r="A202" s="98"/>
      <c r="B202" s="95"/>
      <c r="C202" s="278">
        <v>8</v>
      </c>
      <c r="D202" s="278"/>
      <c r="E202" s="137" t="s">
        <v>136</v>
      </c>
      <c r="F202" s="29"/>
      <c r="G202" s="29"/>
      <c r="H202" s="29"/>
      <c r="I202" s="29"/>
      <c r="J202" s="29"/>
      <c r="K202" s="29"/>
      <c r="L202" s="100" t="str">
        <f t="shared" si="0"/>
        <v>パラメータ．想定金額</v>
      </c>
      <c r="M202" s="29"/>
      <c r="N202" s="29"/>
      <c r="O202" s="29"/>
      <c r="P202" s="29"/>
      <c r="Q202" s="29"/>
      <c r="R202" s="29"/>
      <c r="S202" s="29"/>
      <c r="T202" s="29"/>
      <c r="U202" s="29"/>
      <c r="V202" s="29"/>
      <c r="W202" s="29"/>
      <c r="X202" s="29"/>
      <c r="Y202" s="29"/>
      <c r="Z202" s="29"/>
      <c r="AA202" s="30"/>
      <c r="AB202" s="99"/>
      <c r="AD202" s="27" t="str">
        <f>""""&amp;L230&amp;""":""example"&amp;L230&amp;""","</f>
        <v>"パラメータ．工事経費金額":"exampleパラメータ．工事経費金額",</v>
      </c>
    </row>
    <row r="203" spans="1:30" ht="18" customHeight="1">
      <c r="A203" s="98"/>
      <c r="B203" s="95"/>
      <c r="C203" s="278">
        <v>9</v>
      </c>
      <c r="D203" s="278"/>
      <c r="E203" s="137" t="s">
        <v>137</v>
      </c>
      <c r="F203" s="29"/>
      <c r="G203" s="29"/>
      <c r="H203" s="29"/>
      <c r="I203" s="29"/>
      <c r="J203" s="29"/>
      <c r="K203" s="29"/>
      <c r="L203" s="100" t="str">
        <f t="shared" si="0"/>
        <v>パラメータ．郵便番号</v>
      </c>
      <c r="M203" s="29"/>
      <c r="N203" s="29"/>
      <c r="O203" s="29"/>
      <c r="P203" s="29"/>
      <c r="Q203" s="29"/>
      <c r="R203" s="29"/>
      <c r="S203" s="29"/>
      <c r="T203" s="29"/>
      <c r="U203" s="29"/>
      <c r="V203" s="29"/>
      <c r="W203" s="29"/>
      <c r="X203" s="29"/>
      <c r="Y203" s="29"/>
      <c r="Z203" s="29"/>
      <c r="AA203" s="30"/>
      <c r="AB203" s="99"/>
      <c r="AD203" s="27" t="e">
        <f>""""&amp;#REF!&amp;""":""example"&amp;#REF!&amp;""","</f>
        <v>#REF!</v>
      </c>
    </row>
    <row r="204" spans="1:30" ht="18" customHeight="1">
      <c r="A204" s="98"/>
      <c r="B204" s="95"/>
      <c r="C204" s="278">
        <v>10</v>
      </c>
      <c r="D204" s="278"/>
      <c r="E204" s="137" t="s">
        <v>138</v>
      </c>
      <c r="F204" s="29"/>
      <c r="G204" s="29"/>
      <c r="H204" s="29"/>
      <c r="I204" s="29"/>
      <c r="J204" s="29"/>
      <c r="K204" s="29"/>
      <c r="L204" s="100" t="str">
        <f t="shared" si="0"/>
        <v>パラメータ．現場住所１</v>
      </c>
      <c r="M204" s="29"/>
      <c r="N204" s="29"/>
      <c r="O204" s="29"/>
      <c r="P204" s="29"/>
      <c r="Q204" s="29"/>
      <c r="R204" s="29"/>
      <c r="S204" s="29"/>
      <c r="T204" s="29"/>
      <c r="U204" s="29"/>
      <c r="V204" s="29"/>
      <c r="W204" s="29"/>
      <c r="X204" s="29"/>
      <c r="Y204" s="29"/>
      <c r="Z204" s="29"/>
      <c r="AA204" s="30"/>
      <c r="AB204" s="99"/>
      <c r="AD204" s="27" t="str">
        <f>""""&amp;L231&amp;""":""example"&amp;L231&amp;"""},"</f>
        <v>"パラメータ．販売管理費率":"exampleパラメータ．販売管理費率"},</v>
      </c>
    </row>
    <row r="205" spans="1:30" ht="18" customHeight="1">
      <c r="A205" s="98"/>
      <c r="B205" s="95"/>
      <c r="C205" s="278">
        <v>11</v>
      </c>
      <c r="D205" s="278"/>
      <c r="E205" s="137" t="s">
        <v>139</v>
      </c>
      <c r="F205" s="29"/>
      <c r="G205" s="29"/>
      <c r="H205" s="29"/>
      <c r="I205" s="29"/>
      <c r="J205" s="29"/>
      <c r="K205" s="29"/>
      <c r="L205" s="100" t="str">
        <f t="shared" si="0"/>
        <v>パラメータ．現場住所２</v>
      </c>
      <c r="M205" s="29"/>
      <c r="N205" s="29"/>
      <c r="O205" s="29"/>
      <c r="P205" s="29"/>
      <c r="Q205" s="29"/>
      <c r="R205" s="29"/>
      <c r="S205" s="29"/>
      <c r="T205" s="29"/>
      <c r="U205" s="29"/>
      <c r="V205" s="29"/>
      <c r="W205" s="29"/>
      <c r="X205" s="29"/>
      <c r="Y205" s="29"/>
      <c r="Z205" s="29"/>
      <c r="AA205" s="30"/>
      <c r="AB205" s="99"/>
      <c r="AD205" s="27" t="e">
        <f>""""&amp;#REF!&amp;""":""example"&amp;#REF!&amp;"""},"</f>
        <v>#REF!</v>
      </c>
    </row>
    <row r="206" spans="1:30" ht="18" customHeight="1">
      <c r="A206" s="98"/>
      <c r="B206" s="95"/>
      <c r="C206" s="278">
        <v>12</v>
      </c>
      <c r="D206" s="278"/>
      <c r="E206" s="137" t="s">
        <v>64</v>
      </c>
      <c r="F206" s="29"/>
      <c r="G206" s="29"/>
      <c r="H206" s="29"/>
      <c r="I206" s="29"/>
      <c r="J206" s="29"/>
      <c r="K206" s="29"/>
      <c r="L206" s="100" t="str">
        <f t="shared" si="0"/>
        <v>パラメータ．受注見込日</v>
      </c>
      <c r="M206" s="29"/>
      <c r="N206" s="29"/>
      <c r="O206" s="29"/>
      <c r="P206" s="29"/>
      <c r="Q206" s="29"/>
      <c r="R206" s="29"/>
      <c r="S206" s="29"/>
      <c r="T206" s="29"/>
      <c r="U206" s="29"/>
      <c r="V206" s="29"/>
      <c r="W206" s="29"/>
      <c r="X206" s="29"/>
      <c r="Y206" s="29"/>
      <c r="Z206" s="29"/>
      <c r="AA206" s="30"/>
      <c r="AB206" s="99"/>
      <c r="AD206" s="27" t="e">
        <f>""""&amp;#REF!&amp;""": ["</f>
        <v>#REF!</v>
      </c>
    </row>
    <row r="207" spans="1:30" ht="18" customHeight="1">
      <c r="A207" s="98"/>
      <c r="B207" s="95"/>
      <c r="C207" s="278">
        <v>13</v>
      </c>
      <c r="D207" s="278"/>
      <c r="E207" s="137" t="s">
        <v>65</v>
      </c>
      <c r="F207" s="29"/>
      <c r="G207" s="29"/>
      <c r="H207" s="29"/>
      <c r="I207" s="29"/>
      <c r="J207" s="29"/>
      <c r="K207" s="29"/>
      <c r="L207" s="100" t="str">
        <f t="shared" si="0"/>
        <v>パラメータ．着工希望日</v>
      </c>
      <c r="M207" s="29"/>
      <c r="N207" s="29"/>
      <c r="O207" s="29"/>
      <c r="P207" s="29"/>
      <c r="Q207" s="29"/>
      <c r="R207" s="29"/>
      <c r="S207" s="29"/>
      <c r="T207" s="29"/>
      <c r="U207" s="29"/>
      <c r="V207" s="29"/>
      <c r="W207" s="29"/>
      <c r="X207" s="29"/>
      <c r="Y207" s="29"/>
      <c r="Z207" s="29"/>
      <c r="AA207" s="30"/>
      <c r="AB207" s="99"/>
      <c r="AD207" s="27" t="e">
        <f>"{"""&amp;#REF!&amp;""":""example"&amp;#REF!&amp;""","</f>
        <v>#REF!</v>
      </c>
    </row>
    <row r="208" spans="1:30" ht="18" customHeight="1">
      <c r="A208" s="98"/>
      <c r="B208" s="95"/>
      <c r="C208" s="278">
        <v>14</v>
      </c>
      <c r="D208" s="278"/>
      <c r="E208" s="137" t="s">
        <v>391</v>
      </c>
      <c r="F208" s="29"/>
      <c r="G208" s="29"/>
      <c r="H208" s="29"/>
      <c r="I208" s="29"/>
      <c r="J208" s="29"/>
      <c r="K208" s="29"/>
      <c r="L208" s="100" t="str">
        <f t="shared" si="0"/>
        <v>パラメータ．完了希望日</v>
      </c>
      <c r="M208" s="29"/>
      <c r="N208" s="29"/>
      <c r="O208" s="29"/>
      <c r="P208" s="29"/>
      <c r="Q208" s="29"/>
      <c r="R208" s="29"/>
      <c r="S208" s="29"/>
      <c r="T208" s="29"/>
      <c r="U208" s="29"/>
      <c r="V208" s="29"/>
      <c r="W208" s="29"/>
      <c r="X208" s="29"/>
      <c r="Y208" s="29"/>
      <c r="Z208" s="29"/>
      <c r="AA208" s="30"/>
      <c r="AB208" s="99"/>
      <c r="AD208" s="27" t="str">
        <f>""""&amp;L233&amp;""":""example"&amp;L233&amp;""","</f>
        <v>"パラメータ．調整金額":"exampleパラメータ．調整金額",</v>
      </c>
    </row>
    <row r="209" spans="1:30" ht="18" customHeight="1">
      <c r="A209" s="98"/>
      <c r="B209" s="95"/>
      <c r="C209" s="278">
        <v>15</v>
      </c>
      <c r="D209" s="278"/>
      <c r="E209" s="137" t="s">
        <v>392</v>
      </c>
      <c r="F209" s="29"/>
      <c r="G209" s="29"/>
      <c r="H209" s="29"/>
      <c r="I209" s="29"/>
      <c r="J209" s="29"/>
      <c r="K209" s="29"/>
      <c r="L209" s="100" t="str">
        <f t="shared" si="0"/>
        <v>パラメータ．営業部門ID</v>
      </c>
      <c r="M209" s="29"/>
      <c r="N209" s="29"/>
      <c r="O209" s="29"/>
      <c r="P209" s="29"/>
      <c r="Q209" s="29"/>
      <c r="R209" s="29"/>
      <c r="S209" s="29"/>
      <c r="T209" s="29"/>
      <c r="U209" s="29"/>
      <c r="V209" s="29"/>
      <c r="W209" s="29"/>
      <c r="X209" s="29"/>
      <c r="Y209" s="29"/>
      <c r="Z209" s="29"/>
      <c r="AA209" s="30"/>
      <c r="AB209" s="99"/>
      <c r="AD209" s="27" t="e">
        <f>""""&amp;#REF!&amp;""":""example"&amp;#REF!&amp;"""},"</f>
        <v>#REF!</v>
      </c>
    </row>
    <row r="210" spans="1:30" ht="18" customHeight="1">
      <c r="A210" s="98"/>
      <c r="B210" s="95"/>
      <c r="C210" s="278">
        <v>16</v>
      </c>
      <c r="D210" s="278"/>
      <c r="E210" s="137" t="s">
        <v>140</v>
      </c>
      <c r="F210" s="29"/>
      <c r="G210" s="29"/>
      <c r="H210" s="29"/>
      <c r="I210" s="29"/>
      <c r="J210" s="29"/>
      <c r="K210" s="29"/>
      <c r="L210" s="100" t="str">
        <f t="shared" si="0"/>
        <v>パラメータ．営業管理職コード</v>
      </c>
      <c r="M210" s="29"/>
      <c r="N210" s="29"/>
      <c r="O210" s="29"/>
      <c r="P210" s="29"/>
      <c r="Q210" s="29"/>
      <c r="R210" s="29"/>
      <c r="S210" s="29"/>
      <c r="T210" s="29"/>
      <c r="U210" s="29"/>
      <c r="V210" s="29"/>
      <c r="W210" s="29"/>
      <c r="X210" s="29"/>
      <c r="Y210" s="29"/>
      <c r="Z210" s="29"/>
      <c r="AA210" s="30"/>
      <c r="AB210" s="99"/>
      <c r="AD210" s="27" t="str">
        <f>""""&amp;L236&amp;""":""example"&amp;L236&amp;""","</f>
        <v>"パラメータ．介護保険率":"exampleパラメータ．介護保険率",</v>
      </c>
    </row>
    <row r="211" spans="1:30" ht="18" customHeight="1">
      <c r="A211" s="98"/>
      <c r="B211" s="95"/>
      <c r="C211" s="278">
        <v>17</v>
      </c>
      <c r="D211" s="278"/>
      <c r="E211" s="137" t="s">
        <v>141</v>
      </c>
      <c r="F211" s="29"/>
      <c r="G211" s="29"/>
      <c r="H211" s="29"/>
      <c r="I211" s="29"/>
      <c r="J211" s="29"/>
      <c r="K211" s="29"/>
      <c r="L211" s="100" t="str">
        <f t="shared" si="0"/>
        <v>パラメータ．営業担当者コード</v>
      </c>
      <c r="M211" s="29"/>
      <c r="N211" s="29"/>
      <c r="O211" s="29"/>
      <c r="P211" s="29"/>
      <c r="Q211" s="29"/>
      <c r="R211" s="29"/>
      <c r="S211" s="29"/>
      <c r="T211" s="29"/>
      <c r="U211" s="29"/>
      <c r="V211" s="29"/>
      <c r="W211" s="29"/>
      <c r="X211" s="29"/>
      <c r="Y211" s="29"/>
      <c r="Z211" s="29"/>
      <c r="AA211" s="30"/>
      <c r="AB211" s="99"/>
      <c r="AD211" s="27" t="str">
        <f>""""&amp;L238&amp;""":""example"&amp;L238&amp;""","</f>
        <v>"パラメータ．締日区分":"exampleパラメータ．締日区分",</v>
      </c>
    </row>
    <row r="212" spans="1:30" ht="18" customHeight="1">
      <c r="A212" s="98"/>
      <c r="B212" s="95"/>
      <c r="C212" s="278">
        <v>18</v>
      </c>
      <c r="D212" s="278"/>
      <c r="E212" s="137" t="s">
        <v>393</v>
      </c>
      <c r="F212" s="29"/>
      <c r="G212" s="29"/>
      <c r="H212" s="29"/>
      <c r="I212" s="29"/>
      <c r="J212" s="29"/>
      <c r="K212" s="29"/>
      <c r="L212" s="100" t="str">
        <f t="shared" si="0"/>
        <v>パラメータ．設計業者名</v>
      </c>
      <c r="M212" s="29"/>
      <c r="N212" s="29"/>
      <c r="O212" s="29"/>
      <c r="P212" s="29"/>
      <c r="Q212" s="29"/>
      <c r="R212" s="29"/>
      <c r="S212" s="29"/>
      <c r="T212" s="29"/>
      <c r="U212" s="29"/>
      <c r="V212" s="29"/>
      <c r="W212" s="29"/>
      <c r="X212" s="29"/>
      <c r="Y212" s="29"/>
      <c r="Z212" s="29"/>
      <c r="AA212" s="30"/>
      <c r="AB212" s="99"/>
      <c r="AD212" s="27" t="str">
        <f>""""&amp;L240&amp;""":""example"&amp;L240&amp;""","</f>
        <v>"パラメータ．支払日区分":"exampleパラメータ．支払日区分",</v>
      </c>
    </row>
    <row r="213" spans="1:30" ht="18" customHeight="1">
      <c r="A213" s="98"/>
      <c r="B213" s="95"/>
      <c r="C213" s="278">
        <v>19</v>
      </c>
      <c r="D213" s="278"/>
      <c r="E213" s="137" t="s">
        <v>394</v>
      </c>
      <c r="F213" s="29"/>
      <c r="G213" s="29"/>
      <c r="H213" s="29"/>
      <c r="I213" s="29"/>
      <c r="J213" s="29"/>
      <c r="K213" s="29"/>
      <c r="L213" s="100" t="str">
        <f t="shared" si="0"/>
        <v>パラメータ．設計担当者名</v>
      </c>
      <c r="M213" s="29"/>
      <c r="N213" s="29"/>
      <c r="O213" s="29"/>
      <c r="P213" s="29"/>
      <c r="Q213" s="29"/>
      <c r="R213" s="29"/>
      <c r="S213" s="29"/>
      <c r="T213" s="29"/>
      <c r="U213" s="29"/>
      <c r="V213" s="29"/>
      <c r="W213" s="29"/>
      <c r="X213" s="29"/>
      <c r="Y213" s="29"/>
      <c r="Z213" s="29"/>
      <c r="AA213" s="30"/>
      <c r="AB213" s="99"/>
      <c r="AD213" s="27" t="str">
        <f>""""&amp;L241&amp;""":""example"&amp;L241&amp;"""},"</f>
        <v>"パラメータ．不成約理由":"exampleパラメータ．不成約理由"},</v>
      </c>
    </row>
    <row r="214" spans="1:30" ht="18" customHeight="1">
      <c r="A214" s="98"/>
      <c r="B214" s="95"/>
      <c r="C214" s="278">
        <v>20</v>
      </c>
      <c r="D214" s="278"/>
      <c r="E214" s="137" t="s">
        <v>142</v>
      </c>
      <c r="F214" s="29"/>
      <c r="G214" s="29"/>
      <c r="H214" s="29"/>
      <c r="I214" s="29"/>
      <c r="J214" s="29"/>
      <c r="K214" s="29"/>
      <c r="L214" s="100" t="str">
        <f t="shared" si="0"/>
        <v>パラメータ．進捗度コード</v>
      </c>
      <c r="M214" s="29"/>
      <c r="N214" s="29"/>
      <c r="O214" s="29"/>
      <c r="P214" s="29"/>
      <c r="Q214" s="29"/>
      <c r="R214" s="29"/>
      <c r="S214" s="29"/>
      <c r="T214" s="29"/>
      <c r="U214" s="29"/>
      <c r="V214" s="29"/>
      <c r="W214" s="29"/>
      <c r="X214" s="29"/>
      <c r="Y214" s="29"/>
      <c r="Z214" s="29"/>
      <c r="AA214" s="30"/>
      <c r="AB214" s="99"/>
      <c r="AD214" s="27" t="e">
        <f>""""&amp;#REF!&amp;""":""example"&amp;#REF!&amp;"""},"</f>
        <v>#REF!</v>
      </c>
    </row>
    <row r="215" spans="1:30" s="36" customFormat="1" ht="18" customHeight="1">
      <c r="A215" s="177"/>
      <c r="B215" s="97"/>
      <c r="C215" s="316">
        <v>21</v>
      </c>
      <c r="D215" s="316"/>
      <c r="E215" s="181" t="s">
        <v>1054</v>
      </c>
      <c r="F215" s="133"/>
      <c r="G215" s="133"/>
      <c r="H215" s="133"/>
      <c r="I215" s="133"/>
      <c r="J215" s="133"/>
      <c r="K215" s="133"/>
      <c r="L215" s="145" t="s">
        <v>1055</v>
      </c>
      <c r="M215" s="133"/>
      <c r="N215" s="133"/>
      <c r="O215" s="133"/>
      <c r="P215" s="133"/>
      <c r="Q215" s="133"/>
      <c r="R215" s="133"/>
      <c r="S215" s="133"/>
      <c r="T215" s="133"/>
      <c r="U215" s="133"/>
      <c r="V215" s="133"/>
      <c r="W215" s="133"/>
      <c r="X215" s="133"/>
      <c r="Y215" s="133"/>
      <c r="Z215" s="133"/>
      <c r="AA215" s="179"/>
      <c r="AB215" s="180"/>
      <c r="AC215" s="36" t="s">
        <v>1052</v>
      </c>
      <c r="AD215" s="36" t="e">
        <f>""""&amp;#REF!&amp;""":""example"&amp;#REF!&amp;"""},"</f>
        <v>#REF!</v>
      </c>
    </row>
    <row r="216" spans="1:30" ht="18" customHeight="1">
      <c r="A216" s="98"/>
      <c r="B216" s="95"/>
      <c r="C216" s="278">
        <v>22</v>
      </c>
      <c r="D216" s="278"/>
      <c r="E216" s="137" t="s">
        <v>143</v>
      </c>
      <c r="F216" s="29"/>
      <c r="G216" s="29"/>
      <c r="H216" s="29"/>
      <c r="I216" s="29"/>
      <c r="J216" s="29"/>
      <c r="K216" s="29"/>
      <c r="L216" s="100" t="str">
        <f t="shared" si="0"/>
        <v>パラメータ．案件区分</v>
      </c>
      <c r="M216" s="29"/>
      <c r="N216" s="29"/>
      <c r="O216" s="29"/>
      <c r="P216" s="29"/>
      <c r="Q216" s="29"/>
      <c r="R216" s="29"/>
      <c r="S216" s="29"/>
      <c r="T216" s="29"/>
      <c r="U216" s="29"/>
      <c r="V216" s="29"/>
      <c r="W216" s="29"/>
      <c r="X216" s="29"/>
      <c r="Y216" s="29"/>
      <c r="Z216" s="29"/>
      <c r="AA216" s="30"/>
      <c r="AB216" s="99"/>
      <c r="AD216" s="27" t="e">
        <f>""""&amp;#REF!&amp;""":""example"&amp;#REF!&amp;"""},"</f>
        <v>#REF!</v>
      </c>
    </row>
    <row r="217" spans="1:30" ht="18" customHeight="1">
      <c r="A217" s="98"/>
      <c r="B217" s="95"/>
      <c r="C217" s="278">
        <v>23</v>
      </c>
      <c r="D217" s="278"/>
      <c r="E217" s="137" t="s">
        <v>61</v>
      </c>
      <c r="F217" s="29"/>
      <c r="G217" s="29"/>
      <c r="H217" s="29"/>
      <c r="I217" s="29"/>
      <c r="J217" s="29"/>
      <c r="K217" s="29"/>
      <c r="L217" s="100" t="str">
        <f t="shared" si="0"/>
        <v>パラメータ．官民区分</v>
      </c>
      <c r="M217" s="29"/>
      <c r="N217" s="29"/>
      <c r="O217" s="29"/>
      <c r="P217" s="29"/>
      <c r="Q217" s="29"/>
      <c r="R217" s="29"/>
      <c r="S217" s="29"/>
      <c r="T217" s="29"/>
      <c r="U217" s="29"/>
      <c r="V217" s="29"/>
      <c r="W217" s="29"/>
      <c r="X217" s="29"/>
      <c r="Y217" s="29"/>
      <c r="Z217" s="29"/>
      <c r="AA217" s="30"/>
      <c r="AB217" s="99"/>
      <c r="AD217" s="27" t="e">
        <f>""""&amp;#REF!&amp;""": ["</f>
        <v>#REF!</v>
      </c>
    </row>
    <row r="218" spans="1:30" ht="18" customHeight="1">
      <c r="A218" s="98"/>
      <c r="B218" s="95"/>
      <c r="C218" s="278">
        <v>24</v>
      </c>
      <c r="D218" s="278"/>
      <c r="E218" s="137" t="s">
        <v>395</v>
      </c>
      <c r="F218" s="29"/>
      <c r="G218" s="29"/>
      <c r="H218" s="29"/>
      <c r="I218" s="29"/>
      <c r="J218" s="29"/>
      <c r="K218" s="29"/>
      <c r="L218" s="100" t="str">
        <f t="shared" si="0"/>
        <v>パラメータ．グリンサイトフラグ</v>
      </c>
      <c r="M218" s="29"/>
      <c r="N218" s="29"/>
      <c r="O218" s="29"/>
      <c r="P218" s="29"/>
      <c r="Q218" s="29"/>
      <c r="R218" s="29"/>
      <c r="S218" s="29"/>
      <c r="T218" s="29"/>
      <c r="U218" s="29"/>
      <c r="V218" s="29"/>
      <c r="W218" s="29"/>
      <c r="X218" s="29"/>
      <c r="Y218" s="29"/>
      <c r="Z218" s="29"/>
      <c r="AA218" s="30"/>
      <c r="AB218" s="99"/>
      <c r="AD218" s="27" t="e">
        <f>""""&amp;#REF!&amp;""": ["</f>
        <v>#REF!</v>
      </c>
    </row>
    <row r="219" spans="1:30" ht="18" customHeight="1">
      <c r="A219" s="98"/>
      <c r="B219" s="95"/>
      <c r="C219" s="278">
        <v>25</v>
      </c>
      <c r="D219" s="278"/>
      <c r="E219" s="137" t="s">
        <v>62</v>
      </c>
      <c r="F219" s="29"/>
      <c r="G219" s="29"/>
      <c r="H219" s="29"/>
      <c r="I219" s="29"/>
      <c r="J219" s="29"/>
      <c r="K219" s="29"/>
      <c r="L219" s="100" t="str">
        <f t="shared" si="0"/>
        <v>パラメータ．見積提出期限</v>
      </c>
      <c r="M219" s="29"/>
      <c r="N219" s="29"/>
      <c r="O219" s="29"/>
      <c r="P219" s="29"/>
      <c r="Q219" s="29"/>
      <c r="R219" s="29"/>
      <c r="S219" s="29"/>
      <c r="T219" s="29"/>
      <c r="U219" s="29"/>
      <c r="V219" s="29"/>
      <c r="W219" s="29"/>
      <c r="X219" s="29"/>
      <c r="Y219" s="29"/>
      <c r="Z219" s="29"/>
      <c r="AA219" s="30"/>
      <c r="AB219" s="99"/>
    </row>
    <row r="220" spans="1:30" ht="18" customHeight="1">
      <c r="A220" s="98"/>
      <c r="B220" s="95"/>
      <c r="C220" s="278">
        <v>26</v>
      </c>
      <c r="D220" s="278"/>
      <c r="E220" s="137" t="s">
        <v>144</v>
      </c>
      <c r="F220" s="29"/>
      <c r="G220" s="29"/>
      <c r="H220" s="29"/>
      <c r="I220" s="29"/>
      <c r="J220" s="29"/>
      <c r="K220" s="29"/>
      <c r="L220" s="100" t="str">
        <f t="shared" si="0"/>
        <v>パラメータ．敷地面積</v>
      </c>
      <c r="M220" s="29"/>
      <c r="N220" s="29"/>
      <c r="O220" s="29"/>
      <c r="P220" s="29"/>
      <c r="Q220" s="29"/>
      <c r="R220" s="29"/>
      <c r="S220" s="29"/>
      <c r="T220" s="29"/>
      <c r="U220" s="29"/>
      <c r="V220" s="29"/>
      <c r="W220" s="29"/>
      <c r="X220" s="29"/>
      <c r="Y220" s="29"/>
      <c r="Z220" s="29"/>
      <c r="AA220" s="30"/>
      <c r="AB220" s="99"/>
    </row>
    <row r="221" spans="1:30" ht="18" customHeight="1">
      <c r="A221" s="98"/>
      <c r="B221" s="95"/>
      <c r="C221" s="278">
        <v>27</v>
      </c>
      <c r="D221" s="278"/>
      <c r="E221" s="137" t="s">
        <v>145</v>
      </c>
      <c r="F221" s="29"/>
      <c r="G221" s="29"/>
      <c r="H221" s="29"/>
      <c r="I221" s="29"/>
      <c r="J221" s="29"/>
      <c r="K221" s="29"/>
      <c r="L221" s="100" t="str">
        <f t="shared" si="0"/>
        <v>パラメータ．建築面積</v>
      </c>
      <c r="M221" s="29"/>
      <c r="N221" s="29"/>
      <c r="O221" s="29"/>
      <c r="P221" s="29"/>
      <c r="Q221" s="29"/>
      <c r="R221" s="29"/>
      <c r="S221" s="29"/>
      <c r="T221" s="29"/>
      <c r="U221" s="29"/>
      <c r="V221" s="29"/>
      <c r="W221" s="29"/>
      <c r="X221" s="29"/>
      <c r="Y221" s="29"/>
      <c r="Z221" s="29"/>
      <c r="AA221" s="30"/>
      <c r="AB221" s="99"/>
      <c r="AD221" s="27" t="e">
        <f>"{"""&amp;#REF!&amp;""":""example"&amp;#REF!&amp;""","</f>
        <v>#REF!</v>
      </c>
    </row>
    <row r="222" spans="1:30" ht="18" customHeight="1">
      <c r="A222" s="98"/>
      <c r="B222" s="95"/>
      <c r="C222" s="278">
        <v>28</v>
      </c>
      <c r="D222" s="278"/>
      <c r="E222" s="137" t="s">
        <v>146</v>
      </c>
      <c r="F222" s="29"/>
      <c r="G222" s="29"/>
      <c r="H222" s="29"/>
      <c r="I222" s="29"/>
      <c r="J222" s="29"/>
      <c r="K222" s="29"/>
      <c r="L222" s="100" t="str">
        <f t="shared" si="0"/>
        <v>パラメータ．延床面積</v>
      </c>
      <c r="M222" s="29"/>
      <c r="N222" s="29"/>
      <c r="O222" s="29"/>
      <c r="P222" s="29"/>
      <c r="Q222" s="29"/>
      <c r="R222" s="29"/>
      <c r="S222" s="29"/>
      <c r="T222" s="29"/>
      <c r="U222" s="29"/>
      <c r="V222" s="29"/>
      <c r="W222" s="29"/>
      <c r="X222" s="29"/>
      <c r="Y222" s="29"/>
      <c r="Z222" s="29"/>
      <c r="AA222" s="30"/>
      <c r="AB222" s="99"/>
      <c r="AD222" s="27" t="e">
        <f>"{"""&amp;#REF!&amp;""":""example"&amp;#REF!&amp;""","</f>
        <v>#REF!</v>
      </c>
    </row>
    <row r="223" spans="1:30" ht="18" customHeight="1">
      <c r="A223" s="98"/>
      <c r="B223" s="95"/>
      <c r="C223" s="278">
        <v>29</v>
      </c>
      <c r="D223" s="278"/>
      <c r="E223" s="137" t="s">
        <v>147</v>
      </c>
      <c r="F223" s="29"/>
      <c r="G223" s="29"/>
      <c r="H223" s="29"/>
      <c r="I223" s="29"/>
      <c r="J223" s="29"/>
      <c r="K223" s="29"/>
      <c r="L223" s="100" t="str">
        <f t="shared" si="0"/>
        <v>パラメータ．施工床面積</v>
      </c>
      <c r="M223" s="29"/>
      <c r="N223" s="29"/>
      <c r="O223" s="29"/>
      <c r="P223" s="29"/>
      <c r="Q223" s="29"/>
      <c r="R223" s="29"/>
      <c r="S223" s="29"/>
      <c r="T223" s="29"/>
      <c r="U223" s="29"/>
      <c r="V223" s="29"/>
      <c r="W223" s="29"/>
      <c r="X223" s="29"/>
      <c r="Y223" s="29"/>
      <c r="Z223" s="29"/>
      <c r="AA223" s="30"/>
      <c r="AB223" s="99"/>
    </row>
    <row r="224" spans="1:30" ht="18" customHeight="1">
      <c r="A224" s="98"/>
      <c r="B224" s="95"/>
      <c r="C224" s="278">
        <v>30</v>
      </c>
      <c r="D224" s="278"/>
      <c r="E224" s="137" t="s">
        <v>148</v>
      </c>
      <c r="F224" s="29"/>
      <c r="G224" s="29"/>
      <c r="H224" s="29"/>
      <c r="I224" s="29"/>
      <c r="J224" s="29"/>
      <c r="K224" s="29"/>
      <c r="L224" s="100" t="str">
        <f t="shared" si="0"/>
        <v>パラメータ．専有面積</v>
      </c>
      <c r="M224" s="29"/>
      <c r="N224" s="29"/>
      <c r="O224" s="29"/>
      <c r="P224" s="29"/>
      <c r="Q224" s="29"/>
      <c r="R224" s="29"/>
      <c r="S224" s="29"/>
      <c r="T224" s="29"/>
      <c r="U224" s="29"/>
      <c r="V224" s="29"/>
      <c r="W224" s="29"/>
      <c r="X224" s="29"/>
      <c r="Y224" s="29"/>
      <c r="Z224" s="29"/>
      <c r="AA224" s="30"/>
      <c r="AB224" s="99"/>
    </row>
    <row r="225" spans="1:30" ht="18" customHeight="1">
      <c r="A225" s="98"/>
      <c r="B225" s="95"/>
      <c r="C225" s="278">
        <v>31</v>
      </c>
      <c r="D225" s="278"/>
      <c r="E225" s="137" t="s">
        <v>149</v>
      </c>
      <c r="F225" s="29"/>
      <c r="G225" s="29"/>
      <c r="H225" s="29"/>
      <c r="I225" s="29"/>
      <c r="J225" s="29"/>
      <c r="K225" s="29"/>
      <c r="L225" s="100" t="str">
        <f t="shared" si="0"/>
        <v>パラメータ．施工面積</v>
      </c>
      <c r="M225" s="29"/>
      <c r="N225" s="29"/>
      <c r="O225" s="29"/>
      <c r="P225" s="29"/>
      <c r="Q225" s="29"/>
      <c r="R225" s="29"/>
      <c r="S225" s="29"/>
      <c r="T225" s="29"/>
      <c r="U225" s="29"/>
      <c r="V225" s="29"/>
      <c r="W225" s="29"/>
      <c r="X225" s="29"/>
      <c r="Y225" s="29"/>
      <c r="Z225" s="29"/>
      <c r="AA225" s="30"/>
      <c r="AB225" s="99"/>
    </row>
    <row r="226" spans="1:30" ht="18" customHeight="1">
      <c r="A226" s="98"/>
      <c r="B226" s="95"/>
      <c r="C226" s="278">
        <v>32</v>
      </c>
      <c r="D226" s="278"/>
      <c r="E226" s="137" t="s">
        <v>63</v>
      </c>
      <c r="F226" s="29"/>
      <c r="G226" s="29"/>
      <c r="H226" s="29"/>
      <c r="I226" s="29"/>
      <c r="J226" s="29"/>
      <c r="K226" s="29"/>
      <c r="L226" s="100" t="str">
        <f t="shared" si="0"/>
        <v>パラメータ．戸数</v>
      </c>
      <c r="M226" s="29"/>
      <c r="N226" s="29"/>
      <c r="O226" s="29"/>
      <c r="P226" s="29"/>
      <c r="Q226" s="29"/>
      <c r="R226" s="29"/>
      <c r="S226" s="29"/>
      <c r="T226" s="29"/>
      <c r="U226" s="29"/>
      <c r="V226" s="29"/>
      <c r="W226" s="29"/>
      <c r="X226" s="29"/>
      <c r="Y226" s="29"/>
      <c r="Z226" s="29"/>
      <c r="AA226" s="30"/>
      <c r="AB226" s="99"/>
    </row>
    <row r="227" spans="1:30" ht="18" customHeight="1">
      <c r="A227" s="98"/>
      <c r="B227" s="95"/>
      <c r="C227" s="278">
        <v>33</v>
      </c>
      <c r="D227" s="278"/>
      <c r="E227" s="137" t="s">
        <v>150</v>
      </c>
      <c r="F227" s="29"/>
      <c r="G227" s="29"/>
      <c r="H227" s="29"/>
      <c r="I227" s="29"/>
      <c r="J227" s="29"/>
      <c r="K227" s="29"/>
      <c r="L227" s="100" t="str">
        <f t="shared" si="0"/>
        <v>パラメータ．階数（地上）</v>
      </c>
      <c r="M227" s="29"/>
      <c r="N227" s="29"/>
      <c r="O227" s="29"/>
      <c r="P227" s="29"/>
      <c r="Q227" s="29"/>
      <c r="R227" s="29"/>
      <c r="S227" s="29"/>
      <c r="T227" s="29"/>
      <c r="U227" s="29"/>
      <c r="V227" s="29"/>
      <c r="W227" s="29"/>
      <c r="X227" s="29"/>
      <c r="Y227" s="29"/>
      <c r="Z227" s="29"/>
      <c r="AA227" s="30"/>
      <c r="AB227" s="99"/>
    </row>
    <row r="228" spans="1:30" ht="18" customHeight="1">
      <c r="A228" s="98"/>
      <c r="B228" s="95"/>
      <c r="C228" s="278">
        <v>34</v>
      </c>
      <c r="D228" s="278"/>
      <c r="E228" s="137" t="s">
        <v>151</v>
      </c>
      <c r="F228" s="29"/>
      <c r="G228" s="29"/>
      <c r="H228" s="29"/>
      <c r="I228" s="29"/>
      <c r="J228" s="29"/>
      <c r="K228" s="29"/>
      <c r="L228" s="100" t="str">
        <f t="shared" si="0"/>
        <v>パラメータ．階数（地下）</v>
      </c>
      <c r="M228" s="29"/>
      <c r="N228" s="29"/>
      <c r="O228" s="29"/>
      <c r="P228" s="29"/>
      <c r="Q228" s="29"/>
      <c r="R228" s="29"/>
      <c r="S228" s="29"/>
      <c r="T228" s="29"/>
      <c r="U228" s="29"/>
      <c r="V228" s="29"/>
      <c r="W228" s="29"/>
      <c r="X228" s="29"/>
      <c r="Y228" s="29"/>
      <c r="Z228" s="29"/>
      <c r="AA228" s="30"/>
      <c r="AB228" s="99"/>
    </row>
    <row r="229" spans="1:30" ht="18" customHeight="1">
      <c r="A229" s="98"/>
      <c r="B229" s="95"/>
      <c r="C229" s="278">
        <v>35</v>
      </c>
      <c r="D229" s="278"/>
      <c r="E229" s="137" t="s">
        <v>396</v>
      </c>
      <c r="F229" s="29"/>
      <c r="G229" s="29"/>
      <c r="H229" s="29"/>
      <c r="I229" s="29"/>
      <c r="J229" s="29"/>
      <c r="K229" s="29"/>
      <c r="L229" s="100" t="str">
        <f t="shared" si="0"/>
        <v>パラメータ．工事経費率</v>
      </c>
      <c r="M229" s="29"/>
      <c r="N229" s="29"/>
      <c r="O229" s="29"/>
      <c r="P229" s="29"/>
      <c r="Q229" s="29"/>
      <c r="R229" s="29"/>
      <c r="S229" s="29"/>
      <c r="T229" s="29"/>
      <c r="U229" s="29"/>
      <c r="V229" s="29"/>
      <c r="W229" s="29"/>
      <c r="X229" s="29"/>
      <c r="Y229" s="29"/>
      <c r="Z229" s="29"/>
      <c r="AA229" s="30"/>
      <c r="AB229" s="99"/>
    </row>
    <row r="230" spans="1:30" ht="18" customHeight="1">
      <c r="A230" s="98"/>
      <c r="B230" s="95"/>
      <c r="C230" s="278">
        <v>36</v>
      </c>
      <c r="D230" s="278"/>
      <c r="E230" s="137" t="s">
        <v>397</v>
      </c>
      <c r="F230" s="29"/>
      <c r="G230" s="29"/>
      <c r="H230" s="29"/>
      <c r="I230" s="29"/>
      <c r="J230" s="29"/>
      <c r="K230" s="29"/>
      <c r="L230" s="100" t="str">
        <f t="shared" si="0"/>
        <v>パラメータ．工事経費金額</v>
      </c>
      <c r="M230" s="29"/>
      <c r="N230" s="29"/>
      <c r="O230" s="29"/>
      <c r="P230" s="29"/>
      <c r="Q230" s="29"/>
      <c r="R230" s="29"/>
      <c r="S230" s="29"/>
      <c r="T230" s="29"/>
      <c r="U230" s="29"/>
      <c r="V230" s="29"/>
      <c r="W230" s="29"/>
      <c r="X230" s="29"/>
      <c r="Y230" s="29"/>
      <c r="Z230" s="29"/>
      <c r="AA230" s="30"/>
      <c r="AB230" s="99"/>
    </row>
    <row r="231" spans="1:30" ht="18" customHeight="1">
      <c r="A231" s="98"/>
      <c r="B231" s="95"/>
      <c r="C231" s="278">
        <v>37</v>
      </c>
      <c r="D231" s="278"/>
      <c r="E231" s="137" t="s">
        <v>398</v>
      </c>
      <c r="F231" s="29"/>
      <c r="G231" s="29"/>
      <c r="H231" s="29"/>
      <c r="I231" s="29"/>
      <c r="J231" s="29"/>
      <c r="K231" s="29"/>
      <c r="L231" s="100" t="str">
        <f t="shared" si="0"/>
        <v>パラメータ．販売管理費率</v>
      </c>
      <c r="M231" s="29"/>
      <c r="N231" s="29"/>
      <c r="O231" s="29"/>
      <c r="P231" s="29"/>
      <c r="Q231" s="29"/>
      <c r="R231" s="29"/>
      <c r="S231" s="29"/>
      <c r="T231" s="29"/>
      <c r="U231" s="29"/>
      <c r="V231" s="29"/>
      <c r="W231" s="29"/>
      <c r="X231" s="29"/>
      <c r="Y231" s="29"/>
      <c r="Z231" s="29"/>
      <c r="AA231" s="30"/>
      <c r="AB231" s="99"/>
    </row>
    <row r="232" spans="1:30" ht="18" customHeight="1">
      <c r="A232" s="98"/>
      <c r="B232" s="95"/>
      <c r="C232" s="278">
        <v>38</v>
      </c>
      <c r="D232" s="278"/>
      <c r="E232" s="137" t="s">
        <v>399</v>
      </c>
      <c r="F232" s="29"/>
      <c r="G232" s="29"/>
      <c r="H232" s="29"/>
      <c r="I232" s="29"/>
      <c r="J232" s="29"/>
      <c r="K232" s="29"/>
      <c r="L232" s="100" t="str">
        <f t="shared" si="0"/>
        <v>パラメータ．販売管理費金額</v>
      </c>
      <c r="M232" s="29"/>
      <c r="N232" s="29"/>
      <c r="O232" s="29"/>
      <c r="P232" s="29"/>
      <c r="Q232" s="29"/>
      <c r="R232" s="29"/>
      <c r="S232" s="29"/>
      <c r="T232" s="29"/>
      <c r="U232" s="29"/>
      <c r="V232" s="29"/>
      <c r="W232" s="29"/>
      <c r="X232" s="29"/>
      <c r="Y232" s="29"/>
      <c r="Z232" s="29"/>
      <c r="AA232" s="30"/>
      <c r="AB232" s="99"/>
    </row>
    <row r="233" spans="1:30" ht="18" customHeight="1">
      <c r="A233" s="98"/>
      <c r="B233" s="95"/>
      <c r="C233" s="278">
        <v>39</v>
      </c>
      <c r="D233" s="278"/>
      <c r="E233" s="137" t="s">
        <v>400</v>
      </c>
      <c r="F233" s="29"/>
      <c r="G233" s="29"/>
      <c r="H233" s="29"/>
      <c r="I233" s="29"/>
      <c r="J233" s="29"/>
      <c r="K233" s="29"/>
      <c r="L233" s="100" t="str">
        <f t="shared" si="0"/>
        <v>パラメータ．調整金額</v>
      </c>
      <c r="M233" s="29"/>
      <c r="N233" s="29"/>
      <c r="O233" s="29"/>
      <c r="P233" s="29"/>
      <c r="Q233" s="29"/>
      <c r="R233" s="29"/>
      <c r="S233" s="29"/>
      <c r="T233" s="29"/>
      <c r="U233" s="29"/>
      <c r="V233" s="29"/>
      <c r="W233" s="29"/>
      <c r="X233" s="29"/>
      <c r="Y233" s="29"/>
      <c r="Z233" s="29"/>
      <c r="AA233" s="30"/>
      <c r="AB233" s="99"/>
    </row>
    <row r="234" spans="1:30" ht="18" customHeight="1">
      <c r="A234" s="98"/>
      <c r="B234" s="95"/>
      <c r="C234" s="278">
        <v>40</v>
      </c>
      <c r="D234" s="278"/>
      <c r="E234" s="137" t="s">
        <v>401</v>
      </c>
      <c r="F234" s="29"/>
      <c r="G234" s="29"/>
      <c r="H234" s="29"/>
      <c r="I234" s="29"/>
      <c r="J234" s="29"/>
      <c r="K234" s="29"/>
      <c r="L234" s="100" t="str">
        <f t="shared" si="0"/>
        <v>パラメータ．雇用保険率</v>
      </c>
      <c r="M234" s="29"/>
      <c r="N234" s="29"/>
      <c r="O234" s="29"/>
      <c r="P234" s="29"/>
      <c r="Q234" s="29"/>
      <c r="R234" s="29"/>
      <c r="S234" s="29"/>
      <c r="T234" s="29"/>
      <c r="U234" s="29"/>
      <c r="V234" s="29"/>
      <c r="W234" s="29"/>
      <c r="X234" s="29"/>
      <c r="Y234" s="29"/>
      <c r="Z234" s="29"/>
      <c r="AA234" s="30"/>
      <c r="AB234" s="99"/>
    </row>
    <row r="235" spans="1:30" ht="18" customHeight="1">
      <c r="A235" s="98"/>
      <c r="B235" s="95"/>
      <c r="C235" s="278">
        <v>41</v>
      </c>
      <c r="D235" s="278"/>
      <c r="E235" s="137" t="s">
        <v>402</v>
      </c>
      <c r="F235" s="29"/>
      <c r="G235" s="29"/>
      <c r="H235" s="29"/>
      <c r="I235" s="29"/>
      <c r="J235" s="29"/>
      <c r="K235" s="29"/>
      <c r="L235" s="100" t="str">
        <f t="shared" si="0"/>
        <v>パラメータ．健康保険保険率</v>
      </c>
      <c r="M235" s="29"/>
      <c r="N235" s="29"/>
      <c r="O235" s="29"/>
      <c r="P235" s="29"/>
      <c r="Q235" s="29"/>
      <c r="R235" s="29"/>
      <c r="S235" s="29"/>
      <c r="T235" s="29"/>
      <c r="U235" s="29"/>
      <c r="V235" s="29"/>
      <c r="W235" s="29"/>
      <c r="X235" s="29"/>
      <c r="Y235" s="29"/>
      <c r="Z235" s="29"/>
      <c r="AA235" s="30"/>
      <c r="AB235" s="99"/>
    </row>
    <row r="236" spans="1:30" ht="18" customHeight="1">
      <c r="A236" s="98"/>
      <c r="B236" s="95"/>
      <c r="C236" s="278">
        <v>42</v>
      </c>
      <c r="D236" s="278"/>
      <c r="E236" s="137" t="s">
        <v>403</v>
      </c>
      <c r="F236" s="29"/>
      <c r="G236" s="29"/>
      <c r="H236" s="29"/>
      <c r="I236" s="29"/>
      <c r="J236" s="29"/>
      <c r="K236" s="29"/>
      <c r="L236" s="100" t="str">
        <f t="shared" si="0"/>
        <v>パラメータ．介護保険率</v>
      </c>
      <c r="M236" s="29"/>
      <c r="N236" s="29"/>
      <c r="O236" s="29"/>
      <c r="P236" s="29"/>
      <c r="Q236" s="29"/>
      <c r="R236" s="29"/>
      <c r="S236" s="29"/>
      <c r="T236" s="29"/>
      <c r="U236" s="29"/>
      <c r="V236" s="29"/>
      <c r="W236" s="29"/>
      <c r="X236" s="29"/>
      <c r="Y236" s="29"/>
      <c r="Z236" s="29"/>
      <c r="AA236" s="30"/>
      <c r="AB236" s="99"/>
      <c r="AD236" s="27" t="str">
        <f>""""&amp;L266&amp;""":""example"&amp;L266&amp;""","</f>
        <v>"パラメータ．請求条件明細リスト．割合":"exampleパラメータ．請求条件明細リスト．割合",</v>
      </c>
    </row>
    <row r="237" spans="1:30" ht="18" customHeight="1">
      <c r="A237" s="98"/>
      <c r="B237" s="95"/>
      <c r="C237" s="278">
        <v>43</v>
      </c>
      <c r="D237" s="278"/>
      <c r="E237" s="137" t="s">
        <v>404</v>
      </c>
      <c r="F237" s="29"/>
      <c r="G237" s="29"/>
      <c r="H237" s="29"/>
      <c r="I237" s="29"/>
      <c r="J237" s="29"/>
      <c r="K237" s="29"/>
      <c r="L237" s="100" t="str">
        <f t="shared" si="0"/>
        <v>パラメータ．厚生年金率</v>
      </c>
      <c r="M237" s="29"/>
      <c r="N237" s="29"/>
      <c r="O237" s="29"/>
      <c r="P237" s="29"/>
      <c r="Q237" s="29"/>
      <c r="R237" s="29"/>
      <c r="S237" s="29"/>
      <c r="T237" s="29"/>
      <c r="U237" s="29"/>
      <c r="V237" s="29"/>
      <c r="W237" s="29"/>
      <c r="X237" s="29"/>
      <c r="Y237" s="29"/>
      <c r="Z237" s="29"/>
      <c r="AA237" s="30"/>
      <c r="AB237" s="99"/>
      <c r="AD237" s="27" t="str">
        <f>""""&amp;L267&amp;""":""example"&amp;L267&amp;""","</f>
        <v>"パラメータ．請求条件明細リスト．税抜請求金額":"exampleパラメータ．請求条件明細リスト．税抜請求金額",</v>
      </c>
    </row>
    <row r="238" spans="1:30" ht="18" customHeight="1">
      <c r="A238" s="98"/>
      <c r="B238" s="95"/>
      <c r="C238" s="278">
        <v>44</v>
      </c>
      <c r="D238" s="278"/>
      <c r="E238" s="137" t="s">
        <v>405</v>
      </c>
      <c r="F238" s="29"/>
      <c r="G238" s="29"/>
      <c r="H238" s="29"/>
      <c r="I238" s="29"/>
      <c r="J238" s="29"/>
      <c r="K238" s="29"/>
      <c r="L238" s="100" t="str">
        <f t="shared" si="0"/>
        <v>パラメータ．締日区分</v>
      </c>
      <c r="M238" s="29"/>
      <c r="N238" s="29"/>
      <c r="O238" s="29"/>
      <c r="P238" s="29"/>
      <c r="Q238" s="29"/>
      <c r="R238" s="29"/>
      <c r="S238" s="29"/>
      <c r="T238" s="29"/>
      <c r="U238" s="29"/>
      <c r="V238" s="29"/>
      <c r="W238" s="29"/>
      <c r="X238" s="29"/>
      <c r="Y238" s="29"/>
      <c r="Z238" s="29"/>
      <c r="AA238" s="30"/>
      <c r="AB238" s="99"/>
      <c r="AD238" s="27" t="e">
        <f>""""&amp;#REF!&amp;""":""example"&amp;#REF!&amp;"""},"</f>
        <v>#REF!</v>
      </c>
    </row>
    <row r="239" spans="1:30" ht="18" customHeight="1">
      <c r="A239" s="98"/>
      <c r="B239" s="95"/>
      <c r="C239" s="278">
        <v>45</v>
      </c>
      <c r="D239" s="278"/>
      <c r="E239" s="137" t="s">
        <v>406</v>
      </c>
      <c r="F239" s="29"/>
      <c r="G239" s="29"/>
      <c r="H239" s="29"/>
      <c r="I239" s="29"/>
      <c r="J239" s="29"/>
      <c r="K239" s="29"/>
      <c r="L239" s="100" t="str">
        <f t="shared" si="0"/>
        <v>パラメータ．支払区分</v>
      </c>
      <c r="M239" s="29"/>
      <c r="N239" s="29"/>
      <c r="O239" s="29"/>
      <c r="P239" s="29"/>
      <c r="Q239" s="29"/>
      <c r="R239" s="29"/>
      <c r="S239" s="29"/>
      <c r="T239" s="29"/>
      <c r="U239" s="29"/>
      <c r="V239" s="29"/>
      <c r="W239" s="29"/>
      <c r="X239" s="29"/>
      <c r="Y239" s="29"/>
      <c r="Z239" s="29"/>
      <c r="AA239" s="30"/>
      <c r="AB239" s="99"/>
      <c r="AD239" s="27" t="e">
        <f>""""&amp;#REF!&amp;""":""example"&amp;#REF!&amp;"""},"</f>
        <v>#REF!</v>
      </c>
    </row>
    <row r="240" spans="1:30" ht="18" customHeight="1">
      <c r="A240" s="98"/>
      <c r="B240" s="95"/>
      <c r="C240" s="278">
        <v>46</v>
      </c>
      <c r="D240" s="278"/>
      <c r="E240" s="137" t="s">
        <v>164</v>
      </c>
      <c r="F240" s="29"/>
      <c r="G240" s="29"/>
      <c r="H240" s="29"/>
      <c r="I240" s="29"/>
      <c r="J240" s="29"/>
      <c r="K240" s="29"/>
      <c r="L240" s="100" t="str">
        <f t="shared" si="0"/>
        <v>パラメータ．支払日区分</v>
      </c>
      <c r="M240" s="29"/>
      <c r="N240" s="29"/>
      <c r="O240" s="29"/>
      <c r="P240" s="29"/>
      <c r="Q240" s="29"/>
      <c r="R240" s="29"/>
      <c r="S240" s="29"/>
      <c r="T240" s="29"/>
      <c r="U240" s="29"/>
      <c r="V240" s="29"/>
      <c r="W240" s="29"/>
      <c r="X240" s="29"/>
      <c r="Y240" s="29"/>
      <c r="Z240" s="29"/>
      <c r="AA240" s="30"/>
      <c r="AB240" s="99"/>
      <c r="AD240" s="27" t="e">
        <f>""""&amp;#REF!&amp;""":""example"&amp;#REF!&amp;"""},"</f>
        <v>#REF!</v>
      </c>
    </row>
    <row r="241" spans="1:32" ht="18" customHeight="1">
      <c r="A241" s="98"/>
      <c r="B241" s="95"/>
      <c r="C241" s="278">
        <v>47</v>
      </c>
      <c r="D241" s="278"/>
      <c r="E241" s="137" t="s">
        <v>154</v>
      </c>
      <c r="F241" s="29"/>
      <c r="G241" s="29"/>
      <c r="H241" s="29"/>
      <c r="I241" s="29"/>
      <c r="J241" s="29"/>
      <c r="K241" s="29"/>
      <c r="L241" s="100" t="str">
        <f t="shared" si="0"/>
        <v>パラメータ．不成約理由</v>
      </c>
      <c r="M241" s="29"/>
      <c r="N241" s="29"/>
      <c r="O241" s="29"/>
      <c r="P241" s="29"/>
      <c r="Q241" s="29"/>
      <c r="R241" s="29"/>
      <c r="S241" s="29"/>
      <c r="T241" s="29"/>
      <c r="U241" s="29"/>
      <c r="V241" s="29"/>
      <c r="W241" s="29"/>
      <c r="X241" s="29"/>
      <c r="Y241" s="29"/>
      <c r="Z241" s="29"/>
      <c r="AA241" s="30"/>
      <c r="AB241" s="99"/>
    </row>
    <row r="242" spans="1:32" ht="18" customHeight="1">
      <c r="A242" s="98"/>
      <c r="B242" s="95"/>
      <c r="C242" s="278">
        <v>48</v>
      </c>
      <c r="D242" s="278"/>
      <c r="E242" s="137" t="s">
        <v>738</v>
      </c>
      <c r="F242" s="29"/>
      <c r="G242" s="29"/>
      <c r="H242" s="29"/>
      <c r="I242" s="29"/>
      <c r="J242" s="29"/>
      <c r="K242" s="29"/>
      <c r="L242" s="100" t="str">
        <f t="shared" si="0"/>
        <v>パラメータ．出来高請求案件フラグ</v>
      </c>
      <c r="M242" s="29"/>
      <c r="N242" s="29"/>
      <c r="O242" s="29"/>
      <c r="P242" s="29"/>
      <c r="Q242" s="29"/>
      <c r="R242" s="29"/>
      <c r="S242" s="29"/>
      <c r="T242" s="29"/>
      <c r="U242" s="29"/>
      <c r="V242" s="29"/>
      <c r="W242" s="29"/>
      <c r="X242" s="29"/>
      <c r="Y242" s="29"/>
      <c r="Z242" s="29"/>
      <c r="AA242" s="30"/>
      <c r="AB242" s="99"/>
      <c r="AC242" s="70" t="s">
        <v>737</v>
      </c>
    </row>
    <row r="243" spans="1:32" ht="18" customHeight="1">
      <c r="A243" s="98"/>
      <c r="B243" s="95"/>
      <c r="C243" s="96"/>
      <c r="D243" s="96"/>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9"/>
    </row>
    <row r="244" spans="1:32" ht="18" customHeight="1">
      <c r="A244" s="98"/>
      <c r="B244" s="95"/>
      <c r="C244" s="105" t="s">
        <v>861</v>
      </c>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9"/>
      <c r="AD244" s="27" t="e">
        <f>""""&amp;#REF!&amp;""": ["</f>
        <v>#REF!</v>
      </c>
    </row>
    <row r="245" spans="1:32" ht="18" customHeight="1">
      <c r="A245" s="98"/>
      <c r="B245" s="95"/>
      <c r="C245" s="274" t="s">
        <v>15</v>
      </c>
      <c r="D245" s="275"/>
      <c r="E245" s="275"/>
      <c r="F245" s="275"/>
      <c r="G245" s="275"/>
      <c r="H245" s="275"/>
      <c r="I245" s="275"/>
      <c r="J245" s="275"/>
      <c r="K245" s="275"/>
      <c r="L245" s="275"/>
      <c r="M245" s="275"/>
      <c r="N245" s="275"/>
      <c r="O245" s="275"/>
      <c r="P245" s="275"/>
      <c r="Q245" s="275"/>
      <c r="R245" s="275"/>
      <c r="S245" s="275"/>
      <c r="T245" s="275"/>
      <c r="U245" s="275"/>
      <c r="V245" s="275"/>
      <c r="W245" s="275"/>
      <c r="X245" s="275"/>
      <c r="Y245" s="275"/>
      <c r="Z245" s="275"/>
      <c r="AA245" s="276"/>
      <c r="AB245" s="99"/>
      <c r="AD245" s="27" t="e">
        <f>""""&amp;#REF!&amp;""": ["</f>
        <v>#REF!</v>
      </c>
    </row>
    <row r="246" spans="1:32" ht="18" customHeight="1">
      <c r="A246" s="98"/>
      <c r="B246" s="95"/>
      <c r="C246" s="337" t="s">
        <v>16</v>
      </c>
      <c r="D246" s="337"/>
      <c r="E246" s="337"/>
      <c r="F246" s="337"/>
      <c r="G246" s="333">
        <v>201</v>
      </c>
      <c r="H246" s="333"/>
      <c r="I246" s="333"/>
      <c r="J246" s="333"/>
      <c r="K246" s="333"/>
      <c r="L246" s="333"/>
      <c r="M246" s="333"/>
      <c r="N246" s="333"/>
      <c r="O246" s="333"/>
      <c r="P246" s="333"/>
      <c r="Q246" s="333"/>
      <c r="R246" s="333"/>
      <c r="S246" s="333"/>
      <c r="T246" s="333"/>
      <c r="U246" s="333"/>
      <c r="V246" s="333"/>
      <c r="W246" s="333"/>
      <c r="X246" s="333"/>
      <c r="Y246" s="333"/>
      <c r="Z246" s="333"/>
      <c r="AA246" s="333"/>
      <c r="AB246" s="99"/>
      <c r="AD246" s="27" t="e">
        <f>""""&amp;#REF!&amp;""": ["</f>
        <v>#REF!</v>
      </c>
    </row>
    <row r="247" spans="1:32" ht="18" customHeight="1">
      <c r="A247" s="98"/>
      <c r="B247" s="95"/>
      <c r="C247" s="96"/>
      <c r="D247" s="96"/>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9"/>
      <c r="AD247" s="27" t="e">
        <f>""""&amp;#REF!&amp;""":""example"&amp;#REF!&amp;""","</f>
        <v>#REF!</v>
      </c>
    </row>
    <row r="248" spans="1:32" ht="18" customHeight="1">
      <c r="A248" s="98"/>
      <c r="B248" s="95"/>
      <c r="C248" s="105" t="s">
        <v>862</v>
      </c>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9"/>
      <c r="AC248" s="70" t="s">
        <v>732</v>
      </c>
      <c r="AD248" s="27" t="e">
        <f>""""&amp;#REF!&amp;""":""example"&amp;#REF!&amp;""","</f>
        <v>#REF!</v>
      </c>
    </row>
    <row r="249" spans="1:32" ht="18" customHeight="1">
      <c r="A249" s="98"/>
      <c r="B249" s="95"/>
      <c r="C249" s="319" t="s">
        <v>483</v>
      </c>
      <c r="D249" s="319"/>
      <c r="E249" s="319"/>
      <c r="F249" s="319"/>
      <c r="G249" s="333" t="s">
        <v>615</v>
      </c>
      <c r="H249" s="333"/>
      <c r="I249" s="333"/>
      <c r="J249" s="333"/>
      <c r="K249" s="333"/>
      <c r="L249" s="333"/>
      <c r="M249" s="333"/>
      <c r="N249" s="333"/>
      <c r="O249" s="333"/>
      <c r="P249" s="333"/>
      <c r="Q249" s="333"/>
      <c r="R249" s="333"/>
      <c r="S249" s="333"/>
      <c r="T249" s="333"/>
      <c r="U249" s="333"/>
      <c r="V249" s="333"/>
      <c r="W249" s="333"/>
      <c r="X249" s="333"/>
      <c r="Y249" s="333"/>
      <c r="Z249" s="333"/>
      <c r="AA249" s="333"/>
      <c r="AB249" s="99"/>
      <c r="AC249" s="70"/>
      <c r="AD249" s="36"/>
      <c r="AF249" s="27"/>
    </row>
    <row r="250" spans="1:32" ht="19.899999999999999" customHeight="1">
      <c r="A250" s="98"/>
      <c r="B250" s="95"/>
      <c r="C250" s="323" t="s">
        <v>35</v>
      </c>
      <c r="D250" s="324"/>
      <c r="E250" s="324"/>
      <c r="F250" s="325"/>
      <c r="G250" s="332" t="s">
        <v>616</v>
      </c>
      <c r="H250" s="332"/>
      <c r="I250" s="332"/>
      <c r="J250" s="332"/>
      <c r="K250" s="332"/>
      <c r="L250" s="332"/>
      <c r="M250" s="332"/>
      <c r="N250" s="332"/>
      <c r="O250" s="332"/>
      <c r="P250" s="332"/>
      <c r="Q250" s="332"/>
      <c r="R250" s="332"/>
      <c r="S250" s="332"/>
      <c r="T250" s="332"/>
      <c r="U250" s="332"/>
      <c r="V250" s="332"/>
      <c r="W250" s="332"/>
      <c r="X250" s="332"/>
      <c r="Y250" s="332"/>
      <c r="Z250" s="332"/>
      <c r="AA250" s="332"/>
      <c r="AB250" s="99"/>
      <c r="AC250" s="70"/>
      <c r="AF250" s="27"/>
    </row>
    <row r="251" spans="1:32" ht="18" customHeight="1">
      <c r="A251" s="98"/>
      <c r="B251" s="95"/>
      <c r="C251" s="326"/>
      <c r="D251" s="327"/>
      <c r="E251" s="327"/>
      <c r="F251" s="328"/>
      <c r="G251" s="333" t="s">
        <v>727</v>
      </c>
      <c r="H251" s="333"/>
      <c r="I251" s="333"/>
      <c r="J251" s="333"/>
      <c r="K251" s="333"/>
      <c r="L251" s="333"/>
      <c r="M251" s="333"/>
      <c r="N251" s="333"/>
      <c r="O251" s="333"/>
      <c r="P251" s="333"/>
      <c r="Q251" s="333"/>
      <c r="R251" s="333"/>
      <c r="S251" s="333"/>
      <c r="T251" s="333"/>
      <c r="U251" s="333"/>
      <c r="V251" s="333"/>
      <c r="W251" s="333"/>
      <c r="X251" s="333"/>
      <c r="Y251" s="333"/>
      <c r="Z251" s="333"/>
      <c r="AA251" s="333"/>
      <c r="AB251" s="99"/>
      <c r="AC251" s="70"/>
      <c r="AF251" s="27"/>
    </row>
    <row r="252" spans="1:32" ht="18" customHeight="1">
      <c r="A252" s="98"/>
      <c r="B252" s="95"/>
      <c r="C252" s="329"/>
      <c r="D252" s="330"/>
      <c r="E252" s="330"/>
      <c r="F252" s="331"/>
      <c r="G252" s="333" t="s">
        <v>728</v>
      </c>
      <c r="H252" s="333"/>
      <c r="I252" s="333"/>
      <c r="J252" s="333"/>
      <c r="K252" s="333"/>
      <c r="L252" s="333"/>
      <c r="M252" s="333"/>
      <c r="N252" s="333"/>
      <c r="O252" s="333"/>
      <c r="P252" s="333"/>
      <c r="Q252" s="333"/>
      <c r="R252" s="333"/>
      <c r="S252" s="333"/>
      <c r="T252" s="333"/>
      <c r="U252" s="333"/>
      <c r="V252" s="333"/>
      <c r="W252" s="333"/>
      <c r="X252" s="333"/>
      <c r="Y252" s="333"/>
      <c r="Z252" s="333"/>
      <c r="AA252" s="333"/>
      <c r="AB252" s="99"/>
      <c r="AC252" s="70"/>
      <c r="AF252" s="27"/>
    </row>
    <row r="253" spans="1:32" ht="18" customHeight="1">
      <c r="A253" s="98"/>
      <c r="B253" s="95"/>
      <c r="C253" s="96"/>
      <c r="D253" s="96"/>
      <c r="E253" s="95"/>
      <c r="F253" s="52"/>
      <c r="G253" s="95"/>
      <c r="H253" s="95"/>
      <c r="I253" s="95"/>
      <c r="J253" s="95"/>
      <c r="K253" s="95"/>
      <c r="L253" s="95"/>
      <c r="M253" s="95"/>
      <c r="N253" s="95"/>
      <c r="O253" s="95"/>
      <c r="P253" s="95"/>
      <c r="Q253" s="95"/>
      <c r="R253" s="95"/>
      <c r="S253" s="95"/>
      <c r="T253" s="95"/>
      <c r="U253" s="95"/>
      <c r="V253" s="95"/>
      <c r="W253" s="95"/>
      <c r="X253" s="95"/>
      <c r="Y253" s="95"/>
      <c r="Z253" s="95"/>
      <c r="AA253" s="95"/>
      <c r="AB253" s="99"/>
      <c r="AC253" s="70"/>
      <c r="AD253" s="27" t="e">
        <f>""""&amp;#REF!&amp;""":""example"&amp;#REF!&amp;"""},"</f>
        <v>#REF!</v>
      </c>
    </row>
    <row r="254" spans="1:32" ht="18" customHeight="1">
      <c r="A254" s="98"/>
      <c r="B254" s="95"/>
      <c r="C254" s="105" t="s">
        <v>863</v>
      </c>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9"/>
      <c r="AC254" s="70"/>
      <c r="AF254" s="27"/>
    </row>
    <row r="255" spans="1:32" ht="18" customHeight="1">
      <c r="A255" s="98"/>
      <c r="B255" s="95"/>
      <c r="C255" s="337" t="s">
        <v>7</v>
      </c>
      <c r="D255" s="337"/>
      <c r="E255" s="343" t="s">
        <v>9</v>
      </c>
      <c r="F255" s="344"/>
      <c r="G255" s="344"/>
      <c r="H255" s="344"/>
      <c r="I255" s="344"/>
      <c r="J255" s="344"/>
      <c r="K255" s="345"/>
      <c r="L255" s="343" t="s">
        <v>18</v>
      </c>
      <c r="M255" s="344"/>
      <c r="N255" s="344"/>
      <c r="O255" s="344"/>
      <c r="P255" s="344"/>
      <c r="Q255" s="344"/>
      <c r="R255" s="344"/>
      <c r="S255" s="344"/>
      <c r="T255" s="344"/>
      <c r="U255" s="344"/>
      <c r="V255" s="344"/>
      <c r="W255" s="344"/>
      <c r="X255" s="344"/>
      <c r="Y255" s="344"/>
      <c r="Z255" s="344"/>
      <c r="AA255" s="345"/>
      <c r="AB255" s="99"/>
      <c r="AC255" s="70"/>
      <c r="AF255" s="27"/>
    </row>
    <row r="256" spans="1:32" ht="18" customHeight="1">
      <c r="A256" s="98"/>
      <c r="B256" s="95"/>
      <c r="C256" s="278">
        <v>1</v>
      </c>
      <c r="D256" s="278"/>
      <c r="E256" s="101" t="s">
        <v>179</v>
      </c>
      <c r="F256" s="29"/>
      <c r="G256" s="29"/>
      <c r="H256" s="29"/>
      <c r="I256" s="29"/>
      <c r="J256" s="29"/>
      <c r="K256" s="30"/>
      <c r="L256" s="100" t="s">
        <v>735</v>
      </c>
      <c r="M256" s="29"/>
      <c r="N256" s="29"/>
      <c r="O256" s="29"/>
      <c r="P256" s="29"/>
      <c r="Q256" s="29"/>
      <c r="R256" s="29"/>
      <c r="S256" s="29"/>
      <c r="T256" s="29"/>
      <c r="U256" s="29"/>
      <c r="V256" s="29"/>
      <c r="W256" s="29"/>
      <c r="X256" s="29"/>
      <c r="Y256" s="29"/>
      <c r="Z256" s="29"/>
      <c r="AA256" s="30"/>
      <c r="AB256" s="99"/>
      <c r="AC256" s="70"/>
      <c r="AF256" s="27"/>
    </row>
    <row r="257" spans="1:32" ht="18" customHeight="1">
      <c r="A257" s="98"/>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99"/>
      <c r="AC257" s="70"/>
      <c r="AF257" s="27"/>
    </row>
    <row r="258" spans="1:32" ht="18" customHeight="1">
      <c r="A258" s="98"/>
      <c r="B258" s="105" t="s">
        <v>864</v>
      </c>
      <c r="C258" s="122"/>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9"/>
    </row>
    <row r="259" spans="1:32" customFormat="1" ht="20.100000000000001" customHeight="1">
      <c r="A259" s="95"/>
      <c r="B259" s="105"/>
      <c r="C259" s="337" t="s">
        <v>653</v>
      </c>
      <c r="D259" s="337"/>
      <c r="E259" s="337"/>
      <c r="F259" s="337"/>
      <c r="G259" s="333" t="s">
        <v>656</v>
      </c>
      <c r="H259" s="333"/>
      <c r="I259" s="333"/>
      <c r="J259" s="333"/>
      <c r="K259" s="333"/>
      <c r="L259" s="333"/>
      <c r="M259" s="333"/>
      <c r="N259" s="333"/>
      <c r="O259" s="333"/>
      <c r="P259" s="333"/>
      <c r="Q259" s="333"/>
      <c r="R259" s="333"/>
      <c r="S259" s="333"/>
      <c r="T259" s="333"/>
      <c r="U259" s="333"/>
      <c r="V259" s="333"/>
      <c r="W259" s="333"/>
      <c r="X259" s="333"/>
      <c r="Y259" s="333"/>
      <c r="Z259" s="333"/>
      <c r="AA259" s="333"/>
      <c r="AB259" s="99"/>
      <c r="AC259" s="36"/>
      <c r="AE259" s="112"/>
    </row>
    <row r="260" spans="1:32" ht="18" customHeight="1">
      <c r="A260" s="98"/>
      <c r="B260" s="95"/>
      <c r="C260" s="337" t="s">
        <v>417</v>
      </c>
      <c r="D260" s="337"/>
      <c r="E260" s="337"/>
      <c r="F260" s="337"/>
      <c r="G260" s="333" t="s">
        <v>422</v>
      </c>
      <c r="H260" s="333"/>
      <c r="I260" s="333"/>
      <c r="J260" s="333"/>
      <c r="K260" s="333"/>
      <c r="L260" s="333"/>
      <c r="M260" s="333"/>
      <c r="N260" s="333"/>
      <c r="O260" s="333"/>
      <c r="P260" s="333"/>
      <c r="Q260" s="333"/>
      <c r="R260" s="333"/>
      <c r="S260" s="333"/>
      <c r="T260" s="333"/>
      <c r="U260" s="333"/>
      <c r="V260" s="333"/>
      <c r="W260" s="333"/>
      <c r="X260" s="333"/>
      <c r="Y260" s="333"/>
      <c r="Z260" s="333"/>
      <c r="AA260" s="333"/>
      <c r="AB260" s="99"/>
      <c r="AD260" s="67"/>
      <c r="AF260" s="27"/>
    </row>
    <row r="261" spans="1:32" ht="18" customHeight="1">
      <c r="A261" s="98"/>
      <c r="B261" s="95"/>
      <c r="C261" s="337" t="s">
        <v>7</v>
      </c>
      <c r="D261" s="337"/>
      <c r="E261" s="343" t="s">
        <v>9</v>
      </c>
      <c r="F261" s="344"/>
      <c r="G261" s="344"/>
      <c r="H261" s="344"/>
      <c r="I261" s="344"/>
      <c r="J261" s="344"/>
      <c r="K261" s="345"/>
      <c r="L261" s="337" t="s">
        <v>407</v>
      </c>
      <c r="M261" s="337"/>
      <c r="N261" s="337"/>
      <c r="O261" s="337"/>
      <c r="P261" s="337"/>
      <c r="Q261" s="337"/>
      <c r="R261" s="337"/>
      <c r="S261" s="337"/>
      <c r="T261" s="337"/>
      <c r="U261" s="337"/>
      <c r="V261" s="337"/>
      <c r="W261" s="337"/>
      <c r="X261" s="337"/>
      <c r="Y261" s="337"/>
      <c r="Z261" s="337"/>
      <c r="AA261" s="337"/>
      <c r="AB261" s="99"/>
    </row>
    <row r="262" spans="1:32" ht="18" customHeight="1">
      <c r="A262" s="98"/>
      <c r="B262" s="95"/>
      <c r="C262" s="278">
        <v>1</v>
      </c>
      <c r="D262" s="278"/>
      <c r="E262" s="137" t="s">
        <v>179</v>
      </c>
      <c r="F262" s="29"/>
      <c r="G262" s="29"/>
      <c r="H262" s="29"/>
      <c r="I262" s="29"/>
      <c r="J262" s="29"/>
      <c r="K262" s="108"/>
      <c r="L262" s="100" t="s">
        <v>736</v>
      </c>
      <c r="M262" s="29"/>
      <c r="N262" s="29"/>
      <c r="O262" s="29"/>
      <c r="P262" s="29"/>
      <c r="Q262" s="29"/>
      <c r="R262" s="29"/>
      <c r="S262" s="29"/>
      <c r="T262" s="29"/>
      <c r="U262" s="29"/>
      <c r="V262" s="29"/>
      <c r="W262" s="29"/>
      <c r="X262" s="29"/>
      <c r="Y262" s="29"/>
      <c r="Z262" s="29"/>
      <c r="AA262" s="30"/>
      <c r="AB262" s="99"/>
      <c r="AC262" s="70" t="s">
        <v>732</v>
      </c>
      <c r="AD262" s="27" t="e">
        <f>""""&amp;#REF!&amp;""":""example"&amp;#REF!&amp;""","</f>
        <v>#REF!</v>
      </c>
    </row>
    <row r="263" spans="1:32" ht="18" customHeight="1">
      <c r="A263" s="98"/>
      <c r="B263" s="95"/>
      <c r="C263" s="278">
        <v>2</v>
      </c>
      <c r="D263" s="278"/>
      <c r="E263" s="137" t="s">
        <v>374</v>
      </c>
      <c r="F263" s="29"/>
      <c r="G263" s="29"/>
      <c r="H263" s="29"/>
      <c r="I263" s="29"/>
      <c r="J263" s="29"/>
      <c r="K263" s="108"/>
      <c r="L263" s="100" t="str">
        <f t="shared" ref="L263:L270" si="1">"パラメータ．請求条件明細リスト．"&amp;E263</f>
        <v>パラメータ．請求条件明細リスト．連番</v>
      </c>
      <c r="M263" s="29"/>
      <c r="N263" s="29"/>
      <c r="O263" s="29"/>
      <c r="P263" s="29"/>
      <c r="Q263" s="29"/>
      <c r="R263" s="29"/>
      <c r="S263" s="29"/>
      <c r="T263" s="29"/>
      <c r="U263" s="29"/>
      <c r="V263" s="29"/>
      <c r="W263" s="29"/>
      <c r="X263" s="29"/>
      <c r="Y263" s="29"/>
      <c r="Z263" s="29"/>
      <c r="AA263" s="30"/>
      <c r="AB263" s="99"/>
      <c r="AD263" s="27" t="e">
        <f>""""&amp;#REF!&amp;""":""example"&amp;#REF!&amp;""","</f>
        <v>#REF!</v>
      </c>
    </row>
    <row r="264" spans="1:32" ht="18" customHeight="1">
      <c r="A264" s="98"/>
      <c r="B264" s="95"/>
      <c r="C264" s="278">
        <v>3</v>
      </c>
      <c r="D264" s="278"/>
      <c r="E264" s="137" t="s">
        <v>366</v>
      </c>
      <c r="F264" s="29"/>
      <c r="G264" s="29"/>
      <c r="H264" s="29"/>
      <c r="I264" s="29"/>
      <c r="J264" s="29"/>
      <c r="K264" s="108"/>
      <c r="L264" s="100" t="str">
        <f t="shared" si="1"/>
        <v>パラメータ．請求条件明細リスト．棟コード</v>
      </c>
      <c r="M264" s="29"/>
      <c r="N264" s="29"/>
      <c r="O264" s="29"/>
      <c r="P264" s="29"/>
      <c r="Q264" s="29"/>
      <c r="R264" s="29"/>
      <c r="S264" s="29"/>
      <c r="T264" s="29"/>
      <c r="U264" s="29"/>
      <c r="V264" s="29"/>
      <c r="W264" s="29"/>
      <c r="X264" s="29"/>
      <c r="Y264" s="29"/>
      <c r="Z264" s="29"/>
      <c r="AA264" s="30"/>
      <c r="AB264" s="99"/>
      <c r="AD264" s="27" t="e">
        <f>""""&amp;#REF!&amp;""":""example"&amp;#REF!&amp;"""},"</f>
        <v>#REF!</v>
      </c>
    </row>
    <row r="265" spans="1:32" ht="18" customHeight="1">
      <c r="A265" s="98"/>
      <c r="B265" s="95"/>
      <c r="C265" s="278">
        <v>4</v>
      </c>
      <c r="D265" s="278"/>
      <c r="E265" s="137" t="s">
        <v>408</v>
      </c>
      <c r="F265" s="29"/>
      <c r="G265" s="29"/>
      <c r="H265" s="29"/>
      <c r="I265" s="29"/>
      <c r="J265" s="29"/>
      <c r="K265" s="108"/>
      <c r="L265" s="100" t="str">
        <f t="shared" si="1"/>
        <v>パラメータ．請求条件明細リスト．請求条件コード</v>
      </c>
      <c r="M265" s="29"/>
      <c r="N265" s="29"/>
      <c r="O265" s="29"/>
      <c r="P265" s="29"/>
      <c r="Q265" s="29"/>
      <c r="R265" s="29"/>
      <c r="S265" s="29"/>
      <c r="T265" s="29"/>
      <c r="U265" s="29"/>
      <c r="V265" s="29"/>
      <c r="W265" s="29"/>
      <c r="X265" s="29"/>
      <c r="Y265" s="29"/>
      <c r="Z265" s="29"/>
      <c r="AA265" s="30"/>
      <c r="AB265" s="99"/>
      <c r="AD265" s="27" t="e">
        <f>""""&amp;#REF!&amp;""":""example"&amp;#REF!&amp;"""},"</f>
        <v>#REF!</v>
      </c>
    </row>
    <row r="266" spans="1:32" ht="18" customHeight="1">
      <c r="A266" s="98"/>
      <c r="B266" s="95"/>
      <c r="C266" s="278">
        <v>5</v>
      </c>
      <c r="D266" s="278"/>
      <c r="E266" s="137" t="s">
        <v>409</v>
      </c>
      <c r="F266" s="29"/>
      <c r="G266" s="29"/>
      <c r="H266" s="29"/>
      <c r="I266" s="29"/>
      <c r="J266" s="29"/>
      <c r="K266" s="108"/>
      <c r="L266" s="100" t="str">
        <f t="shared" si="1"/>
        <v>パラメータ．請求条件明細リスト．割合</v>
      </c>
      <c r="M266" s="29"/>
      <c r="N266" s="29"/>
      <c r="O266" s="29"/>
      <c r="P266" s="29"/>
      <c r="Q266" s="29"/>
      <c r="R266" s="29"/>
      <c r="S266" s="29"/>
      <c r="T266" s="29"/>
      <c r="U266" s="29"/>
      <c r="V266" s="29"/>
      <c r="W266" s="29"/>
      <c r="X266" s="29"/>
      <c r="Y266" s="29"/>
      <c r="Z266" s="29"/>
      <c r="AA266" s="30"/>
      <c r="AB266" s="99"/>
      <c r="AD266" s="27" t="e">
        <f>""""&amp;#REF!&amp;""":""example"&amp;#REF!&amp;"""},"</f>
        <v>#REF!</v>
      </c>
    </row>
    <row r="267" spans="1:32" ht="18" customHeight="1">
      <c r="A267" s="98"/>
      <c r="B267" s="95"/>
      <c r="C267" s="278">
        <v>6</v>
      </c>
      <c r="D267" s="278"/>
      <c r="E267" s="137" t="s">
        <v>410</v>
      </c>
      <c r="F267" s="29"/>
      <c r="G267" s="29"/>
      <c r="H267" s="29"/>
      <c r="I267" s="29"/>
      <c r="J267" s="29"/>
      <c r="K267" s="108"/>
      <c r="L267" s="100" t="str">
        <f t="shared" si="1"/>
        <v>パラメータ．請求条件明細リスト．税抜請求金額</v>
      </c>
      <c r="M267" s="29"/>
      <c r="N267" s="29"/>
      <c r="O267" s="29"/>
      <c r="P267" s="29"/>
      <c r="Q267" s="29"/>
      <c r="R267" s="29"/>
      <c r="S267" s="29"/>
      <c r="T267" s="29"/>
      <c r="U267" s="29"/>
      <c r="V267" s="29"/>
      <c r="W267" s="29"/>
      <c r="X267" s="29"/>
      <c r="Y267" s="29"/>
      <c r="Z267" s="29"/>
      <c r="AA267" s="30"/>
      <c r="AB267" s="99"/>
    </row>
    <row r="268" spans="1:32" ht="18" customHeight="1">
      <c r="A268" s="98"/>
      <c r="B268" s="95"/>
      <c r="C268" s="278">
        <v>7</v>
      </c>
      <c r="D268" s="278"/>
      <c r="E268" s="137" t="s">
        <v>411</v>
      </c>
      <c r="F268" s="29"/>
      <c r="G268" s="29"/>
      <c r="H268" s="29"/>
      <c r="I268" s="29"/>
      <c r="J268" s="29"/>
      <c r="K268" s="108"/>
      <c r="L268" s="100" t="str">
        <f t="shared" si="1"/>
        <v>パラメータ．請求条件明細リスト．税込請求金額</v>
      </c>
      <c r="M268" s="29"/>
      <c r="N268" s="29"/>
      <c r="O268" s="29"/>
      <c r="P268" s="29"/>
      <c r="Q268" s="29"/>
      <c r="R268" s="29"/>
      <c r="S268" s="29"/>
      <c r="T268" s="29"/>
      <c r="U268" s="29"/>
      <c r="V268" s="29"/>
      <c r="W268" s="29"/>
      <c r="X268" s="29"/>
      <c r="Y268" s="29"/>
      <c r="Z268" s="29"/>
      <c r="AA268" s="30"/>
      <c r="AB268" s="99"/>
    </row>
    <row r="269" spans="1:32" ht="18" customHeight="1">
      <c r="A269" s="98"/>
      <c r="B269" s="95"/>
      <c r="C269" s="278">
        <v>8</v>
      </c>
      <c r="D269" s="278"/>
      <c r="E269" s="137" t="s">
        <v>412</v>
      </c>
      <c r="F269" s="29"/>
      <c r="G269" s="29"/>
      <c r="H269" s="29"/>
      <c r="I269" s="29"/>
      <c r="J269" s="29"/>
      <c r="K269" s="108"/>
      <c r="L269" s="100" t="str">
        <f t="shared" si="1"/>
        <v>パラメータ．請求条件明細リスト．消費税率ID</v>
      </c>
      <c r="M269" s="29"/>
      <c r="N269" s="29"/>
      <c r="O269" s="29"/>
      <c r="P269" s="29"/>
      <c r="Q269" s="29"/>
      <c r="R269" s="29"/>
      <c r="S269" s="29"/>
      <c r="T269" s="29"/>
      <c r="U269" s="29"/>
      <c r="V269" s="29"/>
      <c r="W269" s="29"/>
      <c r="X269" s="29"/>
      <c r="Y269" s="29"/>
      <c r="Z269" s="29"/>
      <c r="AA269" s="30"/>
      <c r="AB269" s="99"/>
    </row>
    <row r="270" spans="1:32" ht="18" customHeight="1">
      <c r="A270" s="98"/>
      <c r="B270" s="95"/>
      <c r="C270" s="278">
        <v>9</v>
      </c>
      <c r="D270" s="278"/>
      <c r="E270" s="137" t="s">
        <v>413</v>
      </c>
      <c r="F270" s="29"/>
      <c r="G270" s="29"/>
      <c r="H270" s="29"/>
      <c r="I270" s="29"/>
      <c r="J270" s="29"/>
      <c r="K270" s="30"/>
      <c r="L270" s="100" t="str">
        <f t="shared" si="1"/>
        <v>パラメータ．請求条件明細リスト．消費税金額</v>
      </c>
      <c r="M270" s="29"/>
      <c r="N270" s="29"/>
      <c r="O270" s="29"/>
      <c r="P270" s="29"/>
      <c r="Q270" s="29"/>
      <c r="R270" s="29"/>
      <c r="S270" s="29"/>
      <c r="T270" s="29"/>
      <c r="U270" s="29"/>
      <c r="V270" s="29"/>
      <c r="W270" s="29"/>
      <c r="X270" s="29"/>
      <c r="Y270" s="29"/>
      <c r="Z270" s="29"/>
      <c r="AA270" s="30"/>
      <c r="AB270" s="99"/>
      <c r="AD270" s="27" t="e">
        <f>""""&amp;#REF!&amp;""":""example"&amp;#REF!&amp;""","</f>
        <v>#REF!</v>
      </c>
    </row>
    <row r="271" spans="1:32" ht="18" customHeight="1">
      <c r="A271" s="98"/>
      <c r="B271" s="95"/>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9"/>
      <c r="AD271" s="27" t="e">
        <f>""""&amp;#REF!&amp;""":""example"&amp;#REF!&amp;""","</f>
        <v>#REF!</v>
      </c>
    </row>
    <row r="272" spans="1:32" ht="18" customHeight="1">
      <c r="A272" s="98"/>
      <c r="B272" s="105" t="s">
        <v>865</v>
      </c>
      <c r="C272" s="122"/>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9"/>
      <c r="AD272" s="27" t="e">
        <f>""""&amp;#REF!&amp;""":""example"&amp;#REF!&amp;"""},"</f>
        <v>#REF!</v>
      </c>
    </row>
    <row r="273" spans="1:32" customFormat="1" ht="20.100000000000001" customHeight="1">
      <c r="A273" s="95"/>
      <c r="B273" s="105"/>
      <c r="C273" s="337" t="s">
        <v>653</v>
      </c>
      <c r="D273" s="337"/>
      <c r="E273" s="337"/>
      <c r="F273" s="337"/>
      <c r="G273" s="333" t="s">
        <v>656</v>
      </c>
      <c r="H273" s="333"/>
      <c r="I273" s="333"/>
      <c r="J273" s="333"/>
      <c r="K273" s="333"/>
      <c r="L273" s="333"/>
      <c r="M273" s="333"/>
      <c r="N273" s="333"/>
      <c r="O273" s="333"/>
      <c r="P273" s="333"/>
      <c r="Q273" s="333"/>
      <c r="R273" s="333"/>
      <c r="S273" s="333"/>
      <c r="T273" s="333"/>
      <c r="U273" s="333"/>
      <c r="V273" s="333"/>
      <c r="W273" s="333"/>
      <c r="X273" s="333"/>
      <c r="Y273" s="333"/>
      <c r="Z273" s="333"/>
      <c r="AA273" s="333"/>
      <c r="AB273" s="99"/>
      <c r="AC273" s="36"/>
      <c r="AE273" s="112"/>
    </row>
    <row r="274" spans="1:32" ht="18" customHeight="1">
      <c r="A274" s="98"/>
      <c r="B274" s="95"/>
      <c r="C274" s="337" t="s">
        <v>417</v>
      </c>
      <c r="D274" s="337"/>
      <c r="E274" s="337"/>
      <c r="F274" s="337"/>
      <c r="G274" s="333" t="s">
        <v>421</v>
      </c>
      <c r="H274" s="333"/>
      <c r="I274" s="333"/>
      <c r="J274" s="333"/>
      <c r="K274" s="333"/>
      <c r="L274" s="333"/>
      <c r="M274" s="333"/>
      <c r="N274" s="333"/>
      <c r="O274" s="333"/>
      <c r="P274" s="333"/>
      <c r="Q274" s="333"/>
      <c r="R274" s="333"/>
      <c r="S274" s="333"/>
      <c r="T274" s="333"/>
      <c r="U274" s="333"/>
      <c r="V274" s="333"/>
      <c r="W274" s="333"/>
      <c r="X274" s="333"/>
      <c r="Y274" s="333"/>
      <c r="Z274" s="333"/>
      <c r="AA274" s="333"/>
      <c r="AB274" s="99"/>
      <c r="AD274" s="67"/>
      <c r="AF274" s="27"/>
    </row>
    <row r="275" spans="1:32" ht="18" customHeight="1">
      <c r="A275" s="98"/>
      <c r="B275" s="95"/>
      <c r="C275" s="337" t="s">
        <v>7</v>
      </c>
      <c r="D275" s="337"/>
      <c r="E275" s="343" t="s">
        <v>9</v>
      </c>
      <c r="F275" s="344"/>
      <c r="G275" s="344"/>
      <c r="H275" s="344"/>
      <c r="I275" s="344"/>
      <c r="J275" s="344"/>
      <c r="K275" s="345"/>
      <c r="L275" s="343" t="s">
        <v>18</v>
      </c>
      <c r="M275" s="344"/>
      <c r="N275" s="344"/>
      <c r="O275" s="344"/>
      <c r="P275" s="344"/>
      <c r="Q275" s="344"/>
      <c r="R275" s="344"/>
      <c r="S275" s="344"/>
      <c r="T275" s="344"/>
      <c r="U275" s="344"/>
      <c r="V275" s="344"/>
      <c r="W275" s="344"/>
      <c r="X275" s="344"/>
      <c r="Y275" s="344"/>
      <c r="Z275" s="344"/>
      <c r="AA275" s="345"/>
      <c r="AB275" s="99"/>
      <c r="AD275" s="27" t="e">
        <f>""""&amp;#REF!&amp;""":""example"&amp;#REF!&amp;"""},"</f>
        <v>#REF!</v>
      </c>
    </row>
    <row r="276" spans="1:32" ht="18" customHeight="1">
      <c r="A276" s="98"/>
      <c r="B276" s="95"/>
      <c r="C276" s="278">
        <v>1</v>
      </c>
      <c r="D276" s="278"/>
      <c r="E276" s="137" t="s">
        <v>179</v>
      </c>
      <c r="F276" s="29"/>
      <c r="G276" s="29"/>
      <c r="H276" s="29"/>
      <c r="I276" s="29"/>
      <c r="J276" s="29"/>
      <c r="K276" s="30"/>
      <c r="L276" s="100" t="s">
        <v>736</v>
      </c>
      <c r="M276" s="29"/>
      <c r="N276" s="29"/>
      <c r="O276" s="29"/>
      <c r="P276" s="29"/>
      <c r="Q276" s="29"/>
      <c r="R276" s="29"/>
      <c r="S276" s="29"/>
      <c r="T276" s="29"/>
      <c r="U276" s="29"/>
      <c r="V276" s="29"/>
      <c r="W276" s="29"/>
      <c r="X276" s="29"/>
      <c r="Y276" s="29"/>
      <c r="Z276" s="29"/>
      <c r="AA276" s="30"/>
      <c r="AB276" s="99"/>
      <c r="AC276" s="70" t="s">
        <v>732</v>
      </c>
      <c r="AD276" s="27" t="e">
        <f>""""&amp;#REF!&amp;""":""example"&amp;#REF!&amp;"""},"</f>
        <v>#REF!</v>
      </c>
    </row>
    <row r="277" spans="1:32" ht="18" customHeight="1">
      <c r="A277" s="98"/>
      <c r="B277" s="95"/>
      <c r="C277" s="278">
        <v>2</v>
      </c>
      <c r="D277" s="278"/>
      <c r="E277" s="137" t="s">
        <v>180</v>
      </c>
      <c r="F277" s="29"/>
      <c r="G277" s="29"/>
      <c r="H277" s="29"/>
      <c r="I277" s="29"/>
      <c r="J277" s="29"/>
      <c r="K277" s="30"/>
      <c r="L277" s="100" t="str">
        <f>"パラメータ．現場棟明細リスト．"&amp;E277</f>
        <v>パラメータ．現場棟明細リスト．連番</v>
      </c>
      <c r="M277" s="29"/>
      <c r="N277" s="29"/>
      <c r="O277" s="29"/>
      <c r="P277" s="29"/>
      <c r="Q277" s="29"/>
      <c r="R277" s="29"/>
      <c r="S277" s="29"/>
      <c r="T277" s="29"/>
      <c r="U277" s="29"/>
      <c r="V277" s="29"/>
      <c r="W277" s="29"/>
      <c r="X277" s="29"/>
      <c r="Y277" s="29"/>
      <c r="Z277" s="29"/>
      <c r="AA277" s="30"/>
      <c r="AB277" s="99"/>
      <c r="AD277" s="27" t="e">
        <f>""""&amp;#REF!&amp;""":""example"&amp;#REF!&amp;"""},"</f>
        <v>#REF!</v>
      </c>
    </row>
    <row r="278" spans="1:32" ht="18" customHeight="1">
      <c r="A278" s="98"/>
      <c r="B278" s="95"/>
      <c r="C278" s="278">
        <v>3</v>
      </c>
      <c r="D278" s="278"/>
      <c r="E278" s="137" t="s">
        <v>190</v>
      </c>
      <c r="F278" s="29"/>
      <c r="G278" s="29"/>
      <c r="H278" s="29"/>
      <c r="I278" s="29"/>
      <c r="J278" s="29"/>
      <c r="K278" s="30"/>
      <c r="L278" s="100" t="str">
        <f>"パラメータ．現場棟明細リスト．"&amp;E278</f>
        <v>パラメータ．現場棟明細リスト．棟コード</v>
      </c>
      <c r="M278" s="29"/>
      <c r="N278" s="29"/>
      <c r="O278" s="29"/>
      <c r="P278" s="29"/>
      <c r="Q278" s="29"/>
      <c r="R278" s="29"/>
      <c r="S278" s="29"/>
      <c r="T278" s="29"/>
      <c r="U278" s="29"/>
      <c r="V278" s="29"/>
      <c r="W278" s="29"/>
      <c r="X278" s="29"/>
      <c r="Y278" s="29"/>
      <c r="Z278" s="29"/>
      <c r="AA278" s="30"/>
      <c r="AB278" s="99"/>
    </row>
    <row r="279" spans="1:32" ht="18" customHeight="1">
      <c r="A279" s="98"/>
      <c r="B279" s="95"/>
      <c r="C279" s="278">
        <v>4</v>
      </c>
      <c r="D279" s="278"/>
      <c r="E279" s="137" t="s">
        <v>191</v>
      </c>
      <c r="F279" s="150"/>
      <c r="G279" s="29"/>
      <c r="H279" s="29"/>
      <c r="I279" s="29"/>
      <c r="J279" s="29"/>
      <c r="K279" s="30"/>
      <c r="L279" s="100" t="str">
        <f>"パラメータ．現場棟明細リスト．"&amp;E279</f>
        <v>パラメータ．現場棟明細リスト．棟番号工事名</v>
      </c>
      <c r="M279" s="29"/>
      <c r="N279" s="29"/>
      <c r="O279" s="29"/>
      <c r="P279" s="29"/>
      <c r="Q279" s="29"/>
      <c r="R279" s="29"/>
      <c r="S279" s="29"/>
      <c r="T279" s="29"/>
      <c r="U279" s="29"/>
      <c r="V279" s="29"/>
      <c r="W279" s="29"/>
      <c r="X279" s="29"/>
      <c r="Y279" s="29"/>
      <c r="Z279" s="29"/>
      <c r="AA279" s="30"/>
      <c r="AB279" s="99"/>
    </row>
    <row r="280" spans="1:32" ht="18" customHeight="1">
      <c r="A280" s="98"/>
      <c r="B280" s="95"/>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9"/>
      <c r="AD280" s="27" t="e">
        <f>""""&amp;#REF!&amp;""":""example"&amp;#REF!&amp;"""},"</f>
        <v>#REF!</v>
      </c>
    </row>
    <row r="281" spans="1:32" ht="18" customHeight="1">
      <c r="A281" s="98"/>
      <c r="B281" s="105" t="s">
        <v>866</v>
      </c>
      <c r="C281" s="122"/>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9"/>
      <c r="AD281" s="27" t="e">
        <f>""""&amp;#REF!&amp;""":""example"&amp;#REF!&amp;"""},"</f>
        <v>#REF!</v>
      </c>
    </row>
    <row r="282" spans="1:32" customFormat="1" ht="20.100000000000001" customHeight="1">
      <c r="A282" s="95"/>
      <c r="B282" s="105"/>
      <c r="C282" s="337" t="s">
        <v>653</v>
      </c>
      <c r="D282" s="337"/>
      <c r="E282" s="337"/>
      <c r="F282" s="337"/>
      <c r="G282" s="333" t="s">
        <v>656</v>
      </c>
      <c r="H282" s="333"/>
      <c r="I282" s="333"/>
      <c r="J282" s="333"/>
      <c r="K282" s="333"/>
      <c r="L282" s="333"/>
      <c r="M282" s="333"/>
      <c r="N282" s="333"/>
      <c r="O282" s="333"/>
      <c r="P282" s="333"/>
      <c r="Q282" s="333"/>
      <c r="R282" s="333"/>
      <c r="S282" s="333"/>
      <c r="T282" s="333"/>
      <c r="U282" s="333"/>
      <c r="V282" s="333"/>
      <c r="W282" s="333"/>
      <c r="X282" s="333"/>
      <c r="Y282" s="333"/>
      <c r="Z282" s="333"/>
      <c r="AA282" s="333"/>
      <c r="AB282" s="99"/>
      <c r="AC282" s="36"/>
      <c r="AE282" s="112"/>
    </row>
    <row r="283" spans="1:32" ht="18" customHeight="1">
      <c r="A283" s="98"/>
      <c r="B283" s="95"/>
      <c r="C283" s="337" t="s">
        <v>417</v>
      </c>
      <c r="D283" s="337"/>
      <c r="E283" s="337"/>
      <c r="F283" s="337"/>
      <c r="G283" s="333" t="s">
        <v>420</v>
      </c>
      <c r="H283" s="333"/>
      <c r="I283" s="333"/>
      <c r="J283" s="333"/>
      <c r="K283" s="333"/>
      <c r="L283" s="333"/>
      <c r="M283" s="333"/>
      <c r="N283" s="333"/>
      <c r="O283" s="333"/>
      <c r="P283" s="333"/>
      <c r="Q283" s="333"/>
      <c r="R283" s="333"/>
      <c r="S283" s="333"/>
      <c r="T283" s="333"/>
      <c r="U283" s="333"/>
      <c r="V283" s="333"/>
      <c r="W283" s="333"/>
      <c r="X283" s="333"/>
      <c r="Y283" s="333"/>
      <c r="Z283" s="333"/>
      <c r="AA283" s="333"/>
      <c r="AB283" s="99"/>
      <c r="AD283" s="67"/>
      <c r="AF283" s="27"/>
    </row>
    <row r="284" spans="1:32" ht="18" customHeight="1">
      <c r="A284" s="98"/>
      <c r="B284" s="95"/>
      <c r="C284" s="337" t="s">
        <v>7</v>
      </c>
      <c r="D284" s="337"/>
      <c r="E284" s="343" t="s">
        <v>9</v>
      </c>
      <c r="F284" s="344"/>
      <c r="G284" s="344"/>
      <c r="H284" s="344"/>
      <c r="I284" s="344"/>
      <c r="J284" s="344"/>
      <c r="K284" s="345"/>
      <c r="L284" s="343" t="s">
        <v>18</v>
      </c>
      <c r="M284" s="344"/>
      <c r="N284" s="344"/>
      <c r="O284" s="344"/>
      <c r="P284" s="344"/>
      <c r="Q284" s="344"/>
      <c r="R284" s="344"/>
      <c r="S284" s="344"/>
      <c r="T284" s="344"/>
      <c r="U284" s="344"/>
      <c r="V284" s="344"/>
      <c r="W284" s="344"/>
      <c r="X284" s="344"/>
      <c r="Y284" s="344"/>
      <c r="Z284" s="344"/>
      <c r="AA284" s="345"/>
      <c r="AB284" s="99"/>
      <c r="AD284" s="27" t="e">
        <f>""""&amp;#REF!&amp;""":""example"&amp;#REF!&amp;"""},"</f>
        <v>#REF!</v>
      </c>
    </row>
    <row r="285" spans="1:32" ht="18" customHeight="1">
      <c r="A285" s="98"/>
      <c r="B285" s="95"/>
      <c r="C285" s="278">
        <v>1</v>
      </c>
      <c r="D285" s="278"/>
      <c r="E285" s="137" t="s">
        <v>179</v>
      </c>
      <c r="F285" s="29"/>
      <c r="G285" s="29"/>
      <c r="H285" s="29"/>
      <c r="I285" s="29"/>
      <c r="J285" s="29"/>
      <c r="K285" s="29"/>
      <c r="L285" s="100" t="s">
        <v>736</v>
      </c>
      <c r="M285" s="29"/>
      <c r="N285" s="29"/>
      <c r="O285" s="29"/>
      <c r="P285" s="29"/>
      <c r="Q285" s="29"/>
      <c r="R285" s="29"/>
      <c r="S285" s="29"/>
      <c r="T285" s="29"/>
      <c r="U285" s="29"/>
      <c r="V285" s="29"/>
      <c r="W285" s="29"/>
      <c r="X285" s="29"/>
      <c r="Y285" s="29"/>
      <c r="Z285" s="29"/>
      <c r="AA285" s="30"/>
      <c r="AB285" s="99"/>
      <c r="AC285" s="70" t="s">
        <v>732</v>
      </c>
    </row>
    <row r="286" spans="1:32" ht="18" customHeight="1">
      <c r="A286" s="98"/>
      <c r="B286" s="95"/>
      <c r="C286" s="278">
        <v>2</v>
      </c>
      <c r="D286" s="278"/>
      <c r="E286" s="137" t="s">
        <v>374</v>
      </c>
      <c r="F286" s="29"/>
      <c r="G286" s="29"/>
      <c r="H286" s="29"/>
      <c r="I286" s="29"/>
      <c r="J286" s="29"/>
      <c r="K286" s="29"/>
      <c r="L286" s="100" t="s">
        <v>660</v>
      </c>
      <c r="M286" s="29"/>
      <c r="N286" s="29"/>
      <c r="O286" s="29"/>
      <c r="P286" s="29"/>
      <c r="Q286" s="29"/>
      <c r="R286" s="29"/>
      <c r="S286" s="29"/>
      <c r="T286" s="29"/>
      <c r="U286" s="29"/>
      <c r="V286" s="29"/>
      <c r="W286" s="29"/>
      <c r="X286" s="29"/>
      <c r="Y286" s="29"/>
      <c r="Z286" s="29"/>
      <c r="AA286" s="30"/>
      <c r="AB286" s="99"/>
    </row>
    <row r="287" spans="1:32" ht="18" customHeight="1">
      <c r="A287" s="98"/>
      <c r="B287" s="95"/>
      <c r="C287" s="278">
        <v>3</v>
      </c>
      <c r="D287" s="278"/>
      <c r="E287" s="137" t="s">
        <v>414</v>
      </c>
      <c r="F287" s="29"/>
      <c r="G287" s="29"/>
      <c r="H287" s="29"/>
      <c r="I287" s="29"/>
      <c r="J287" s="29"/>
      <c r="K287" s="29"/>
      <c r="L287" s="100" t="s">
        <v>661</v>
      </c>
      <c r="M287" s="29"/>
      <c r="N287" s="29"/>
      <c r="O287" s="29"/>
      <c r="P287" s="29"/>
      <c r="Q287" s="29"/>
      <c r="R287" s="29"/>
      <c r="S287" s="29"/>
      <c r="T287" s="29"/>
      <c r="U287" s="29"/>
      <c r="V287" s="29"/>
      <c r="W287" s="29"/>
      <c r="X287" s="29"/>
      <c r="Y287" s="29"/>
      <c r="Z287" s="29"/>
      <c r="AA287" s="30"/>
      <c r="AB287" s="99"/>
    </row>
    <row r="288" spans="1:32" ht="18" customHeight="1">
      <c r="A288" s="98"/>
      <c r="B288" s="95"/>
      <c r="C288" s="278">
        <v>4</v>
      </c>
      <c r="D288" s="278"/>
      <c r="E288" s="137" t="s">
        <v>415</v>
      </c>
      <c r="F288" s="150"/>
      <c r="G288" s="29"/>
      <c r="H288" s="29"/>
      <c r="I288" s="29"/>
      <c r="J288" s="29"/>
      <c r="K288" s="29"/>
      <c r="L288" s="100" t="s">
        <v>662</v>
      </c>
      <c r="M288" s="29"/>
      <c r="N288" s="29"/>
      <c r="O288" s="29"/>
      <c r="P288" s="29"/>
      <c r="Q288" s="29"/>
      <c r="R288" s="29"/>
      <c r="S288" s="29"/>
      <c r="T288" s="29"/>
      <c r="U288" s="29"/>
      <c r="V288" s="29"/>
      <c r="W288" s="29"/>
      <c r="X288" s="29"/>
      <c r="Y288" s="29"/>
      <c r="Z288" s="29"/>
      <c r="AA288" s="30"/>
      <c r="AB288" s="99"/>
    </row>
    <row r="289" spans="1:32" ht="18" customHeight="1">
      <c r="A289" s="98"/>
      <c r="B289" s="95"/>
      <c r="C289" s="278">
        <v>5</v>
      </c>
      <c r="D289" s="278"/>
      <c r="E289" s="137" t="s">
        <v>416</v>
      </c>
      <c r="F289" s="150"/>
      <c r="G289" s="29"/>
      <c r="H289" s="29"/>
      <c r="I289" s="29"/>
      <c r="J289" s="29"/>
      <c r="K289" s="29"/>
      <c r="L289" s="100" t="s">
        <v>663</v>
      </c>
      <c r="M289" s="29"/>
      <c r="N289" s="29"/>
      <c r="O289" s="29"/>
      <c r="P289" s="29"/>
      <c r="Q289" s="29"/>
      <c r="R289" s="29"/>
      <c r="S289" s="29"/>
      <c r="T289" s="29"/>
      <c r="U289" s="29"/>
      <c r="V289" s="29"/>
      <c r="W289" s="29"/>
      <c r="X289" s="29"/>
      <c r="Y289" s="29"/>
      <c r="Z289" s="29"/>
      <c r="AA289" s="30"/>
      <c r="AB289" s="99"/>
      <c r="AD289" s="27" t="e">
        <f>""""&amp;#REF!&amp;""":""example"&amp;#REF!&amp;""","</f>
        <v>#REF!</v>
      </c>
    </row>
    <row r="290" spans="1:32" ht="18" customHeight="1">
      <c r="A290" s="98"/>
      <c r="B290" s="95"/>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9"/>
      <c r="AD290" s="27" t="e">
        <f>""""&amp;#REF!&amp;""":""example"&amp;#REF!&amp;""","</f>
        <v>#REF!</v>
      </c>
    </row>
    <row r="291" spans="1:32" ht="18" customHeight="1">
      <c r="A291" s="98"/>
      <c r="B291" s="105" t="s">
        <v>1261</v>
      </c>
      <c r="C291" s="122"/>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9"/>
      <c r="AC291" s="188" t="s">
        <v>1259</v>
      </c>
      <c r="AD291" s="27" t="e">
        <f>""""&amp;#REF!&amp;""":""example"&amp;#REF!&amp;"""},"</f>
        <v>#REF!</v>
      </c>
    </row>
    <row r="292" spans="1:32" customFormat="1" ht="20.100000000000001" customHeight="1">
      <c r="A292" s="95"/>
      <c r="B292" s="105"/>
      <c r="C292" s="337" t="s">
        <v>653</v>
      </c>
      <c r="D292" s="337"/>
      <c r="E292" s="337"/>
      <c r="F292" s="337"/>
      <c r="G292" s="333" t="s">
        <v>1305</v>
      </c>
      <c r="H292" s="333"/>
      <c r="I292" s="333"/>
      <c r="J292" s="333"/>
      <c r="K292" s="333"/>
      <c r="L292" s="333"/>
      <c r="M292" s="333"/>
      <c r="N292" s="333"/>
      <c r="O292" s="333"/>
      <c r="P292" s="333"/>
      <c r="Q292" s="333"/>
      <c r="R292" s="333"/>
      <c r="S292" s="333"/>
      <c r="T292" s="333"/>
      <c r="U292" s="333"/>
      <c r="V292" s="333"/>
      <c r="W292" s="333"/>
      <c r="X292" s="333"/>
      <c r="Y292" s="333"/>
      <c r="Z292" s="333"/>
      <c r="AA292" s="333"/>
      <c r="AB292" s="99"/>
      <c r="AC292" s="36"/>
      <c r="AE292" s="112"/>
    </row>
    <row r="293" spans="1:32" ht="18" customHeight="1">
      <c r="A293" s="98"/>
      <c r="B293" s="95"/>
      <c r="C293" s="337" t="s">
        <v>417</v>
      </c>
      <c r="D293" s="337"/>
      <c r="E293" s="337"/>
      <c r="F293" s="337"/>
      <c r="G293" s="333" t="s">
        <v>1262</v>
      </c>
      <c r="H293" s="333"/>
      <c r="I293" s="333"/>
      <c r="J293" s="333"/>
      <c r="K293" s="333"/>
      <c r="L293" s="333"/>
      <c r="M293" s="333"/>
      <c r="N293" s="333"/>
      <c r="O293" s="333"/>
      <c r="P293" s="333"/>
      <c r="Q293" s="333"/>
      <c r="R293" s="333"/>
      <c r="S293" s="333"/>
      <c r="T293" s="333"/>
      <c r="U293" s="333"/>
      <c r="V293" s="333"/>
      <c r="W293" s="333"/>
      <c r="X293" s="333"/>
      <c r="Y293" s="333"/>
      <c r="Z293" s="333"/>
      <c r="AA293" s="333"/>
      <c r="AB293" s="99"/>
      <c r="AC293" s="188" t="s">
        <v>1259</v>
      </c>
      <c r="AD293" s="67"/>
      <c r="AF293" s="27"/>
    </row>
    <row r="294" spans="1:32" ht="18" customHeight="1">
      <c r="A294" s="98"/>
      <c r="B294" s="95"/>
      <c r="C294" s="337" t="s">
        <v>7</v>
      </c>
      <c r="D294" s="337"/>
      <c r="E294" s="343" t="s">
        <v>9</v>
      </c>
      <c r="F294" s="344"/>
      <c r="G294" s="344"/>
      <c r="H294" s="344"/>
      <c r="I294" s="344"/>
      <c r="J294" s="344"/>
      <c r="K294" s="345"/>
      <c r="L294" s="343" t="s">
        <v>18</v>
      </c>
      <c r="M294" s="344"/>
      <c r="N294" s="344"/>
      <c r="O294" s="344"/>
      <c r="P294" s="344"/>
      <c r="Q294" s="344"/>
      <c r="R294" s="344"/>
      <c r="S294" s="344"/>
      <c r="T294" s="344"/>
      <c r="U294" s="344"/>
      <c r="V294" s="344"/>
      <c r="W294" s="344"/>
      <c r="X294" s="344"/>
      <c r="Y294" s="344"/>
      <c r="Z294" s="344"/>
      <c r="AA294" s="345"/>
      <c r="AB294" s="99"/>
      <c r="AD294" s="27" t="e">
        <f>""""&amp;#REF!&amp;""":""example"&amp;#REF!&amp;"""},"</f>
        <v>#REF!</v>
      </c>
    </row>
    <row r="295" spans="1:32" ht="18" customHeight="1">
      <c r="A295" s="98"/>
      <c r="B295" s="95"/>
      <c r="C295" s="278">
        <v>1</v>
      </c>
      <c r="D295" s="278"/>
      <c r="E295" s="137" t="s">
        <v>179</v>
      </c>
      <c r="F295" s="29"/>
      <c r="G295" s="29"/>
      <c r="H295" s="29"/>
      <c r="I295" s="29"/>
      <c r="J295" s="29"/>
      <c r="K295" s="29"/>
      <c r="L295" s="100" t="s">
        <v>736</v>
      </c>
      <c r="M295" s="29"/>
      <c r="N295" s="29"/>
      <c r="O295" s="29"/>
      <c r="P295" s="29"/>
      <c r="Q295" s="29"/>
      <c r="R295" s="29"/>
      <c r="S295" s="29"/>
      <c r="T295" s="29"/>
      <c r="U295" s="29"/>
      <c r="V295" s="29"/>
      <c r="W295" s="29"/>
      <c r="X295" s="29"/>
      <c r="Y295" s="29"/>
      <c r="Z295" s="29"/>
      <c r="AA295" s="30"/>
      <c r="AB295" s="99"/>
      <c r="AC295" s="70" t="s">
        <v>732</v>
      </c>
      <c r="AD295" s="27" t="e">
        <f>""""&amp;#REF!&amp;""":""example"&amp;#REF!&amp;"""},"</f>
        <v>#REF!</v>
      </c>
    </row>
    <row r="296" spans="1:32" ht="18" customHeight="1">
      <c r="A296" s="98"/>
      <c r="B296" s="95"/>
      <c r="C296" s="278">
        <v>2</v>
      </c>
      <c r="D296" s="278"/>
      <c r="E296" s="137" t="s">
        <v>374</v>
      </c>
      <c r="F296" s="29"/>
      <c r="G296" s="29"/>
      <c r="H296" s="29"/>
      <c r="I296" s="29"/>
      <c r="J296" s="29"/>
      <c r="K296" s="29"/>
      <c r="L296" s="100" t="str">
        <f t="shared" ref="L296:L309" si="2">"パラメータ．先行作業内諾書明細リスト．"&amp;E296</f>
        <v>パラメータ．先行作業内諾書明細リスト．連番</v>
      </c>
      <c r="M296" s="29"/>
      <c r="N296" s="29"/>
      <c r="O296" s="29"/>
      <c r="P296" s="29"/>
      <c r="Q296" s="29"/>
      <c r="R296" s="29"/>
      <c r="S296" s="29"/>
      <c r="T296" s="29"/>
      <c r="U296" s="29"/>
      <c r="V296" s="29"/>
      <c r="W296" s="29"/>
      <c r="X296" s="29"/>
      <c r="Y296" s="29"/>
      <c r="Z296" s="29"/>
      <c r="AA296" s="30"/>
      <c r="AB296" s="99"/>
      <c r="AD296" s="27" t="e">
        <f>""""&amp;#REF!&amp;""":""example"&amp;#REF!&amp;"""},"</f>
        <v>#REF!</v>
      </c>
    </row>
    <row r="297" spans="1:32" ht="18" customHeight="1">
      <c r="A297" s="98"/>
      <c r="B297" s="95"/>
      <c r="C297" s="390">
        <v>3</v>
      </c>
      <c r="D297" s="390"/>
      <c r="E297" s="233" t="s">
        <v>376</v>
      </c>
      <c r="F297" s="234"/>
      <c r="G297" s="234"/>
      <c r="H297" s="234"/>
      <c r="I297" s="234"/>
      <c r="J297" s="234"/>
      <c r="K297" s="234"/>
      <c r="L297" s="235" t="str">
        <f t="shared" si="2"/>
        <v>パラメータ．先行作業内諾書明細リスト．大工事コード</v>
      </c>
      <c r="M297" s="234"/>
      <c r="N297" s="234"/>
      <c r="O297" s="234"/>
      <c r="P297" s="234"/>
      <c r="Q297" s="234"/>
      <c r="R297" s="234"/>
      <c r="S297" s="234"/>
      <c r="T297" s="234"/>
      <c r="U297" s="234"/>
      <c r="V297" s="234"/>
      <c r="W297" s="234"/>
      <c r="X297" s="234"/>
      <c r="Y297" s="234"/>
      <c r="Z297" s="234"/>
      <c r="AA297" s="236"/>
      <c r="AB297" s="99"/>
      <c r="AC297" s="188" t="s">
        <v>1259</v>
      </c>
      <c r="AD297" s="27" t="e">
        <f>""""&amp;#REF!&amp;""":""example"&amp;#REF!&amp;"""},"</f>
        <v>#REF!</v>
      </c>
    </row>
    <row r="298" spans="1:32" ht="18" customHeight="1">
      <c r="A298" s="98"/>
      <c r="B298" s="95"/>
      <c r="C298" s="390">
        <v>4</v>
      </c>
      <c r="D298" s="390"/>
      <c r="E298" s="233" t="s">
        <v>377</v>
      </c>
      <c r="F298" s="234"/>
      <c r="G298" s="234"/>
      <c r="H298" s="234"/>
      <c r="I298" s="234"/>
      <c r="J298" s="234"/>
      <c r="K298" s="234"/>
      <c r="L298" s="235" t="str">
        <f t="shared" si="2"/>
        <v>パラメータ．先行作業内諾書明細リスト．小工事コード</v>
      </c>
      <c r="M298" s="234"/>
      <c r="N298" s="234"/>
      <c r="O298" s="234"/>
      <c r="P298" s="234"/>
      <c r="Q298" s="234"/>
      <c r="R298" s="234"/>
      <c r="S298" s="234"/>
      <c r="T298" s="234"/>
      <c r="U298" s="234"/>
      <c r="V298" s="234"/>
      <c r="W298" s="234"/>
      <c r="X298" s="234"/>
      <c r="Y298" s="234"/>
      <c r="Z298" s="234"/>
      <c r="AA298" s="236"/>
      <c r="AB298" s="99"/>
      <c r="AC298" s="188" t="s">
        <v>1259</v>
      </c>
    </row>
    <row r="299" spans="1:32" ht="18" customHeight="1">
      <c r="A299" s="98"/>
      <c r="B299" s="95"/>
      <c r="C299" s="390">
        <v>5</v>
      </c>
      <c r="D299" s="390"/>
      <c r="E299" s="233" t="s">
        <v>378</v>
      </c>
      <c r="F299" s="234"/>
      <c r="G299" s="234"/>
      <c r="H299" s="234"/>
      <c r="I299" s="234"/>
      <c r="J299" s="234"/>
      <c r="K299" s="234"/>
      <c r="L299" s="235" t="str">
        <f t="shared" si="2"/>
        <v>パラメータ．先行作業内諾書明細リスト．工事連番</v>
      </c>
      <c r="M299" s="234"/>
      <c r="N299" s="234"/>
      <c r="O299" s="234"/>
      <c r="P299" s="234"/>
      <c r="Q299" s="234"/>
      <c r="R299" s="234"/>
      <c r="S299" s="234"/>
      <c r="T299" s="234"/>
      <c r="U299" s="234"/>
      <c r="V299" s="234"/>
      <c r="W299" s="234"/>
      <c r="X299" s="234"/>
      <c r="Y299" s="234"/>
      <c r="Z299" s="234"/>
      <c r="AA299" s="236"/>
      <c r="AB299" s="99"/>
      <c r="AC299" s="188" t="s">
        <v>1259</v>
      </c>
    </row>
    <row r="300" spans="1:32" ht="18" customHeight="1">
      <c r="A300" s="98"/>
      <c r="B300" s="95"/>
      <c r="C300" s="390">
        <v>6</v>
      </c>
      <c r="D300" s="390"/>
      <c r="E300" s="233" t="s">
        <v>379</v>
      </c>
      <c r="F300" s="234"/>
      <c r="G300" s="234"/>
      <c r="H300" s="234"/>
      <c r="I300" s="234"/>
      <c r="J300" s="234"/>
      <c r="K300" s="234"/>
      <c r="L300" s="235" t="str">
        <f t="shared" si="2"/>
        <v>パラメータ．先行作業内諾書明細リスト．精積算明細ID</v>
      </c>
      <c r="M300" s="234"/>
      <c r="N300" s="234"/>
      <c r="O300" s="234"/>
      <c r="P300" s="234"/>
      <c r="Q300" s="234"/>
      <c r="R300" s="234"/>
      <c r="S300" s="234"/>
      <c r="T300" s="234"/>
      <c r="U300" s="234"/>
      <c r="V300" s="234"/>
      <c r="W300" s="234"/>
      <c r="X300" s="234"/>
      <c r="Y300" s="234"/>
      <c r="Z300" s="234"/>
      <c r="AA300" s="236"/>
      <c r="AB300" s="99"/>
      <c r="AC300" s="188" t="s">
        <v>1259</v>
      </c>
    </row>
    <row r="301" spans="1:32" ht="18" customHeight="1">
      <c r="A301" s="98"/>
      <c r="B301" s="95"/>
      <c r="C301" s="278">
        <v>7</v>
      </c>
      <c r="D301" s="278"/>
      <c r="E301" s="137" t="s">
        <v>380</v>
      </c>
      <c r="F301" s="29"/>
      <c r="G301" s="29"/>
      <c r="H301" s="29"/>
      <c r="I301" s="29"/>
      <c r="J301" s="29"/>
      <c r="K301" s="29"/>
      <c r="L301" s="100" t="str">
        <f t="shared" si="2"/>
        <v>パラメータ．先行作業内諾書明細リスト．見積日</v>
      </c>
      <c r="M301" s="29"/>
      <c r="N301" s="29"/>
      <c r="O301" s="29"/>
      <c r="P301" s="29"/>
      <c r="Q301" s="29"/>
      <c r="R301" s="29"/>
      <c r="S301" s="29"/>
      <c r="T301" s="29"/>
      <c r="U301" s="29"/>
      <c r="V301" s="29"/>
      <c r="W301" s="29"/>
      <c r="X301" s="29"/>
      <c r="Y301" s="29"/>
      <c r="Z301" s="29"/>
      <c r="AA301" s="30"/>
      <c r="AB301" s="99"/>
    </row>
    <row r="302" spans="1:32" ht="18" customHeight="1">
      <c r="A302" s="98"/>
      <c r="B302" s="95"/>
      <c r="C302" s="278">
        <v>8</v>
      </c>
      <c r="D302" s="278"/>
      <c r="E302" s="137" t="s">
        <v>381</v>
      </c>
      <c r="F302" s="29"/>
      <c r="G302" s="29"/>
      <c r="H302" s="29"/>
      <c r="I302" s="29"/>
      <c r="J302" s="29"/>
      <c r="K302" s="29"/>
      <c r="L302" s="100" t="str">
        <f t="shared" si="2"/>
        <v>パラメータ．先行作業内諾書明細リスト．計画概要</v>
      </c>
      <c r="M302" s="29"/>
      <c r="N302" s="29"/>
      <c r="O302" s="29"/>
      <c r="P302" s="29"/>
      <c r="Q302" s="29"/>
      <c r="R302" s="29"/>
      <c r="S302" s="29"/>
      <c r="T302" s="29"/>
      <c r="U302" s="29"/>
      <c r="V302" s="29"/>
      <c r="W302" s="29"/>
      <c r="X302" s="29"/>
      <c r="Y302" s="29"/>
      <c r="Z302" s="29"/>
      <c r="AA302" s="30"/>
      <c r="AB302" s="99"/>
      <c r="AD302" s="27" t="e">
        <f>""""&amp;#REF!&amp;""":""example"&amp;#REF!&amp;""","</f>
        <v>#REF!</v>
      </c>
    </row>
    <row r="303" spans="1:32" ht="18" customHeight="1">
      <c r="A303" s="98"/>
      <c r="B303" s="95"/>
      <c r="C303" s="278">
        <v>9</v>
      </c>
      <c r="D303" s="278"/>
      <c r="E303" s="137" t="s">
        <v>382</v>
      </c>
      <c r="F303" s="29"/>
      <c r="G303" s="29"/>
      <c r="H303" s="29"/>
      <c r="I303" s="29"/>
      <c r="J303" s="29"/>
      <c r="K303" s="29"/>
      <c r="L303" s="100" t="str">
        <f t="shared" si="2"/>
        <v>パラメータ．先行作業内諾書明細リスト．先行工事内容</v>
      </c>
      <c r="M303" s="29"/>
      <c r="N303" s="29"/>
      <c r="O303" s="29"/>
      <c r="P303" s="29"/>
      <c r="Q303" s="29"/>
      <c r="R303" s="29"/>
      <c r="S303" s="29"/>
      <c r="T303" s="29"/>
      <c r="U303" s="29"/>
      <c r="V303" s="29"/>
      <c r="W303" s="29"/>
      <c r="X303" s="29"/>
      <c r="Y303" s="29"/>
      <c r="Z303" s="29"/>
      <c r="AA303" s="30"/>
      <c r="AB303" s="99"/>
      <c r="AD303" s="27" t="e">
        <f>""""&amp;#REF!&amp;""":""example"&amp;#REF!&amp;""","</f>
        <v>#REF!</v>
      </c>
    </row>
    <row r="304" spans="1:32" ht="18" customHeight="1">
      <c r="A304" s="98"/>
      <c r="B304" s="95"/>
      <c r="C304" s="278">
        <v>10</v>
      </c>
      <c r="D304" s="278"/>
      <c r="E304" s="137" t="s">
        <v>383</v>
      </c>
      <c r="F304" s="150"/>
      <c r="G304" s="29"/>
      <c r="H304" s="29"/>
      <c r="I304" s="29"/>
      <c r="J304" s="29"/>
      <c r="K304" s="29"/>
      <c r="L304" s="100" t="str">
        <f t="shared" si="2"/>
        <v>パラメータ．先行作業内諾書明細リスト．工事原価</v>
      </c>
      <c r="M304" s="29"/>
      <c r="N304" s="29"/>
      <c r="O304" s="29"/>
      <c r="P304" s="29"/>
      <c r="Q304" s="29"/>
      <c r="R304" s="29"/>
      <c r="S304" s="29"/>
      <c r="T304" s="29"/>
      <c r="U304" s="29"/>
      <c r="V304" s="29"/>
      <c r="W304" s="29"/>
      <c r="X304" s="29"/>
      <c r="Y304" s="29"/>
      <c r="Z304" s="29"/>
      <c r="AA304" s="30"/>
      <c r="AB304" s="99"/>
      <c r="AD304" s="27" t="e">
        <f>""""&amp;#REF!&amp;""":""example"&amp;#REF!&amp;""","</f>
        <v>#REF!</v>
      </c>
    </row>
    <row r="305" spans="1:30" ht="18" customHeight="1">
      <c r="A305" s="98"/>
      <c r="B305" s="95"/>
      <c r="C305" s="278">
        <v>11</v>
      </c>
      <c r="D305" s="278"/>
      <c r="E305" s="137" t="s">
        <v>384</v>
      </c>
      <c r="F305" s="150"/>
      <c r="G305" s="29"/>
      <c r="H305" s="29"/>
      <c r="I305" s="29"/>
      <c r="J305" s="29"/>
      <c r="K305" s="29"/>
      <c r="L305" s="100" t="str">
        <f t="shared" si="2"/>
        <v>パラメータ．先行作業内諾書明細リスト．支払条件</v>
      </c>
      <c r="M305" s="29"/>
      <c r="N305" s="29"/>
      <c r="O305" s="29"/>
      <c r="P305" s="29"/>
      <c r="Q305" s="29"/>
      <c r="R305" s="29"/>
      <c r="S305" s="29"/>
      <c r="T305" s="29"/>
      <c r="U305" s="29"/>
      <c r="V305" s="29"/>
      <c r="W305" s="29"/>
      <c r="X305" s="29"/>
      <c r="Y305" s="29"/>
      <c r="Z305" s="29"/>
      <c r="AA305" s="30"/>
      <c r="AB305" s="99"/>
      <c r="AD305" s="27" t="e">
        <f>""""&amp;#REF!&amp;""":""example"&amp;#REF!&amp;"""},"</f>
        <v>#REF!</v>
      </c>
    </row>
    <row r="306" spans="1:30" ht="18" customHeight="1">
      <c r="A306" s="98"/>
      <c r="B306" s="95"/>
      <c r="C306" s="278">
        <v>12</v>
      </c>
      <c r="D306" s="278"/>
      <c r="E306" s="137" t="s">
        <v>385</v>
      </c>
      <c r="F306" s="150"/>
      <c r="G306" s="29"/>
      <c r="H306" s="29"/>
      <c r="I306" s="29"/>
      <c r="J306" s="29"/>
      <c r="K306" s="29"/>
      <c r="L306" s="100" t="str">
        <f t="shared" si="2"/>
        <v>パラメータ．先行作業内諾書明細リスト．その他</v>
      </c>
      <c r="M306" s="29"/>
      <c r="N306" s="29"/>
      <c r="O306" s="29"/>
      <c r="P306" s="29"/>
      <c r="Q306" s="29"/>
      <c r="R306" s="29"/>
      <c r="S306" s="29"/>
      <c r="T306" s="29"/>
      <c r="U306" s="29"/>
      <c r="V306" s="29"/>
      <c r="W306" s="29"/>
      <c r="X306" s="29"/>
      <c r="Y306" s="29"/>
      <c r="Z306" s="29"/>
      <c r="AA306" s="30"/>
      <c r="AB306" s="99"/>
      <c r="AD306" s="27" t="e">
        <f>""""&amp;#REF!&amp;""":""example"&amp;#REF!&amp;"""},"</f>
        <v>#REF!</v>
      </c>
    </row>
    <row r="307" spans="1:30" ht="18" customHeight="1">
      <c r="A307" s="98"/>
      <c r="B307" s="95"/>
      <c r="C307" s="278">
        <v>13</v>
      </c>
      <c r="D307" s="278"/>
      <c r="E307" s="137" t="s">
        <v>386</v>
      </c>
      <c r="F307" s="29"/>
      <c r="G307" s="29"/>
      <c r="H307" s="29"/>
      <c r="I307" s="29"/>
      <c r="J307" s="29"/>
      <c r="K307" s="29"/>
      <c r="L307" s="100" t="str">
        <f t="shared" si="2"/>
        <v>パラメータ．先行作業内諾書明細リスト．添付ファイルID</v>
      </c>
      <c r="M307" s="29"/>
      <c r="N307" s="29"/>
      <c r="O307" s="29"/>
      <c r="P307" s="29"/>
      <c r="Q307" s="29"/>
      <c r="R307" s="29"/>
      <c r="S307" s="29"/>
      <c r="T307" s="29"/>
      <c r="U307" s="29"/>
      <c r="V307" s="29"/>
      <c r="W307" s="29"/>
      <c r="X307" s="29"/>
      <c r="Y307" s="29"/>
      <c r="Z307" s="29"/>
      <c r="AA307" s="30"/>
      <c r="AB307" s="99"/>
    </row>
    <row r="308" spans="1:30" ht="135.6" customHeight="1">
      <c r="A308" s="98"/>
      <c r="B308" s="95"/>
      <c r="C308" s="278">
        <v>14</v>
      </c>
      <c r="D308" s="278"/>
      <c r="E308" s="137" t="s">
        <v>387</v>
      </c>
      <c r="F308" s="150"/>
      <c r="G308" s="29"/>
      <c r="H308" s="29"/>
      <c r="I308" s="29"/>
      <c r="J308" s="29"/>
      <c r="K308" s="29"/>
      <c r="L308" s="397" t="s">
        <v>1315</v>
      </c>
      <c r="M308" s="405"/>
      <c r="N308" s="405"/>
      <c r="O308" s="405"/>
      <c r="P308" s="405"/>
      <c r="Q308" s="405"/>
      <c r="R308" s="405"/>
      <c r="S308" s="405"/>
      <c r="T308" s="405"/>
      <c r="U308" s="405"/>
      <c r="V308" s="405"/>
      <c r="W308" s="405"/>
      <c r="X308" s="405"/>
      <c r="Y308" s="405"/>
      <c r="Z308" s="405"/>
      <c r="AA308" s="406"/>
      <c r="AB308" s="99"/>
      <c r="AC308" s="188" t="s">
        <v>1259</v>
      </c>
    </row>
    <row r="309" spans="1:30" ht="18" customHeight="1">
      <c r="A309" s="98"/>
      <c r="B309" s="95"/>
      <c r="C309" s="395">
        <v>15</v>
      </c>
      <c r="D309" s="396"/>
      <c r="E309" s="233" t="s">
        <v>388</v>
      </c>
      <c r="F309" s="234"/>
      <c r="G309" s="234"/>
      <c r="H309" s="234"/>
      <c r="I309" s="234"/>
      <c r="J309" s="234"/>
      <c r="K309" s="234"/>
      <c r="L309" s="235" t="str">
        <f t="shared" si="2"/>
        <v>パラメータ．先行作業内諾書明細リスト．注文書ヘッダID</v>
      </c>
      <c r="M309" s="234"/>
      <c r="N309" s="234"/>
      <c r="O309" s="234"/>
      <c r="P309" s="234"/>
      <c r="Q309" s="234"/>
      <c r="R309" s="234"/>
      <c r="S309" s="234"/>
      <c r="T309" s="234"/>
      <c r="U309" s="234"/>
      <c r="V309" s="234"/>
      <c r="W309" s="234"/>
      <c r="X309" s="234"/>
      <c r="Y309" s="234"/>
      <c r="Z309" s="234"/>
      <c r="AA309" s="236"/>
      <c r="AB309" s="99"/>
      <c r="AC309" s="188" t="s">
        <v>1259</v>
      </c>
    </row>
    <row r="310" spans="1:30" ht="18" customHeight="1">
      <c r="A310" s="98"/>
      <c r="B310" s="95"/>
      <c r="C310" s="96"/>
      <c r="D310" s="96"/>
      <c r="E310" s="95"/>
      <c r="F310" s="95"/>
      <c r="G310" s="95"/>
      <c r="H310" s="95"/>
      <c r="I310" s="95"/>
      <c r="J310" s="96"/>
      <c r="K310" s="96"/>
      <c r="L310" s="95"/>
      <c r="M310" s="95"/>
      <c r="N310" s="95"/>
      <c r="O310" s="95"/>
      <c r="P310" s="95"/>
      <c r="Q310" s="95"/>
      <c r="R310" s="95"/>
      <c r="S310" s="95"/>
      <c r="T310" s="95"/>
      <c r="U310" s="95"/>
      <c r="V310" s="95"/>
      <c r="W310" s="95"/>
      <c r="X310" s="95"/>
      <c r="Y310" s="95"/>
      <c r="Z310" s="95"/>
      <c r="AA310" s="95"/>
      <c r="AB310" s="99"/>
    </row>
    <row r="311" spans="1:30" ht="18" customHeight="1">
      <c r="A311" s="98"/>
      <c r="B311" s="384" t="s">
        <v>740</v>
      </c>
      <c r="C311" s="384"/>
      <c r="D311" s="384"/>
      <c r="E311" s="384"/>
      <c r="F311" s="384"/>
      <c r="G311" s="384"/>
      <c r="H311" s="384"/>
      <c r="I311" s="384"/>
      <c r="J311" s="384"/>
      <c r="K311" s="384"/>
      <c r="L311" s="384"/>
      <c r="M311" s="384"/>
      <c r="N311" s="384"/>
      <c r="O311" s="384"/>
      <c r="P311" s="384"/>
      <c r="Q311" s="384"/>
      <c r="R311" s="384"/>
      <c r="S311" s="384"/>
      <c r="T311" s="384"/>
      <c r="U311" s="384"/>
      <c r="V311" s="384"/>
      <c r="W311" s="384"/>
      <c r="X311" s="384"/>
      <c r="Y311" s="384"/>
      <c r="Z311" s="384"/>
      <c r="AA311" s="384"/>
      <c r="AB311" s="148"/>
      <c r="AC311" s="128" t="s">
        <v>655</v>
      </c>
    </row>
    <row r="312" spans="1:30" ht="18" customHeight="1">
      <c r="A312" s="98"/>
      <c r="B312" s="384"/>
      <c r="C312" s="384"/>
      <c r="D312" s="384"/>
      <c r="E312" s="384"/>
      <c r="F312" s="384"/>
      <c r="G312" s="384"/>
      <c r="H312" s="384"/>
      <c r="I312" s="384"/>
      <c r="J312" s="384"/>
      <c r="K312" s="384"/>
      <c r="L312" s="384"/>
      <c r="M312" s="384"/>
      <c r="N312" s="384"/>
      <c r="O312" s="384"/>
      <c r="P312" s="384"/>
      <c r="Q312" s="384"/>
      <c r="R312" s="384"/>
      <c r="S312" s="384"/>
      <c r="T312" s="384"/>
      <c r="U312" s="384"/>
      <c r="V312" s="384"/>
      <c r="W312" s="384"/>
      <c r="X312" s="384"/>
      <c r="Y312" s="384"/>
      <c r="Z312" s="384"/>
      <c r="AA312" s="384"/>
      <c r="AB312" s="148"/>
      <c r="AC312" s="70"/>
    </row>
    <row r="313" spans="1:30" ht="18" customHeight="1">
      <c r="A313" s="95"/>
      <c r="B313" s="378" t="s">
        <v>994</v>
      </c>
      <c r="C313" s="378"/>
      <c r="D313" s="378"/>
      <c r="E313" s="378"/>
      <c r="F313" s="378"/>
      <c r="G313" s="378"/>
      <c r="H313" s="378"/>
      <c r="I313" s="378"/>
      <c r="J313" s="378"/>
      <c r="K313" s="378"/>
      <c r="L313" s="378"/>
      <c r="M313" s="378"/>
      <c r="N313" s="378"/>
      <c r="O313" s="378"/>
      <c r="P313" s="378"/>
      <c r="Q313" s="378"/>
      <c r="R313" s="378"/>
      <c r="S313" s="378"/>
      <c r="T313" s="378"/>
      <c r="U313" s="378"/>
      <c r="V313" s="378"/>
      <c r="W313" s="378"/>
      <c r="X313" s="378"/>
      <c r="Y313" s="378"/>
      <c r="Z313" s="378"/>
      <c r="AA313" s="378"/>
      <c r="AB313" s="148"/>
      <c r="AC313" s="134" t="s">
        <v>940</v>
      </c>
    </row>
    <row r="314" spans="1:30" ht="18" customHeight="1">
      <c r="A314" s="95"/>
      <c r="B314" s="146"/>
      <c r="C314" s="136" t="s">
        <v>962</v>
      </c>
      <c r="D314" s="147"/>
      <c r="E314" s="146"/>
      <c r="F314" s="146"/>
      <c r="G314" s="146"/>
      <c r="H314" s="146"/>
      <c r="I314" s="146"/>
      <c r="J314" s="146"/>
      <c r="K314" s="146"/>
      <c r="L314" s="146"/>
      <c r="M314" s="146"/>
      <c r="N314" s="146"/>
      <c r="O314" s="146"/>
      <c r="P314" s="146"/>
      <c r="Q314" s="146"/>
      <c r="R314" s="146"/>
      <c r="S314" s="146"/>
      <c r="T314" s="146"/>
      <c r="U314" s="146"/>
      <c r="V314" s="146"/>
      <c r="W314" s="146"/>
      <c r="X314" s="146"/>
      <c r="Y314" s="146"/>
      <c r="Z314" s="146"/>
      <c r="AA314" s="146"/>
      <c r="AB314" s="148"/>
      <c r="AC314" s="134" t="s">
        <v>940</v>
      </c>
    </row>
    <row r="315" spans="1:30" ht="18" customHeight="1">
      <c r="A315" s="95"/>
      <c r="B315" s="146"/>
      <c r="C315" s="136" t="s">
        <v>941</v>
      </c>
      <c r="D315" s="147"/>
      <c r="E315" s="146"/>
      <c r="F315" s="146"/>
      <c r="G315" s="146"/>
      <c r="H315" s="146"/>
      <c r="I315" s="146"/>
      <c r="J315" s="146"/>
      <c r="K315" s="146"/>
      <c r="L315" s="146"/>
      <c r="M315" s="146"/>
      <c r="N315" s="146"/>
      <c r="O315" s="146"/>
      <c r="P315" s="146"/>
      <c r="Q315" s="146"/>
      <c r="R315" s="146"/>
      <c r="S315" s="146"/>
      <c r="T315" s="146"/>
      <c r="U315" s="146"/>
      <c r="V315" s="146"/>
      <c r="W315" s="146"/>
      <c r="X315" s="146"/>
      <c r="Y315" s="146"/>
      <c r="Z315" s="146"/>
      <c r="AA315" s="146"/>
      <c r="AB315" s="148"/>
      <c r="AC315" s="134" t="s">
        <v>940</v>
      </c>
    </row>
    <row r="316" spans="1:30" ht="18" customHeight="1">
      <c r="A316" s="95"/>
      <c r="B316" s="121"/>
      <c r="C316" s="136"/>
      <c r="D316" s="136" t="s">
        <v>943</v>
      </c>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99"/>
      <c r="AC316" s="134" t="s">
        <v>940</v>
      </c>
    </row>
    <row r="317" spans="1:30" ht="18" customHeight="1">
      <c r="A317" s="95"/>
      <c r="B317" s="121"/>
      <c r="C317" s="136"/>
      <c r="D317" s="136" t="s">
        <v>959</v>
      </c>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99"/>
      <c r="AC317" s="134" t="s">
        <v>940</v>
      </c>
    </row>
    <row r="318" spans="1:30" ht="18" customHeight="1">
      <c r="A318" s="95"/>
      <c r="B318" s="121"/>
      <c r="C318" s="136"/>
      <c r="D318" s="136" t="s">
        <v>944</v>
      </c>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99"/>
      <c r="AC318" s="134" t="s">
        <v>940</v>
      </c>
    </row>
    <row r="319" spans="1:30" ht="18" customHeight="1">
      <c r="A319" s="95"/>
      <c r="B319" s="121"/>
      <c r="C319" s="136"/>
      <c r="D319" s="136"/>
      <c r="E319" s="136" t="s">
        <v>946</v>
      </c>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99"/>
      <c r="AC319" s="134" t="s">
        <v>940</v>
      </c>
    </row>
    <row r="320" spans="1:30" ht="18" customHeight="1">
      <c r="A320" s="95"/>
      <c r="B320" s="121"/>
      <c r="C320" s="136"/>
      <c r="D320" s="136"/>
      <c r="E320" s="136" t="s">
        <v>947</v>
      </c>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99"/>
      <c r="AC320" s="134" t="s">
        <v>940</v>
      </c>
    </row>
    <row r="321" spans="1:29" ht="18" customHeight="1">
      <c r="A321" s="95"/>
      <c r="B321" s="121"/>
      <c r="C321" s="136"/>
      <c r="D321" s="136"/>
      <c r="E321" s="136" t="s">
        <v>949</v>
      </c>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99"/>
      <c r="AC321" s="134" t="s">
        <v>940</v>
      </c>
    </row>
    <row r="322" spans="1:29" ht="18" customHeight="1">
      <c r="A322" s="95"/>
      <c r="B322" s="121"/>
      <c r="C322" s="136"/>
      <c r="D322" s="136"/>
      <c r="E322" s="136" t="s">
        <v>950</v>
      </c>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99"/>
      <c r="AC322" s="134" t="s">
        <v>940</v>
      </c>
    </row>
    <row r="323" spans="1:29" ht="18" customHeight="1">
      <c r="A323" s="95"/>
      <c r="B323" s="121"/>
      <c r="C323" s="136"/>
      <c r="D323" s="97"/>
      <c r="E323" s="136" t="s">
        <v>958</v>
      </c>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99"/>
      <c r="AC323" s="134" t="s">
        <v>940</v>
      </c>
    </row>
    <row r="324" spans="1:29" ht="18" customHeight="1">
      <c r="A324" s="95"/>
      <c r="B324" s="121"/>
      <c r="C324" s="136"/>
      <c r="D324" s="136"/>
      <c r="E324" s="136" t="s">
        <v>951</v>
      </c>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99"/>
      <c r="AC324" s="134" t="s">
        <v>940</v>
      </c>
    </row>
    <row r="325" spans="1:29" ht="18" customHeight="1">
      <c r="A325" s="95"/>
      <c r="B325" s="121"/>
      <c r="C325" s="136"/>
      <c r="D325" s="136"/>
      <c r="E325" s="136" t="s">
        <v>952</v>
      </c>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99"/>
      <c r="AC325" s="134" t="s">
        <v>940</v>
      </c>
    </row>
    <row r="326" spans="1:29" ht="18" customHeight="1">
      <c r="A326" s="95"/>
      <c r="B326" s="121"/>
      <c r="C326" s="136"/>
      <c r="D326" s="97"/>
      <c r="E326" s="136" t="s">
        <v>960</v>
      </c>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99"/>
      <c r="AC326" s="134" t="s">
        <v>940</v>
      </c>
    </row>
    <row r="327" spans="1:29" ht="18" customHeight="1">
      <c r="A327" s="95"/>
      <c r="B327" s="121"/>
      <c r="C327" s="136"/>
      <c r="D327" s="136"/>
      <c r="E327" s="136" t="s">
        <v>954</v>
      </c>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99"/>
      <c r="AC327" s="134" t="s">
        <v>940</v>
      </c>
    </row>
    <row r="328" spans="1:29" ht="18" customHeight="1">
      <c r="A328" s="95"/>
      <c r="B328" s="121"/>
      <c r="C328" s="136"/>
      <c r="D328" s="136"/>
      <c r="E328" s="136" t="s">
        <v>953</v>
      </c>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99"/>
      <c r="AC328" s="134" t="s">
        <v>940</v>
      </c>
    </row>
    <row r="329" spans="1:29" ht="18" customHeight="1">
      <c r="A329" s="95"/>
      <c r="B329" s="121"/>
      <c r="C329" s="136"/>
      <c r="D329" s="136" t="s">
        <v>945</v>
      </c>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99"/>
      <c r="AC329" s="134" t="s">
        <v>940</v>
      </c>
    </row>
    <row r="330" spans="1:29" ht="18" customHeight="1">
      <c r="A330" s="95"/>
      <c r="B330" s="121"/>
      <c r="C330" s="136"/>
      <c r="D330" s="136" t="s">
        <v>955</v>
      </c>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99"/>
      <c r="AC330" s="134" t="s">
        <v>940</v>
      </c>
    </row>
    <row r="331" spans="1:29" ht="18" customHeight="1">
      <c r="A331" s="95"/>
      <c r="B331" s="121"/>
      <c r="C331" s="136"/>
      <c r="D331" s="136" t="s">
        <v>956</v>
      </c>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99"/>
      <c r="AC331" s="134" t="s">
        <v>940</v>
      </c>
    </row>
    <row r="332" spans="1:29" ht="18" customHeight="1">
      <c r="A332" s="95"/>
      <c r="B332" s="121"/>
      <c r="C332" s="136"/>
      <c r="D332" s="136" t="s">
        <v>957</v>
      </c>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99"/>
      <c r="AC332" s="134" t="s">
        <v>940</v>
      </c>
    </row>
    <row r="333" spans="1:29" ht="18" customHeight="1">
      <c r="A333" s="95"/>
      <c r="B333" s="121"/>
      <c r="C333" s="136"/>
      <c r="D333" s="136" t="s">
        <v>961</v>
      </c>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99"/>
      <c r="AC333" s="134" t="s">
        <v>940</v>
      </c>
    </row>
    <row r="334" spans="1:29" ht="18" customHeight="1">
      <c r="A334" s="95"/>
      <c r="B334" s="121"/>
      <c r="C334" s="136"/>
      <c r="D334" s="136"/>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99"/>
      <c r="AC334" s="134" t="s">
        <v>940</v>
      </c>
    </row>
    <row r="335" spans="1:29" ht="18" customHeight="1">
      <c r="A335" s="95"/>
      <c r="B335" s="121"/>
      <c r="C335" s="136" t="s">
        <v>963</v>
      </c>
      <c r="D335" s="136"/>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99"/>
      <c r="AC335" s="134" t="s">
        <v>940</v>
      </c>
    </row>
    <row r="336" spans="1:29" ht="18" customHeight="1">
      <c r="A336" s="95"/>
      <c r="B336" s="121"/>
      <c r="C336" s="136"/>
      <c r="D336" s="136" t="s">
        <v>964</v>
      </c>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99"/>
      <c r="AC336" s="134" t="s">
        <v>940</v>
      </c>
    </row>
    <row r="337" spans="1:32" ht="18" customHeight="1">
      <c r="A337" s="95"/>
      <c r="B337" s="146"/>
      <c r="C337" s="121" t="s">
        <v>965</v>
      </c>
      <c r="D337" s="95"/>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c r="AA337" s="146"/>
      <c r="AB337" s="148"/>
      <c r="AC337" s="134" t="s">
        <v>940</v>
      </c>
    </row>
    <row r="338" spans="1:32" customFormat="1" ht="20.100000000000001" customHeight="1">
      <c r="A338" s="95"/>
      <c r="B338" s="105"/>
      <c r="C338" s="337" t="s">
        <v>653</v>
      </c>
      <c r="D338" s="337"/>
      <c r="E338" s="337"/>
      <c r="F338" s="337"/>
      <c r="G338" s="333" t="s">
        <v>656</v>
      </c>
      <c r="H338" s="333"/>
      <c r="I338" s="333"/>
      <c r="J338" s="333"/>
      <c r="K338" s="333"/>
      <c r="L338" s="333"/>
      <c r="M338" s="333"/>
      <c r="N338" s="333"/>
      <c r="O338" s="333"/>
      <c r="P338" s="333"/>
      <c r="Q338" s="333"/>
      <c r="R338" s="333"/>
      <c r="S338" s="333"/>
      <c r="T338" s="333"/>
      <c r="U338" s="333"/>
      <c r="V338" s="333"/>
      <c r="W338" s="333"/>
      <c r="X338" s="333"/>
      <c r="Y338" s="333"/>
      <c r="Z338" s="333"/>
      <c r="AA338" s="333"/>
      <c r="AB338" s="99"/>
      <c r="AC338" s="70"/>
      <c r="AE338" s="112"/>
    </row>
    <row r="339" spans="1:32" ht="18" customHeight="1">
      <c r="A339" s="98"/>
      <c r="B339" s="95"/>
      <c r="C339" s="337" t="s">
        <v>417</v>
      </c>
      <c r="D339" s="337"/>
      <c r="E339" s="337"/>
      <c r="F339" s="337"/>
      <c r="G339" s="333" t="s">
        <v>966</v>
      </c>
      <c r="H339" s="333"/>
      <c r="I339" s="333"/>
      <c r="J339" s="333"/>
      <c r="K339" s="333"/>
      <c r="L339" s="333"/>
      <c r="M339" s="333"/>
      <c r="N339" s="333"/>
      <c r="O339" s="333"/>
      <c r="P339" s="333"/>
      <c r="Q339" s="333"/>
      <c r="R339" s="333"/>
      <c r="S339" s="333"/>
      <c r="T339" s="333"/>
      <c r="U339" s="333"/>
      <c r="V339" s="333"/>
      <c r="W339" s="333"/>
      <c r="X339" s="333"/>
      <c r="Y339" s="333"/>
      <c r="Z339" s="333"/>
      <c r="AA339" s="333"/>
      <c r="AB339" s="99"/>
      <c r="AC339" s="134" t="s">
        <v>940</v>
      </c>
      <c r="AD339" s="67"/>
      <c r="AF339" s="27"/>
    </row>
    <row r="340" spans="1:32" ht="18" customHeight="1">
      <c r="A340" s="98"/>
      <c r="B340" s="95"/>
      <c r="C340" s="337" t="s">
        <v>7</v>
      </c>
      <c r="D340" s="337"/>
      <c r="E340" s="343" t="s">
        <v>9</v>
      </c>
      <c r="F340" s="344"/>
      <c r="G340" s="344"/>
      <c r="H340" s="344"/>
      <c r="I340" s="344"/>
      <c r="J340" s="344"/>
      <c r="K340" s="345"/>
      <c r="L340" s="343" t="s">
        <v>18</v>
      </c>
      <c r="M340" s="344"/>
      <c r="N340" s="344"/>
      <c r="O340" s="344"/>
      <c r="P340" s="344"/>
      <c r="Q340" s="344"/>
      <c r="R340" s="344"/>
      <c r="S340" s="344"/>
      <c r="T340" s="344"/>
      <c r="U340" s="344"/>
      <c r="V340" s="344"/>
      <c r="W340" s="344"/>
      <c r="X340" s="344"/>
      <c r="Y340" s="344"/>
      <c r="Z340" s="344"/>
      <c r="AA340" s="345"/>
      <c r="AB340" s="99"/>
      <c r="AC340" s="70"/>
      <c r="AD340" s="27" t="e">
        <f>""""&amp;#REF!&amp;""":""example"&amp;#REF!&amp;"""},"</f>
        <v>#REF!</v>
      </c>
    </row>
    <row r="341" spans="1:32" ht="36" customHeight="1">
      <c r="A341" s="98"/>
      <c r="B341" s="95"/>
      <c r="C341" s="278">
        <v>1</v>
      </c>
      <c r="D341" s="278"/>
      <c r="E341" s="100" t="s">
        <v>56</v>
      </c>
      <c r="F341" s="125"/>
      <c r="G341" s="125"/>
      <c r="H341" s="125"/>
      <c r="I341" s="125"/>
      <c r="J341" s="125"/>
      <c r="K341" s="30"/>
      <c r="L341" s="320" t="s">
        <v>742</v>
      </c>
      <c r="M341" s="376"/>
      <c r="N341" s="376"/>
      <c r="O341" s="376"/>
      <c r="P341" s="376"/>
      <c r="Q341" s="376"/>
      <c r="R341" s="376"/>
      <c r="S341" s="376"/>
      <c r="T341" s="376"/>
      <c r="U341" s="376"/>
      <c r="V341" s="376"/>
      <c r="W341" s="376"/>
      <c r="X341" s="376"/>
      <c r="Y341" s="376"/>
      <c r="Z341" s="376"/>
      <c r="AA341" s="377"/>
      <c r="AB341" s="99"/>
      <c r="AC341" s="70"/>
      <c r="AD341" s="27" t="e">
        <f>""""&amp;#REF!&amp;""":""example"&amp;#REF!&amp;"""},"</f>
        <v>#REF!</v>
      </c>
    </row>
    <row r="342" spans="1:32" ht="18" customHeight="1">
      <c r="A342" s="98"/>
      <c r="B342" s="95"/>
      <c r="C342" s="385">
        <v>2</v>
      </c>
      <c r="D342" s="386"/>
      <c r="E342" s="115" t="s">
        <v>134</v>
      </c>
      <c r="F342" s="119"/>
      <c r="G342" s="119"/>
      <c r="H342" s="119"/>
      <c r="I342" s="119"/>
      <c r="J342" s="119"/>
      <c r="K342" s="116"/>
      <c r="L342" s="115" t="s">
        <v>873</v>
      </c>
      <c r="M342" s="114"/>
      <c r="N342" s="114"/>
      <c r="O342" s="114"/>
      <c r="P342" s="114"/>
      <c r="Q342" s="114"/>
      <c r="R342" s="114"/>
      <c r="S342" s="114"/>
      <c r="T342" s="114"/>
      <c r="U342" s="114"/>
      <c r="V342" s="114"/>
      <c r="W342" s="114"/>
      <c r="X342" s="114"/>
      <c r="Y342" s="114"/>
      <c r="Z342" s="114"/>
      <c r="AA342" s="116"/>
      <c r="AB342" s="99"/>
      <c r="AC342" s="70"/>
      <c r="AD342" s="27" t="e">
        <f>""""&amp;#REF!&amp;""":""example"&amp;#REF!&amp;""","</f>
        <v>#REF!</v>
      </c>
      <c r="AE342" s="111" t="s">
        <v>875</v>
      </c>
    </row>
    <row r="343" spans="1:32" ht="18" customHeight="1">
      <c r="A343" s="98"/>
      <c r="B343" s="95"/>
      <c r="C343" s="278">
        <v>3</v>
      </c>
      <c r="D343" s="278"/>
      <c r="E343" s="95" t="s">
        <v>57</v>
      </c>
      <c r="F343" s="149"/>
      <c r="G343" s="125"/>
      <c r="H343" s="125"/>
      <c r="I343" s="125"/>
      <c r="J343" s="125"/>
      <c r="K343" s="30"/>
      <c r="L343" s="100" t="s">
        <v>664</v>
      </c>
      <c r="M343" s="29"/>
      <c r="N343" s="29"/>
      <c r="O343" s="29"/>
      <c r="P343" s="29"/>
      <c r="Q343" s="29"/>
      <c r="R343" s="29"/>
      <c r="S343" s="29"/>
      <c r="T343" s="29"/>
      <c r="U343" s="29"/>
      <c r="V343" s="29"/>
      <c r="W343" s="29"/>
      <c r="X343" s="29"/>
      <c r="Y343" s="29"/>
      <c r="Z343" s="29"/>
      <c r="AA343" s="30"/>
      <c r="AB343" s="99"/>
      <c r="AC343" s="70"/>
      <c r="AD343" s="27" t="e">
        <f>""""&amp;#REF!&amp;""":""example"&amp;#REF!&amp;""","</f>
        <v>#REF!</v>
      </c>
    </row>
    <row r="344" spans="1:32" ht="18" customHeight="1">
      <c r="A344" s="98"/>
      <c r="B344" s="95"/>
      <c r="C344" s="305">
        <v>4</v>
      </c>
      <c r="D344" s="306"/>
      <c r="E344" s="100" t="s">
        <v>55</v>
      </c>
      <c r="F344" s="125"/>
      <c r="G344" s="125"/>
      <c r="H344" s="125"/>
      <c r="I344" s="125"/>
      <c r="J344" s="125"/>
      <c r="K344" s="30"/>
      <c r="L344" s="100" t="s">
        <v>665</v>
      </c>
      <c r="M344" s="29"/>
      <c r="N344" s="29"/>
      <c r="O344" s="29"/>
      <c r="P344" s="29"/>
      <c r="Q344" s="29"/>
      <c r="R344" s="29"/>
      <c r="S344" s="29"/>
      <c r="T344" s="29"/>
      <c r="U344" s="29"/>
      <c r="V344" s="29"/>
      <c r="W344" s="29"/>
      <c r="X344" s="29"/>
      <c r="Y344" s="29"/>
      <c r="Z344" s="29"/>
      <c r="AA344" s="30"/>
      <c r="AB344" s="99"/>
      <c r="AC344" s="70"/>
      <c r="AD344" s="27" t="e">
        <f>""""&amp;#REF!&amp;""":""example"&amp;#REF!&amp;"""},"</f>
        <v>#REF!</v>
      </c>
    </row>
    <row r="345" spans="1:32" ht="18" customHeight="1">
      <c r="A345" s="98"/>
      <c r="B345" s="95"/>
      <c r="C345" s="278">
        <v>5</v>
      </c>
      <c r="D345" s="278"/>
      <c r="E345" s="100" t="s">
        <v>366</v>
      </c>
      <c r="F345" s="125"/>
      <c r="G345" s="125"/>
      <c r="H345" s="125"/>
      <c r="I345" s="125"/>
      <c r="J345" s="125"/>
      <c r="K345" s="30"/>
      <c r="L345" s="100" t="s">
        <v>1017</v>
      </c>
      <c r="M345" s="29"/>
      <c r="N345" s="29"/>
      <c r="O345" s="29"/>
      <c r="P345" s="29"/>
      <c r="Q345" s="29"/>
      <c r="R345" s="29"/>
      <c r="S345" s="29"/>
      <c r="T345" s="29"/>
      <c r="U345" s="29"/>
      <c r="V345" s="29"/>
      <c r="W345" s="29"/>
      <c r="X345" s="29"/>
      <c r="Y345" s="29"/>
      <c r="Z345" s="29"/>
      <c r="AA345" s="30"/>
      <c r="AB345" s="99"/>
      <c r="AC345" s="134" t="s">
        <v>940</v>
      </c>
      <c r="AD345" s="27" t="e">
        <f>""""&amp;#REF!&amp;""":""example"&amp;#REF!&amp;"""},"</f>
        <v>#REF!</v>
      </c>
    </row>
    <row r="346" spans="1:32" ht="18" customHeight="1">
      <c r="A346" s="98"/>
      <c r="B346" s="95"/>
      <c r="C346" s="305">
        <v>6</v>
      </c>
      <c r="D346" s="306"/>
      <c r="E346" s="100" t="s">
        <v>260</v>
      </c>
      <c r="F346" s="149"/>
      <c r="G346" s="125"/>
      <c r="H346" s="125"/>
      <c r="I346" s="125"/>
      <c r="J346" s="125"/>
      <c r="K346" s="30"/>
      <c r="L346" s="100" t="s">
        <v>266</v>
      </c>
      <c r="M346" s="29"/>
      <c r="N346" s="29"/>
      <c r="O346" s="29"/>
      <c r="P346" s="29"/>
      <c r="Q346" s="29"/>
      <c r="R346" s="29"/>
      <c r="S346" s="29"/>
      <c r="T346" s="29"/>
      <c r="U346" s="29"/>
      <c r="V346" s="29"/>
      <c r="W346" s="29"/>
      <c r="X346" s="29"/>
      <c r="Y346" s="29"/>
      <c r="Z346" s="29"/>
      <c r="AA346" s="30"/>
      <c r="AB346" s="99"/>
      <c r="AC346" s="70"/>
      <c r="AD346" s="27" t="e">
        <f>""""&amp;#REF!&amp;""":""example"&amp;#REF!&amp;"""},"</f>
        <v>#REF!</v>
      </c>
    </row>
    <row r="347" spans="1:32" ht="18" customHeight="1">
      <c r="A347" s="98"/>
      <c r="B347" s="95"/>
      <c r="C347" s="278">
        <v>7</v>
      </c>
      <c r="D347" s="278"/>
      <c r="E347" s="95" t="s">
        <v>261</v>
      </c>
      <c r="F347" s="149"/>
      <c r="G347" s="125"/>
      <c r="H347" s="125"/>
      <c r="I347" s="125"/>
      <c r="J347" s="125"/>
      <c r="K347" s="30"/>
      <c r="L347" s="100" t="s">
        <v>266</v>
      </c>
      <c r="M347" s="29"/>
      <c r="N347" s="29"/>
      <c r="O347" s="29"/>
      <c r="P347" s="29"/>
      <c r="Q347" s="29"/>
      <c r="R347" s="29"/>
      <c r="S347" s="29"/>
      <c r="T347" s="29"/>
      <c r="U347" s="29"/>
      <c r="V347" s="29"/>
      <c r="W347" s="29"/>
      <c r="X347" s="29"/>
      <c r="Y347" s="29"/>
      <c r="Z347" s="29"/>
      <c r="AA347" s="30"/>
      <c r="AB347" s="99"/>
      <c r="AC347" s="70"/>
    </row>
    <row r="348" spans="1:32" ht="18" customHeight="1">
      <c r="A348" s="98"/>
      <c r="B348" s="95"/>
      <c r="C348" s="305">
        <v>8</v>
      </c>
      <c r="D348" s="306"/>
      <c r="E348" s="100" t="s">
        <v>262</v>
      </c>
      <c r="F348" s="125"/>
      <c r="G348" s="125"/>
      <c r="H348" s="125"/>
      <c r="I348" s="125"/>
      <c r="J348" s="125"/>
      <c r="K348" s="30"/>
      <c r="L348" s="100" t="s">
        <v>266</v>
      </c>
      <c r="M348" s="29"/>
      <c r="N348" s="29"/>
      <c r="O348" s="29"/>
      <c r="P348" s="29"/>
      <c r="Q348" s="29"/>
      <c r="R348" s="29"/>
      <c r="S348" s="29"/>
      <c r="T348" s="29"/>
      <c r="U348" s="29"/>
      <c r="V348" s="29"/>
      <c r="W348" s="29"/>
      <c r="X348" s="29"/>
      <c r="Y348" s="29"/>
      <c r="Z348" s="29"/>
      <c r="AA348" s="30"/>
      <c r="AB348" s="99"/>
      <c r="AC348" s="70"/>
    </row>
    <row r="349" spans="1:32" ht="18" customHeight="1">
      <c r="A349" s="98"/>
      <c r="B349" s="95"/>
      <c r="C349" s="278">
        <v>9</v>
      </c>
      <c r="D349" s="278"/>
      <c r="E349" s="95" t="s">
        <v>263</v>
      </c>
      <c r="F349" s="125"/>
      <c r="G349" s="125"/>
      <c r="H349" s="125"/>
      <c r="I349" s="125"/>
      <c r="J349" s="125"/>
      <c r="K349" s="30"/>
      <c r="L349" s="100" t="s">
        <v>266</v>
      </c>
      <c r="M349" s="29"/>
      <c r="N349" s="29"/>
      <c r="O349" s="29"/>
      <c r="P349" s="29"/>
      <c r="Q349" s="29"/>
      <c r="R349" s="29"/>
      <c r="S349" s="29"/>
      <c r="T349" s="29"/>
      <c r="U349" s="29"/>
      <c r="V349" s="29"/>
      <c r="W349" s="29"/>
      <c r="X349" s="29"/>
      <c r="Y349" s="29"/>
      <c r="Z349" s="29"/>
      <c r="AA349" s="30"/>
      <c r="AB349" s="99"/>
      <c r="AC349" s="70"/>
    </row>
    <row r="350" spans="1:32" ht="18" customHeight="1">
      <c r="A350" s="98"/>
      <c r="B350" s="95"/>
      <c r="C350" s="305">
        <v>10</v>
      </c>
      <c r="D350" s="306"/>
      <c r="E350" s="106" t="s">
        <v>368</v>
      </c>
      <c r="F350" s="125"/>
      <c r="G350" s="125"/>
      <c r="H350" s="125"/>
      <c r="I350" s="125"/>
      <c r="J350" s="125"/>
      <c r="K350" s="30"/>
      <c r="L350" s="100" t="s">
        <v>266</v>
      </c>
      <c r="M350" s="29"/>
      <c r="N350" s="29"/>
      <c r="O350" s="29"/>
      <c r="P350" s="29"/>
      <c r="Q350" s="29"/>
      <c r="R350" s="29"/>
      <c r="S350" s="29"/>
      <c r="T350" s="29"/>
      <c r="U350" s="29"/>
      <c r="V350" s="29"/>
      <c r="W350" s="29"/>
      <c r="X350" s="29"/>
      <c r="Y350" s="29"/>
      <c r="Z350" s="29"/>
      <c r="AA350" s="30"/>
      <c r="AB350" s="99"/>
      <c r="AC350" s="70"/>
    </row>
    <row r="351" spans="1:32" ht="18" customHeight="1">
      <c r="A351" s="98"/>
      <c r="B351" s="95"/>
      <c r="C351" s="278">
        <v>11</v>
      </c>
      <c r="D351" s="278"/>
      <c r="E351" s="100" t="s">
        <v>369</v>
      </c>
      <c r="F351" s="125"/>
      <c r="G351" s="125"/>
      <c r="H351" s="125"/>
      <c r="I351" s="125"/>
      <c r="J351" s="125"/>
      <c r="K351" s="30"/>
      <c r="L351" s="100" t="s">
        <v>266</v>
      </c>
      <c r="M351" s="29"/>
      <c r="N351" s="29"/>
      <c r="O351" s="29"/>
      <c r="P351" s="29"/>
      <c r="Q351" s="29"/>
      <c r="R351" s="29"/>
      <c r="S351" s="29"/>
      <c r="T351" s="29"/>
      <c r="U351" s="29"/>
      <c r="V351" s="29"/>
      <c r="W351" s="29"/>
      <c r="X351" s="29"/>
      <c r="Y351" s="29"/>
      <c r="Z351" s="29"/>
      <c r="AA351" s="30"/>
      <c r="AB351" s="99"/>
      <c r="AC351" s="70"/>
    </row>
    <row r="352" spans="1:32" ht="18" customHeight="1">
      <c r="A352" s="98"/>
      <c r="B352" s="95"/>
      <c r="C352" s="305">
        <v>12</v>
      </c>
      <c r="D352" s="306"/>
      <c r="E352" s="106" t="s">
        <v>264</v>
      </c>
      <c r="F352" s="125"/>
      <c r="G352" s="125"/>
      <c r="H352" s="125"/>
      <c r="I352" s="125"/>
      <c r="J352" s="125"/>
      <c r="K352" s="30"/>
      <c r="L352" s="100" t="s">
        <v>266</v>
      </c>
      <c r="M352" s="29"/>
      <c r="N352" s="29"/>
      <c r="O352" s="29"/>
      <c r="P352" s="29"/>
      <c r="Q352" s="29"/>
      <c r="R352" s="29"/>
      <c r="S352" s="29"/>
      <c r="T352" s="29"/>
      <c r="U352" s="29"/>
      <c r="V352" s="29"/>
      <c r="W352" s="29"/>
      <c r="X352" s="29"/>
      <c r="Y352" s="29"/>
      <c r="Z352" s="29"/>
      <c r="AA352" s="30"/>
      <c r="AB352" s="99"/>
      <c r="AC352" s="70"/>
    </row>
    <row r="353" spans="1:31" ht="18" customHeight="1">
      <c r="A353" s="98"/>
      <c r="B353" s="95"/>
      <c r="C353" s="278">
        <v>13</v>
      </c>
      <c r="D353" s="278"/>
      <c r="E353" s="100" t="s">
        <v>371</v>
      </c>
      <c r="F353" s="125"/>
      <c r="G353" s="125"/>
      <c r="H353" s="125"/>
      <c r="I353" s="125"/>
      <c r="J353" s="125"/>
      <c r="K353" s="30"/>
      <c r="L353" s="100" t="s">
        <v>424</v>
      </c>
      <c r="M353" s="29"/>
      <c r="N353" s="29"/>
      <c r="O353" s="29"/>
      <c r="P353" s="29"/>
      <c r="Q353" s="29"/>
      <c r="R353" s="29"/>
      <c r="S353" s="29"/>
      <c r="T353" s="29"/>
      <c r="U353" s="29"/>
      <c r="V353" s="29"/>
      <c r="W353" s="29"/>
      <c r="X353" s="29"/>
      <c r="Y353" s="29"/>
      <c r="Z353" s="29"/>
      <c r="AA353" s="30"/>
      <c r="AB353" s="99"/>
      <c r="AC353" s="70"/>
      <c r="AD353" s="27" t="e">
        <f>""""&amp;#REF!&amp;""":""example"&amp;#REF!&amp;"""},"</f>
        <v>#REF!</v>
      </c>
    </row>
    <row r="354" spans="1:31" ht="18" customHeight="1">
      <c r="A354" s="98"/>
      <c r="B354" s="95"/>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9"/>
      <c r="AD354" s="27" t="e">
        <f>""""&amp;#REF!&amp;""":""example"&amp;#REF!&amp;"""},"</f>
        <v>#REF!</v>
      </c>
    </row>
    <row r="355" spans="1:31" ht="18" customHeight="1">
      <c r="A355" s="98"/>
      <c r="B355" s="384" t="s">
        <v>743</v>
      </c>
      <c r="C355" s="384"/>
      <c r="D355" s="384"/>
      <c r="E355" s="384"/>
      <c r="F355" s="384"/>
      <c r="G355" s="384"/>
      <c r="H355" s="384"/>
      <c r="I355" s="384"/>
      <c r="J355" s="384"/>
      <c r="K355" s="384"/>
      <c r="L355" s="384"/>
      <c r="M355" s="384"/>
      <c r="N355" s="384"/>
      <c r="O355" s="384"/>
      <c r="P355" s="384"/>
      <c r="Q355" s="384"/>
      <c r="R355" s="384"/>
      <c r="S355" s="384"/>
      <c r="T355" s="384"/>
      <c r="U355" s="384"/>
      <c r="V355" s="384"/>
      <c r="W355" s="384"/>
      <c r="X355" s="384"/>
      <c r="Y355" s="384"/>
      <c r="Z355" s="384"/>
      <c r="AA355" s="384"/>
      <c r="AB355" s="148"/>
      <c r="AC355" s="128" t="s">
        <v>655</v>
      </c>
      <c r="AE355" s="132" t="s">
        <v>934</v>
      </c>
    </row>
    <row r="356" spans="1:31" ht="18" customHeight="1">
      <c r="A356" s="98"/>
      <c r="B356" s="384"/>
      <c r="C356" s="384"/>
      <c r="D356" s="384"/>
      <c r="E356" s="384"/>
      <c r="F356" s="384"/>
      <c r="G356" s="384"/>
      <c r="H356" s="384"/>
      <c r="I356" s="384"/>
      <c r="J356" s="384"/>
      <c r="K356" s="384"/>
      <c r="L356" s="384"/>
      <c r="M356" s="384"/>
      <c r="N356" s="384"/>
      <c r="O356" s="384"/>
      <c r="P356" s="384"/>
      <c r="Q356" s="384"/>
      <c r="R356" s="384"/>
      <c r="S356" s="384"/>
      <c r="T356" s="384"/>
      <c r="U356" s="384"/>
      <c r="V356" s="384"/>
      <c r="W356" s="384"/>
      <c r="X356" s="384"/>
      <c r="Y356" s="384"/>
      <c r="Z356" s="384"/>
      <c r="AA356" s="384"/>
      <c r="AB356" s="148"/>
      <c r="AC356" s="70"/>
      <c r="AE356" s="132" t="s">
        <v>934</v>
      </c>
    </row>
    <row r="357" spans="1:31" ht="18" customHeight="1">
      <c r="A357" s="95"/>
      <c r="B357" s="378" t="s">
        <v>995</v>
      </c>
      <c r="C357" s="378"/>
      <c r="D357" s="378"/>
      <c r="E357" s="378"/>
      <c r="F357" s="378"/>
      <c r="G357" s="378"/>
      <c r="H357" s="378"/>
      <c r="I357" s="378"/>
      <c r="J357" s="378"/>
      <c r="K357" s="378"/>
      <c r="L357" s="378"/>
      <c r="M357" s="378"/>
      <c r="N357" s="378"/>
      <c r="O357" s="378"/>
      <c r="P357" s="378"/>
      <c r="Q357" s="378"/>
      <c r="R357" s="378"/>
      <c r="S357" s="378"/>
      <c r="T357" s="378"/>
      <c r="U357" s="378"/>
      <c r="V357" s="378"/>
      <c r="W357" s="378"/>
      <c r="X357" s="378"/>
      <c r="Y357" s="378"/>
      <c r="Z357" s="378"/>
      <c r="AA357" s="378"/>
      <c r="AB357" s="148"/>
      <c r="AC357" s="134" t="s">
        <v>940</v>
      </c>
    </row>
    <row r="358" spans="1:31" ht="18" customHeight="1">
      <c r="A358" s="95"/>
      <c r="B358" s="146"/>
      <c r="C358" s="136" t="s">
        <v>969</v>
      </c>
      <c r="D358" s="147"/>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6"/>
      <c r="AA358" s="146"/>
      <c r="AB358" s="148"/>
      <c r="AC358" s="134" t="s">
        <v>940</v>
      </c>
    </row>
    <row r="359" spans="1:31" ht="18" customHeight="1">
      <c r="A359" s="95"/>
      <c r="B359" s="146"/>
      <c r="C359" s="136" t="s">
        <v>941</v>
      </c>
      <c r="D359" s="147"/>
      <c r="E359" s="146"/>
      <c r="F359" s="146"/>
      <c r="G359" s="146"/>
      <c r="H359" s="146"/>
      <c r="I359" s="146"/>
      <c r="J359" s="146"/>
      <c r="K359" s="146"/>
      <c r="L359" s="146"/>
      <c r="M359" s="146"/>
      <c r="N359" s="146"/>
      <c r="O359" s="146"/>
      <c r="P359" s="146"/>
      <c r="Q359" s="146"/>
      <c r="R359" s="146"/>
      <c r="S359" s="146"/>
      <c r="T359" s="146"/>
      <c r="U359" s="146"/>
      <c r="V359" s="146"/>
      <c r="W359" s="146"/>
      <c r="X359" s="146"/>
      <c r="Y359" s="146"/>
      <c r="Z359" s="146"/>
      <c r="AA359" s="146"/>
      <c r="AB359" s="148"/>
      <c r="AC359" s="134" t="s">
        <v>940</v>
      </c>
    </row>
    <row r="360" spans="1:31" ht="18" customHeight="1">
      <c r="A360" s="95"/>
      <c r="B360" s="121"/>
      <c r="C360" s="136"/>
      <c r="D360" s="136" t="s">
        <v>943</v>
      </c>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c r="AB360" s="99"/>
      <c r="AC360" s="134" t="s">
        <v>940</v>
      </c>
    </row>
    <row r="361" spans="1:31" ht="18" customHeight="1">
      <c r="A361" s="95"/>
      <c r="B361" s="121"/>
      <c r="C361" s="136"/>
      <c r="D361" s="136" t="s">
        <v>959</v>
      </c>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c r="AB361" s="99"/>
      <c r="AC361" s="134" t="s">
        <v>940</v>
      </c>
    </row>
    <row r="362" spans="1:31" ht="18" customHeight="1">
      <c r="A362" s="95"/>
      <c r="B362" s="121"/>
      <c r="C362" s="136"/>
      <c r="D362" s="136" t="s">
        <v>944</v>
      </c>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99"/>
      <c r="AC362" s="134" t="s">
        <v>940</v>
      </c>
    </row>
    <row r="363" spans="1:31" ht="18" customHeight="1">
      <c r="A363" s="95"/>
      <c r="B363" s="121"/>
      <c r="C363" s="136"/>
      <c r="D363" s="136"/>
      <c r="E363" s="136" t="s">
        <v>946</v>
      </c>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99"/>
      <c r="AC363" s="134" t="s">
        <v>940</v>
      </c>
    </row>
    <row r="364" spans="1:31" ht="18" customHeight="1">
      <c r="A364" s="95"/>
      <c r="B364" s="121"/>
      <c r="C364" s="136"/>
      <c r="D364" s="136"/>
      <c r="E364" s="136" t="s">
        <v>947</v>
      </c>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99"/>
      <c r="AC364" s="134" t="s">
        <v>940</v>
      </c>
    </row>
    <row r="365" spans="1:31" ht="18" customHeight="1">
      <c r="A365" s="95"/>
      <c r="B365" s="121"/>
      <c r="C365" s="136"/>
      <c r="D365" s="136"/>
      <c r="E365" s="136" t="s">
        <v>949</v>
      </c>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99"/>
      <c r="AC365" s="134" t="s">
        <v>940</v>
      </c>
    </row>
    <row r="366" spans="1:31" ht="18" customHeight="1">
      <c r="A366" s="95"/>
      <c r="B366" s="121"/>
      <c r="C366" s="136"/>
      <c r="D366" s="136"/>
      <c r="E366" s="136" t="s">
        <v>950</v>
      </c>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99"/>
      <c r="AC366" s="134" t="s">
        <v>940</v>
      </c>
    </row>
    <row r="367" spans="1:31" ht="18" customHeight="1">
      <c r="A367" s="95"/>
      <c r="B367" s="121"/>
      <c r="C367" s="136"/>
      <c r="D367" s="97"/>
      <c r="E367" s="136" t="s">
        <v>958</v>
      </c>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99"/>
      <c r="AC367" s="134" t="s">
        <v>940</v>
      </c>
    </row>
    <row r="368" spans="1:31" ht="18" customHeight="1">
      <c r="A368" s="95"/>
      <c r="B368" s="121"/>
      <c r="C368" s="136"/>
      <c r="D368" s="136"/>
      <c r="E368" s="136" t="s">
        <v>967</v>
      </c>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99"/>
      <c r="AC368" s="134" t="s">
        <v>940</v>
      </c>
    </row>
    <row r="369" spans="1:32" ht="18" customHeight="1">
      <c r="A369" s="95"/>
      <c r="B369" s="121"/>
      <c r="C369" s="136"/>
      <c r="D369" s="136"/>
      <c r="E369" s="136" t="s">
        <v>952</v>
      </c>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c r="AB369" s="99"/>
      <c r="AC369" s="134" t="s">
        <v>940</v>
      </c>
    </row>
    <row r="370" spans="1:32" ht="18" customHeight="1">
      <c r="A370" s="95"/>
      <c r="B370" s="121"/>
      <c r="C370" s="136"/>
      <c r="D370" s="97"/>
      <c r="E370" s="136" t="s">
        <v>960</v>
      </c>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c r="AB370" s="99"/>
      <c r="AC370" s="134" t="s">
        <v>940</v>
      </c>
    </row>
    <row r="371" spans="1:32" ht="18" customHeight="1">
      <c r="A371" s="95"/>
      <c r="B371" s="121"/>
      <c r="C371" s="136"/>
      <c r="D371" s="136"/>
      <c r="E371" s="136" t="s">
        <v>954</v>
      </c>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c r="AB371" s="99"/>
      <c r="AC371" s="134" t="s">
        <v>940</v>
      </c>
    </row>
    <row r="372" spans="1:32" ht="18" customHeight="1">
      <c r="A372" s="95"/>
      <c r="B372" s="121"/>
      <c r="C372" s="136"/>
      <c r="D372" s="136"/>
      <c r="E372" s="136" t="s">
        <v>953</v>
      </c>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c r="AB372" s="99"/>
      <c r="AC372" s="134" t="s">
        <v>940</v>
      </c>
    </row>
    <row r="373" spans="1:32" ht="18" customHeight="1">
      <c r="A373" s="95"/>
      <c r="B373" s="121"/>
      <c r="C373" s="136"/>
      <c r="D373" s="136" t="s">
        <v>945</v>
      </c>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c r="AB373" s="99"/>
      <c r="AC373" s="134" t="s">
        <v>940</v>
      </c>
    </row>
    <row r="374" spans="1:32" ht="18" customHeight="1">
      <c r="A374" s="95"/>
      <c r="B374" s="121"/>
      <c r="C374" s="136"/>
      <c r="D374" s="136" t="s">
        <v>955</v>
      </c>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c r="AB374" s="99"/>
      <c r="AC374" s="134" t="s">
        <v>940</v>
      </c>
    </row>
    <row r="375" spans="1:32" ht="18" customHeight="1">
      <c r="A375" s="95"/>
      <c r="B375" s="121"/>
      <c r="C375" s="136"/>
      <c r="D375" s="136" t="s">
        <v>956</v>
      </c>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c r="AB375" s="99"/>
      <c r="AC375" s="134" t="s">
        <v>940</v>
      </c>
    </row>
    <row r="376" spans="1:32" ht="18" customHeight="1">
      <c r="A376" s="95"/>
      <c r="B376" s="121"/>
      <c r="C376" s="136"/>
      <c r="D376" s="136" t="s">
        <v>957</v>
      </c>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99"/>
      <c r="AC376" s="134" t="s">
        <v>940</v>
      </c>
    </row>
    <row r="377" spans="1:32" ht="18" customHeight="1">
      <c r="A377" s="95"/>
      <c r="B377" s="121"/>
      <c r="C377" s="136"/>
      <c r="D377" s="136" t="s">
        <v>961</v>
      </c>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c r="AB377" s="99"/>
      <c r="AC377" s="134" t="s">
        <v>940</v>
      </c>
    </row>
    <row r="378" spans="1:32" ht="18" customHeight="1">
      <c r="A378" s="95"/>
      <c r="B378" s="121"/>
      <c r="C378" s="136"/>
      <c r="D378" s="136"/>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99"/>
      <c r="AC378" s="134" t="s">
        <v>940</v>
      </c>
    </row>
    <row r="379" spans="1:32" ht="18" customHeight="1">
      <c r="A379" s="95"/>
      <c r="B379" s="121"/>
      <c r="C379" s="136" t="s">
        <v>968</v>
      </c>
      <c r="D379" s="136"/>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c r="AB379" s="99"/>
      <c r="AC379" s="134" t="s">
        <v>940</v>
      </c>
    </row>
    <row r="380" spans="1:32" ht="18" customHeight="1">
      <c r="A380" s="95"/>
      <c r="B380" s="121"/>
      <c r="C380" s="136"/>
      <c r="D380" s="136" t="s">
        <v>970</v>
      </c>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99"/>
      <c r="AC380" s="134" t="s">
        <v>940</v>
      </c>
    </row>
    <row r="381" spans="1:32" ht="18" customHeight="1">
      <c r="A381" s="98"/>
      <c r="B381" s="95"/>
      <c r="C381" s="121" t="s">
        <v>971</v>
      </c>
      <c r="D381" s="95"/>
      <c r="E381" s="146"/>
      <c r="F381" s="146"/>
      <c r="G381" s="146"/>
      <c r="H381" s="146"/>
      <c r="I381" s="146"/>
      <c r="J381" s="146"/>
      <c r="K381" s="146"/>
      <c r="L381" s="146"/>
      <c r="M381" s="146"/>
      <c r="N381" s="146"/>
      <c r="O381" s="146"/>
      <c r="P381" s="146"/>
      <c r="Q381" s="146"/>
      <c r="R381" s="146"/>
      <c r="S381" s="146"/>
      <c r="T381" s="146"/>
      <c r="U381" s="146"/>
      <c r="V381" s="146"/>
      <c r="W381" s="146"/>
      <c r="X381" s="146"/>
      <c r="Y381" s="146"/>
      <c r="Z381" s="146"/>
      <c r="AA381" s="146"/>
      <c r="AB381" s="148"/>
      <c r="AC381" s="134" t="s">
        <v>940</v>
      </c>
    </row>
    <row r="382" spans="1:32" customFormat="1" ht="18" customHeight="1">
      <c r="A382" s="98"/>
      <c r="B382" s="95"/>
      <c r="C382" s="337" t="s">
        <v>653</v>
      </c>
      <c r="D382" s="337"/>
      <c r="E382" s="337"/>
      <c r="F382" s="337"/>
      <c r="G382" s="333" t="s">
        <v>656</v>
      </c>
      <c r="H382" s="333"/>
      <c r="I382" s="333"/>
      <c r="J382" s="333"/>
      <c r="K382" s="333"/>
      <c r="L382" s="333"/>
      <c r="M382" s="333"/>
      <c r="N382" s="333"/>
      <c r="O382" s="333"/>
      <c r="P382" s="333"/>
      <c r="Q382" s="333"/>
      <c r="R382" s="333"/>
      <c r="S382" s="333"/>
      <c r="T382" s="333"/>
      <c r="U382" s="333"/>
      <c r="V382" s="333"/>
      <c r="W382" s="333"/>
      <c r="X382" s="333"/>
      <c r="Y382" s="333"/>
      <c r="Z382" s="333"/>
      <c r="AA382" s="333"/>
      <c r="AB382" s="99"/>
      <c r="AC382" s="70"/>
      <c r="AE382" s="112"/>
    </row>
    <row r="383" spans="1:32" ht="18" customHeight="1">
      <c r="A383" s="98"/>
      <c r="B383" s="95"/>
      <c r="C383" s="337" t="s">
        <v>417</v>
      </c>
      <c r="D383" s="337"/>
      <c r="E383" s="337"/>
      <c r="F383" s="337"/>
      <c r="G383" s="333" t="s">
        <v>972</v>
      </c>
      <c r="H383" s="333"/>
      <c r="I383" s="333"/>
      <c r="J383" s="333"/>
      <c r="K383" s="333"/>
      <c r="L383" s="333"/>
      <c r="M383" s="333"/>
      <c r="N383" s="333"/>
      <c r="O383" s="333"/>
      <c r="P383" s="333"/>
      <c r="Q383" s="333"/>
      <c r="R383" s="333"/>
      <c r="S383" s="333"/>
      <c r="T383" s="333"/>
      <c r="U383" s="333"/>
      <c r="V383" s="333"/>
      <c r="W383" s="333"/>
      <c r="X383" s="333"/>
      <c r="Y383" s="333"/>
      <c r="Z383" s="333"/>
      <c r="AA383" s="333"/>
      <c r="AB383" s="99"/>
      <c r="AC383" s="134" t="s">
        <v>940</v>
      </c>
      <c r="AD383" s="67"/>
      <c r="AF383" s="27"/>
    </row>
    <row r="384" spans="1:32" ht="18" customHeight="1">
      <c r="A384" s="98"/>
      <c r="B384" s="95"/>
      <c r="C384" s="337" t="s">
        <v>7</v>
      </c>
      <c r="D384" s="337"/>
      <c r="E384" s="343" t="s">
        <v>9</v>
      </c>
      <c r="F384" s="344"/>
      <c r="G384" s="344"/>
      <c r="H384" s="344"/>
      <c r="I384" s="344"/>
      <c r="J384" s="344"/>
      <c r="K384" s="345"/>
      <c r="L384" s="343" t="s">
        <v>18</v>
      </c>
      <c r="M384" s="344"/>
      <c r="N384" s="344"/>
      <c r="O384" s="344"/>
      <c r="P384" s="344"/>
      <c r="Q384" s="344"/>
      <c r="R384" s="344"/>
      <c r="S384" s="344"/>
      <c r="T384" s="344"/>
      <c r="U384" s="344"/>
      <c r="V384" s="344"/>
      <c r="W384" s="344"/>
      <c r="X384" s="344"/>
      <c r="Y384" s="344"/>
      <c r="Z384" s="344"/>
      <c r="AA384" s="345"/>
      <c r="AB384" s="99"/>
      <c r="AC384" s="70"/>
      <c r="AD384" s="27" t="e">
        <f>""""&amp;#REF!&amp;""":""example"&amp;#REF!&amp;"""},"</f>
        <v>#REF!</v>
      </c>
    </row>
    <row r="385" spans="1:31" ht="36" customHeight="1">
      <c r="A385" s="98"/>
      <c r="B385" s="95"/>
      <c r="C385" s="334">
        <v>1</v>
      </c>
      <c r="D385" s="334"/>
      <c r="E385" s="100" t="s">
        <v>268</v>
      </c>
      <c r="F385" s="125"/>
      <c r="G385" s="125"/>
      <c r="H385" s="125"/>
      <c r="I385" s="125"/>
      <c r="J385" s="125"/>
      <c r="K385" s="30"/>
      <c r="L385" s="320" t="s">
        <v>1016</v>
      </c>
      <c r="M385" s="376"/>
      <c r="N385" s="376"/>
      <c r="O385" s="376"/>
      <c r="P385" s="376"/>
      <c r="Q385" s="376"/>
      <c r="R385" s="376"/>
      <c r="S385" s="376"/>
      <c r="T385" s="376"/>
      <c r="U385" s="376"/>
      <c r="V385" s="376"/>
      <c r="W385" s="376"/>
      <c r="X385" s="376"/>
      <c r="Y385" s="376"/>
      <c r="Z385" s="376"/>
      <c r="AA385" s="377"/>
      <c r="AB385" s="99"/>
      <c r="AC385" s="70"/>
      <c r="AD385" s="27" t="e">
        <f>""""&amp;#REF!&amp;""":""example"&amp;#REF!&amp;"""},"</f>
        <v>#REF!</v>
      </c>
    </row>
    <row r="386" spans="1:31" ht="18" customHeight="1">
      <c r="A386" s="98"/>
      <c r="B386" s="95"/>
      <c r="C386" s="336">
        <v>2</v>
      </c>
      <c r="D386" s="336"/>
      <c r="E386" s="115" t="s">
        <v>134</v>
      </c>
      <c r="F386" s="119"/>
      <c r="G386" s="119"/>
      <c r="H386" s="119"/>
      <c r="I386" s="119"/>
      <c r="J386" s="119"/>
      <c r="K386" s="116"/>
      <c r="L386" s="115" t="s">
        <v>873</v>
      </c>
      <c r="M386" s="114"/>
      <c r="N386" s="114"/>
      <c r="O386" s="114"/>
      <c r="P386" s="114"/>
      <c r="Q386" s="114"/>
      <c r="R386" s="114"/>
      <c r="S386" s="114"/>
      <c r="T386" s="114"/>
      <c r="U386" s="114"/>
      <c r="V386" s="114"/>
      <c r="W386" s="114"/>
      <c r="X386" s="114"/>
      <c r="Y386" s="114"/>
      <c r="Z386" s="114"/>
      <c r="AA386" s="116"/>
      <c r="AB386" s="99"/>
      <c r="AC386" s="70"/>
      <c r="AE386" s="111" t="s">
        <v>875</v>
      </c>
    </row>
    <row r="387" spans="1:31" ht="18" customHeight="1">
      <c r="A387" s="98"/>
      <c r="B387" s="95"/>
      <c r="C387" s="278">
        <v>3</v>
      </c>
      <c r="D387" s="278"/>
      <c r="E387" s="100" t="s">
        <v>55</v>
      </c>
      <c r="F387" s="138"/>
      <c r="G387" s="125"/>
      <c r="H387" s="125"/>
      <c r="I387" s="125"/>
      <c r="J387" s="125"/>
      <c r="K387" s="30"/>
      <c r="L387" s="100" t="s">
        <v>665</v>
      </c>
      <c r="M387" s="29"/>
      <c r="N387" s="29"/>
      <c r="O387" s="29"/>
      <c r="P387" s="29"/>
      <c r="Q387" s="29"/>
      <c r="R387" s="29"/>
      <c r="S387" s="29"/>
      <c r="T387" s="29"/>
      <c r="U387" s="29"/>
      <c r="V387" s="29"/>
      <c r="W387" s="29"/>
      <c r="X387" s="29"/>
      <c r="Y387" s="29"/>
      <c r="Z387" s="29"/>
      <c r="AA387" s="30"/>
      <c r="AB387" s="99"/>
      <c r="AC387" s="70"/>
    </row>
    <row r="388" spans="1:31" ht="18" customHeight="1">
      <c r="A388" s="98"/>
      <c r="B388" s="95"/>
      <c r="C388" s="278">
        <v>4</v>
      </c>
      <c r="D388" s="278"/>
      <c r="E388" s="100" t="s">
        <v>367</v>
      </c>
      <c r="F388" s="125"/>
      <c r="G388" s="125"/>
      <c r="H388" s="125"/>
      <c r="I388" s="125"/>
      <c r="J388" s="125"/>
      <c r="K388" s="30"/>
      <c r="L388" s="100" t="s">
        <v>668</v>
      </c>
      <c r="M388" s="29"/>
      <c r="N388" s="29"/>
      <c r="O388" s="29"/>
      <c r="P388" s="29"/>
      <c r="Q388" s="29"/>
      <c r="R388" s="29"/>
      <c r="S388" s="29"/>
      <c r="T388" s="29"/>
      <c r="U388" s="29"/>
      <c r="V388" s="29"/>
      <c r="W388" s="29"/>
      <c r="X388" s="29"/>
      <c r="Y388" s="29"/>
      <c r="Z388" s="29"/>
      <c r="AA388" s="30"/>
      <c r="AB388" s="99"/>
      <c r="AC388" s="70"/>
    </row>
    <row r="389" spans="1:31" ht="18" customHeight="1">
      <c r="A389" s="98"/>
      <c r="B389" s="95"/>
      <c r="C389" s="278">
        <v>5</v>
      </c>
      <c r="D389" s="278"/>
      <c r="E389" s="100" t="s">
        <v>366</v>
      </c>
      <c r="F389" s="125"/>
      <c r="G389" s="125"/>
      <c r="H389" s="125"/>
      <c r="I389" s="125"/>
      <c r="J389" s="125"/>
      <c r="K389" s="30"/>
      <c r="L389" s="100" t="s">
        <v>1015</v>
      </c>
      <c r="M389" s="29"/>
      <c r="N389" s="29"/>
      <c r="O389" s="29"/>
      <c r="P389" s="29"/>
      <c r="Q389" s="29"/>
      <c r="R389" s="29"/>
      <c r="S389" s="29"/>
      <c r="T389" s="29"/>
      <c r="U389" s="29"/>
      <c r="V389" s="29"/>
      <c r="W389" s="29"/>
      <c r="X389" s="29"/>
      <c r="Y389" s="29"/>
      <c r="Z389" s="29"/>
      <c r="AA389" s="30"/>
      <c r="AB389" s="99"/>
      <c r="AC389" s="134" t="s">
        <v>940</v>
      </c>
    </row>
    <row r="390" spans="1:31" ht="18" customHeight="1">
      <c r="A390" s="98"/>
      <c r="B390" s="95"/>
      <c r="C390" s="278">
        <v>6</v>
      </c>
      <c r="D390" s="278"/>
      <c r="E390" s="100" t="s">
        <v>269</v>
      </c>
      <c r="F390" s="138"/>
      <c r="G390" s="125"/>
      <c r="H390" s="125"/>
      <c r="I390" s="125"/>
      <c r="J390" s="125"/>
      <c r="K390" s="30"/>
      <c r="L390" s="100" t="s">
        <v>266</v>
      </c>
      <c r="M390" s="29"/>
      <c r="N390" s="29"/>
      <c r="O390" s="29"/>
      <c r="P390" s="29"/>
      <c r="Q390" s="29"/>
      <c r="R390" s="29"/>
      <c r="S390" s="29"/>
      <c r="T390" s="29"/>
      <c r="U390" s="29"/>
      <c r="V390" s="29"/>
      <c r="W390" s="29"/>
      <c r="X390" s="29"/>
      <c r="Y390" s="29"/>
      <c r="Z390" s="29"/>
      <c r="AA390" s="30"/>
      <c r="AB390" s="99"/>
      <c r="AC390" s="70"/>
    </row>
    <row r="391" spans="1:31" ht="18" customHeight="1">
      <c r="A391" s="98"/>
      <c r="B391" s="95"/>
      <c r="C391" s="278">
        <v>7</v>
      </c>
      <c r="D391" s="278"/>
      <c r="E391" s="100" t="s">
        <v>270</v>
      </c>
      <c r="F391" s="138"/>
      <c r="G391" s="125"/>
      <c r="H391" s="125"/>
      <c r="I391" s="125"/>
      <c r="J391" s="125"/>
      <c r="K391" s="30"/>
      <c r="L391" s="100" t="s">
        <v>266</v>
      </c>
      <c r="M391" s="29"/>
      <c r="N391" s="29"/>
      <c r="O391" s="29"/>
      <c r="P391" s="29"/>
      <c r="Q391" s="29"/>
      <c r="R391" s="29"/>
      <c r="S391" s="29"/>
      <c r="T391" s="29"/>
      <c r="U391" s="29"/>
      <c r="V391" s="29"/>
      <c r="W391" s="29"/>
      <c r="X391" s="29"/>
      <c r="Y391" s="29"/>
      <c r="Z391" s="29"/>
      <c r="AA391" s="30"/>
      <c r="AB391" s="99"/>
      <c r="AC391" s="70"/>
      <c r="AD391" s="27" t="e">
        <f>""""&amp;#REF!&amp;""":""example"&amp;#REF!&amp;"""},"</f>
        <v>#REF!</v>
      </c>
    </row>
    <row r="392" spans="1:31" ht="18" customHeight="1">
      <c r="A392" s="98"/>
      <c r="B392" s="95"/>
      <c r="C392" s="278">
        <v>8</v>
      </c>
      <c r="D392" s="278"/>
      <c r="E392" s="100" t="s">
        <v>271</v>
      </c>
      <c r="F392" s="125"/>
      <c r="G392" s="125"/>
      <c r="H392" s="125"/>
      <c r="I392" s="125"/>
      <c r="J392" s="125"/>
      <c r="K392" s="30"/>
      <c r="L392" s="100" t="s">
        <v>266</v>
      </c>
      <c r="M392" s="29"/>
      <c r="N392" s="29"/>
      <c r="O392" s="29"/>
      <c r="P392" s="29"/>
      <c r="Q392" s="29"/>
      <c r="R392" s="29"/>
      <c r="S392" s="29"/>
      <c r="T392" s="29"/>
      <c r="U392" s="29"/>
      <c r="V392" s="29"/>
      <c r="W392" s="29"/>
      <c r="X392" s="29"/>
      <c r="Y392" s="29"/>
      <c r="Z392" s="29"/>
      <c r="AA392" s="30"/>
      <c r="AB392" s="99"/>
      <c r="AC392" s="70"/>
      <c r="AD392" s="27" t="e">
        <f>""""&amp;#REF!&amp;""":""example"&amp;#REF!&amp;"""},"</f>
        <v>#REF!</v>
      </c>
    </row>
    <row r="393" spans="1:31" ht="18" customHeight="1">
      <c r="A393" s="98"/>
      <c r="B393" s="95"/>
      <c r="C393" s="278">
        <v>9</v>
      </c>
      <c r="D393" s="278"/>
      <c r="E393" s="100" t="s">
        <v>272</v>
      </c>
      <c r="F393" s="125"/>
      <c r="G393" s="125"/>
      <c r="H393" s="125"/>
      <c r="I393" s="125"/>
      <c r="J393" s="125"/>
      <c r="K393" s="30"/>
      <c r="L393" s="100" t="s">
        <v>266</v>
      </c>
      <c r="M393" s="29"/>
      <c r="N393" s="29"/>
      <c r="O393" s="29"/>
      <c r="P393" s="29"/>
      <c r="Q393" s="29"/>
      <c r="R393" s="29"/>
      <c r="S393" s="29"/>
      <c r="T393" s="29"/>
      <c r="U393" s="29"/>
      <c r="V393" s="29"/>
      <c r="W393" s="29"/>
      <c r="X393" s="29"/>
      <c r="Y393" s="29"/>
      <c r="Z393" s="29"/>
      <c r="AA393" s="30"/>
      <c r="AB393" s="99"/>
      <c r="AC393" s="70"/>
      <c r="AD393" s="27" t="e">
        <f>""""&amp;#REF!&amp;""":""example"&amp;#REF!&amp;"""},"</f>
        <v>#REF!</v>
      </c>
    </row>
    <row r="394" spans="1:31" ht="18" customHeight="1">
      <c r="A394" s="98"/>
      <c r="B394" s="95"/>
      <c r="C394" s="278">
        <v>10</v>
      </c>
      <c r="D394" s="278"/>
      <c r="E394" s="100" t="s">
        <v>368</v>
      </c>
      <c r="F394" s="125"/>
      <c r="G394" s="125"/>
      <c r="H394" s="125"/>
      <c r="I394" s="125"/>
      <c r="J394" s="125"/>
      <c r="K394" s="30"/>
      <c r="L394" s="100" t="s">
        <v>266</v>
      </c>
      <c r="M394" s="29"/>
      <c r="N394" s="29"/>
      <c r="O394" s="29"/>
      <c r="P394" s="29"/>
      <c r="Q394" s="29"/>
      <c r="R394" s="29"/>
      <c r="S394" s="29"/>
      <c r="T394" s="29"/>
      <c r="U394" s="29"/>
      <c r="V394" s="29"/>
      <c r="W394" s="29"/>
      <c r="X394" s="29"/>
      <c r="Y394" s="29"/>
      <c r="Z394" s="29"/>
      <c r="AA394" s="30"/>
      <c r="AB394" s="99"/>
      <c r="AC394" s="70"/>
      <c r="AD394" s="27" t="e">
        <f>""""&amp;#REF!&amp;""":""example"&amp;#REF!&amp;"""},"</f>
        <v>#REF!</v>
      </c>
    </row>
    <row r="395" spans="1:31" ht="18" customHeight="1">
      <c r="A395" s="98"/>
      <c r="B395" s="95"/>
      <c r="C395" s="278">
        <v>11</v>
      </c>
      <c r="D395" s="278"/>
      <c r="E395" s="100" t="s">
        <v>369</v>
      </c>
      <c r="F395" s="125"/>
      <c r="G395" s="125"/>
      <c r="H395" s="125"/>
      <c r="I395" s="125"/>
      <c r="J395" s="125"/>
      <c r="K395" s="30"/>
      <c r="L395" s="100" t="s">
        <v>266</v>
      </c>
      <c r="M395" s="29"/>
      <c r="N395" s="29"/>
      <c r="O395" s="29"/>
      <c r="P395" s="29"/>
      <c r="Q395" s="29"/>
      <c r="R395" s="29"/>
      <c r="S395" s="29"/>
      <c r="T395" s="29"/>
      <c r="U395" s="29"/>
      <c r="V395" s="29"/>
      <c r="W395" s="29"/>
      <c r="X395" s="29"/>
      <c r="Y395" s="29"/>
      <c r="Z395" s="29"/>
      <c r="AA395" s="30"/>
      <c r="AB395" s="99"/>
      <c r="AC395" s="70"/>
      <c r="AD395" s="27" t="e">
        <f>""""&amp;#REF!&amp;""":""example"&amp;#REF!&amp;"""},"</f>
        <v>#REF!</v>
      </c>
    </row>
    <row r="396" spans="1:31" ht="18" customHeight="1">
      <c r="A396" s="98"/>
      <c r="B396" s="95"/>
      <c r="C396" s="278">
        <v>12</v>
      </c>
      <c r="D396" s="278"/>
      <c r="E396" s="100" t="s">
        <v>264</v>
      </c>
      <c r="F396" s="125"/>
      <c r="G396" s="125"/>
      <c r="H396" s="125"/>
      <c r="I396" s="125"/>
      <c r="J396" s="125"/>
      <c r="K396" s="30"/>
      <c r="L396" s="100" t="s">
        <v>266</v>
      </c>
      <c r="M396" s="29"/>
      <c r="N396" s="29"/>
      <c r="O396" s="29"/>
      <c r="P396" s="29"/>
      <c r="Q396" s="29"/>
      <c r="R396" s="29"/>
      <c r="S396" s="29"/>
      <c r="T396" s="29"/>
      <c r="U396" s="29"/>
      <c r="V396" s="29"/>
      <c r="W396" s="29"/>
      <c r="X396" s="29"/>
      <c r="Y396" s="29"/>
      <c r="Z396" s="29"/>
      <c r="AA396" s="30"/>
      <c r="AB396" s="99"/>
      <c r="AC396" s="70"/>
    </row>
    <row r="397" spans="1:31" ht="18" customHeight="1">
      <c r="A397" s="98"/>
      <c r="B397" s="95"/>
      <c r="C397" s="278">
        <v>13</v>
      </c>
      <c r="D397" s="278"/>
      <c r="E397" s="100" t="s">
        <v>370</v>
      </c>
      <c r="F397" s="125"/>
      <c r="G397" s="125"/>
      <c r="H397" s="125"/>
      <c r="I397" s="125"/>
      <c r="J397" s="125"/>
      <c r="K397" s="30"/>
      <c r="L397" s="100" t="s">
        <v>424</v>
      </c>
      <c r="M397" s="29"/>
      <c r="N397" s="29"/>
      <c r="O397" s="29"/>
      <c r="P397" s="29"/>
      <c r="Q397" s="29"/>
      <c r="R397" s="29"/>
      <c r="S397" s="29"/>
      <c r="T397" s="29"/>
      <c r="U397" s="29"/>
      <c r="V397" s="29"/>
      <c r="W397" s="29"/>
      <c r="X397" s="29"/>
      <c r="Y397" s="29"/>
      <c r="Z397" s="29"/>
      <c r="AA397" s="30"/>
      <c r="AB397" s="99"/>
      <c r="AC397" s="70"/>
    </row>
    <row r="398" spans="1:31" ht="18" customHeight="1">
      <c r="A398" s="98"/>
      <c r="B398" s="95"/>
      <c r="C398" s="96"/>
      <c r="D398" s="96"/>
      <c r="E398" s="95"/>
      <c r="F398" s="121"/>
      <c r="G398" s="121"/>
      <c r="H398" s="121"/>
      <c r="I398" s="121"/>
      <c r="J398" s="96"/>
      <c r="K398" s="96"/>
      <c r="L398" s="95"/>
      <c r="M398" s="95"/>
      <c r="N398" s="95"/>
      <c r="O398" s="95"/>
      <c r="P398" s="95"/>
      <c r="Q398" s="95"/>
      <c r="R398" s="95"/>
      <c r="S398" s="95"/>
      <c r="T398" s="95"/>
      <c r="U398" s="95"/>
      <c r="V398" s="95"/>
      <c r="W398" s="95"/>
      <c r="X398" s="95"/>
      <c r="Y398" s="95"/>
      <c r="Z398" s="95"/>
      <c r="AA398" s="95"/>
      <c r="AB398" s="99"/>
      <c r="AC398" s="70"/>
    </row>
    <row r="399" spans="1:31" ht="18" customHeight="1">
      <c r="A399" s="98"/>
      <c r="B399" s="95"/>
      <c r="C399" s="80" t="s">
        <v>669</v>
      </c>
      <c r="D399" s="78"/>
      <c r="E399" s="79"/>
      <c r="F399" s="77"/>
      <c r="G399" s="77"/>
      <c r="H399" s="77"/>
      <c r="I399" s="77"/>
      <c r="J399" s="78"/>
      <c r="K399" s="78"/>
      <c r="L399" s="79"/>
      <c r="M399" s="79"/>
      <c r="N399" s="79"/>
      <c r="O399" s="79"/>
      <c r="P399" s="79"/>
      <c r="Q399" s="79"/>
      <c r="R399" s="79"/>
      <c r="S399" s="79"/>
      <c r="T399" s="79"/>
      <c r="U399" s="79"/>
      <c r="V399" s="79"/>
      <c r="W399" s="79"/>
      <c r="X399" s="79"/>
      <c r="Y399" s="79"/>
      <c r="Z399" s="79"/>
      <c r="AA399" s="79"/>
      <c r="AB399" s="28"/>
      <c r="AC399" s="70" t="s">
        <v>745</v>
      </c>
    </row>
    <row r="400" spans="1:31" ht="18" customHeight="1">
      <c r="A400" s="98"/>
      <c r="B400" s="95"/>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9"/>
    </row>
    <row r="401" spans="1:32" ht="18" customHeight="1">
      <c r="A401" s="98"/>
      <c r="B401" s="97" t="s">
        <v>901</v>
      </c>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9"/>
    </row>
    <row r="402" spans="1:32" ht="18" customHeight="1">
      <c r="A402" s="98"/>
      <c r="B402" s="95"/>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9"/>
    </row>
    <row r="403" spans="1:32" s="95" customFormat="1" ht="18" customHeight="1">
      <c r="A403" s="98"/>
      <c r="B403" s="122" t="s">
        <v>906</v>
      </c>
      <c r="C403" s="122"/>
      <c r="D403" s="96"/>
      <c r="E403" s="121"/>
      <c r="F403" s="96"/>
      <c r="G403" s="96"/>
      <c r="H403" s="96"/>
      <c r="I403" s="96"/>
      <c r="J403" s="96"/>
      <c r="K403" s="96"/>
      <c r="L403" s="96"/>
      <c r="M403" s="96"/>
      <c r="N403" s="96"/>
      <c r="O403" s="96"/>
      <c r="P403" s="96"/>
      <c r="Q403" s="96"/>
      <c r="R403" s="96"/>
      <c r="S403" s="96"/>
      <c r="T403" s="96"/>
      <c r="U403" s="96"/>
      <c r="V403" s="96"/>
      <c r="W403" s="96"/>
      <c r="X403" s="96"/>
      <c r="Y403" s="96"/>
      <c r="Z403" s="96"/>
      <c r="AA403" s="96"/>
      <c r="AB403" s="99"/>
      <c r="AC403" s="111" t="s">
        <v>876</v>
      </c>
      <c r="AD403" s="97"/>
    </row>
    <row r="404" spans="1:32" s="95" customFormat="1" ht="18" customHeight="1">
      <c r="A404" s="98"/>
      <c r="B404" s="122"/>
      <c r="C404" s="383" t="s">
        <v>903</v>
      </c>
      <c r="D404" s="383"/>
      <c r="E404" s="383"/>
      <c r="F404" s="383"/>
      <c r="G404" s="383"/>
      <c r="H404" s="383"/>
      <c r="I404" s="383"/>
      <c r="J404" s="383"/>
      <c r="K404" s="383"/>
      <c r="L404" s="383"/>
      <c r="M404" s="383"/>
      <c r="N404" s="383"/>
      <c r="O404" s="383"/>
      <c r="P404" s="383"/>
      <c r="Q404" s="383"/>
      <c r="R404" s="383"/>
      <c r="S404" s="383"/>
      <c r="T404" s="383"/>
      <c r="U404" s="383"/>
      <c r="V404" s="383"/>
      <c r="W404" s="383"/>
      <c r="X404" s="383"/>
      <c r="Y404" s="383"/>
      <c r="Z404" s="383"/>
      <c r="AA404" s="383"/>
      <c r="AB404" s="99"/>
      <c r="AC404" s="111"/>
      <c r="AD404" s="97"/>
    </row>
    <row r="405" spans="1:32" s="95" customFormat="1" ht="18" customHeight="1">
      <c r="A405" s="98"/>
      <c r="C405" s="383"/>
      <c r="D405" s="383"/>
      <c r="E405" s="383"/>
      <c r="F405" s="383"/>
      <c r="G405" s="383"/>
      <c r="H405" s="383"/>
      <c r="I405" s="383"/>
      <c r="J405" s="383"/>
      <c r="K405" s="383"/>
      <c r="L405" s="383"/>
      <c r="M405" s="383"/>
      <c r="N405" s="383"/>
      <c r="O405" s="383"/>
      <c r="P405" s="383"/>
      <c r="Q405" s="383"/>
      <c r="R405" s="383"/>
      <c r="S405" s="383"/>
      <c r="T405" s="383"/>
      <c r="U405" s="383"/>
      <c r="V405" s="383"/>
      <c r="W405" s="383"/>
      <c r="X405" s="383"/>
      <c r="Y405" s="383"/>
      <c r="Z405" s="383"/>
      <c r="AA405" s="383"/>
      <c r="AB405" s="99"/>
      <c r="AC405" s="110"/>
      <c r="AD405" s="97"/>
      <c r="AE405" s="123"/>
      <c r="AF405" s="120"/>
    </row>
    <row r="406" spans="1:32" s="95" customFormat="1" ht="18" customHeight="1">
      <c r="A406" s="98"/>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99"/>
      <c r="AC406" s="110"/>
      <c r="AD406" s="97"/>
      <c r="AE406" s="123"/>
      <c r="AF406" s="120"/>
    </row>
    <row r="407" spans="1:32" ht="18" customHeight="1">
      <c r="A407" s="98"/>
      <c r="B407" s="95"/>
      <c r="C407" s="95" t="s">
        <v>902</v>
      </c>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9"/>
      <c r="AC407" s="111"/>
    </row>
    <row r="408" spans="1:32" ht="18" customHeight="1">
      <c r="A408" s="98"/>
      <c r="B408" s="95"/>
      <c r="C408" s="135" t="s">
        <v>871</v>
      </c>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9"/>
      <c r="AC408" s="111"/>
    </row>
    <row r="409" spans="1:32" customFormat="1" ht="18" customHeight="1">
      <c r="A409" s="95"/>
      <c r="B409" s="105"/>
      <c r="C409" s="278" t="s">
        <v>653</v>
      </c>
      <c r="D409" s="278"/>
      <c r="E409" s="278"/>
      <c r="F409" s="278"/>
      <c r="G409" s="137" t="s">
        <v>656</v>
      </c>
      <c r="H409" s="29"/>
      <c r="I409" s="29"/>
      <c r="J409" s="29"/>
      <c r="K409" s="29"/>
      <c r="L409" s="29"/>
      <c r="M409" s="29"/>
      <c r="N409" s="29"/>
      <c r="O409" s="29"/>
      <c r="P409" s="29"/>
      <c r="Q409" s="29"/>
      <c r="R409" s="29"/>
      <c r="S409" s="29"/>
      <c r="T409" s="29"/>
      <c r="U409" s="29"/>
      <c r="V409" s="29"/>
      <c r="W409" s="29"/>
      <c r="X409" s="29"/>
      <c r="Y409" s="29"/>
      <c r="Z409" s="29"/>
      <c r="AA409" s="30"/>
      <c r="AB409" s="99"/>
      <c r="AC409" s="111"/>
      <c r="AE409" s="112"/>
    </row>
    <row r="410" spans="1:32" ht="18" customHeight="1">
      <c r="A410" s="98"/>
      <c r="B410" s="95"/>
      <c r="C410" s="278" t="s">
        <v>417</v>
      </c>
      <c r="D410" s="278"/>
      <c r="E410" s="278"/>
      <c r="F410" s="278"/>
      <c r="G410" s="137" t="s">
        <v>429</v>
      </c>
      <c r="H410" s="29"/>
      <c r="I410" s="29"/>
      <c r="J410" s="29"/>
      <c r="K410" s="29"/>
      <c r="L410" s="29"/>
      <c r="M410" s="29"/>
      <c r="N410" s="29"/>
      <c r="O410" s="29"/>
      <c r="P410" s="29"/>
      <c r="Q410" s="29"/>
      <c r="R410" s="29"/>
      <c r="S410" s="29"/>
      <c r="T410" s="29"/>
      <c r="U410" s="29"/>
      <c r="V410" s="29"/>
      <c r="W410" s="29"/>
      <c r="X410" s="29"/>
      <c r="Y410" s="29"/>
      <c r="Z410" s="29"/>
      <c r="AA410" s="30"/>
      <c r="AB410" s="99"/>
      <c r="AC410" s="111"/>
      <c r="AD410" s="67"/>
      <c r="AF410" s="27"/>
    </row>
    <row r="411" spans="1:32" ht="18" customHeight="1">
      <c r="A411" s="98"/>
      <c r="B411" s="95"/>
      <c r="C411" s="278" t="s">
        <v>7</v>
      </c>
      <c r="D411" s="278"/>
      <c r="E411" s="305" t="s">
        <v>9</v>
      </c>
      <c r="F411" s="382"/>
      <c r="G411" s="382"/>
      <c r="H411" s="382"/>
      <c r="I411" s="382"/>
      <c r="J411" s="382"/>
      <c r="K411" s="306"/>
      <c r="L411" s="305" t="s">
        <v>18</v>
      </c>
      <c r="M411" s="382"/>
      <c r="N411" s="382"/>
      <c r="O411" s="382"/>
      <c r="P411" s="382"/>
      <c r="Q411" s="382"/>
      <c r="R411" s="382"/>
      <c r="S411" s="382"/>
      <c r="T411" s="382"/>
      <c r="U411" s="382"/>
      <c r="V411" s="382"/>
      <c r="W411" s="382"/>
      <c r="X411" s="382"/>
      <c r="Y411" s="382"/>
      <c r="Z411" s="382"/>
      <c r="AA411" s="306"/>
      <c r="AB411" s="99"/>
      <c r="AC411" s="111"/>
      <c r="AD411" s="27" t="e">
        <f>""""&amp;#REF!&amp;""":""example"&amp;#REF!&amp;"""},"</f>
        <v>#REF!</v>
      </c>
    </row>
    <row r="412" spans="1:32" ht="36" customHeight="1">
      <c r="A412" s="98"/>
      <c r="B412" s="95"/>
      <c r="C412" s="278">
        <v>1</v>
      </c>
      <c r="D412" s="278"/>
      <c r="E412" s="100" t="s">
        <v>275</v>
      </c>
      <c r="F412" s="138"/>
      <c r="G412" s="125"/>
      <c r="H412" s="125"/>
      <c r="I412" s="125"/>
      <c r="J412" s="125"/>
      <c r="K412" s="30"/>
      <c r="L412" s="320" t="s">
        <v>872</v>
      </c>
      <c r="M412" s="376"/>
      <c r="N412" s="376"/>
      <c r="O412" s="376"/>
      <c r="P412" s="376"/>
      <c r="Q412" s="376"/>
      <c r="R412" s="376"/>
      <c r="S412" s="376"/>
      <c r="T412" s="376"/>
      <c r="U412" s="376"/>
      <c r="V412" s="376"/>
      <c r="W412" s="376"/>
      <c r="X412" s="376"/>
      <c r="Y412" s="376"/>
      <c r="Z412" s="376"/>
      <c r="AA412" s="377"/>
      <c r="AB412" s="99"/>
      <c r="AC412" s="111"/>
    </row>
    <row r="413" spans="1:32" ht="18" customHeight="1">
      <c r="A413" s="98"/>
      <c r="B413" s="95"/>
      <c r="C413" s="278">
        <f>COUNTA($C$411:D412)</f>
        <v>2</v>
      </c>
      <c r="D413" s="278"/>
      <c r="E413" s="100" t="s">
        <v>869</v>
      </c>
      <c r="F413" s="138"/>
      <c r="G413" s="125"/>
      <c r="H413" s="125"/>
      <c r="I413" s="125"/>
      <c r="J413" s="125"/>
      <c r="K413" s="30"/>
      <c r="L413" s="100" t="s">
        <v>265</v>
      </c>
      <c r="M413" s="29"/>
      <c r="N413" s="29"/>
      <c r="O413" s="29"/>
      <c r="P413" s="29"/>
      <c r="Q413" s="29"/>
      <c r="R413" s="29"/>
      <c r="S413" s="29"/>
      <c r="T413" s="29"/>
      <c r="U413" s="29"/>
      <c r="V413" s="29"/>
      <c r="W413" s="29"/>
      <c r="X413" s="29"/>
      <c r="Y413" s="29"/>
      <c r="Z413" s="29"/>
      <c r="AA413" s="30"/>
      <c r="AB413" s="99"/>
      <c r="AC413" s="111"/>
      <c r="AD413" s="27" t="e">
        <f>""""&amp;#REF!&amp;""":""example"&amp;#REF!&amp;"""},"</f>
        <v>#REF!</v>
      </c>
    </row>
    <row r="414" spans="1:32" ht="18" customHeight="1">
      <c r="A414" s="98"/>
      <c r="B414" s="95"/>
      <c r="C414" s="278">
        <f>COUNTA($C$411:D413)</f>
        <v>3</v>
      </c>
      <c r="D414" s="278"/>
      <c r="E414" s="100" t="s">
        <v>134</v>
      </c>
      <c r="F414" s="125"/>
      <c r="G414" s="125"/>
      <c r="H414" s="125"/>
      <c r="I414" s="125"/>
      <c r="J414" s="125"/>
      <c r="K414" s="30"/>
      <c r="L414" s="100" t="s">
        <v>873</v>
      </c>
      <c r="M414" s="29"/>
      <c r="N414" s="29"/>
      <c r="O414" s="29"/>
      <c r="P414" s="29"/>
      <c r="Q414" s="29"/>
      <c r="R414" s="29"/>
      <c r="S414" s="29"/>
      <c r="T414" s="29"/>
      <c r="U414" s="29"/>
      <c r="V414" s="29"/>
      <c r="W414" s="29"/>
      <c r="X414" s="29"/>
      <c r="Y414" s="29"/>
      <c r="Z414" s="29"/>
      <c r="AA414" s="30"/>
      <c r="AB414" s="99"/>
      <c r="AC414" s="111" t="s">
        <v>874</v>
      </c>
      <c r="AD414" s="27" t="e">
        <f>""""&amp;#REF!&amp;""":""example"&amp;#REF!&amp;"""},"</f>
        <v>#REF!</v>
      </c>
    </row>
    <row r="415" spans="1:32" ht="18" customHeight="1">
      <c r="A415" s="98"/>
      <c r="B415" s="95"/>
      <c r="C415" s="278">
        <f>COUNTA($C$411:D414)</f>
        <v>4</v>
      </c>
      <c r="D415" s="278"/>
      <c r="E415" s="100" t="s">
        <v>276</v>
      </c>
      <c r="F415" s="138"/>
      <c r="G415" s="125"/>
      <c r="H415" s="125"/>
      <c r="I415" s="125"/>
      <c r="J415" s="125"/>
      <c r="K415" s="30"/>
      <c r="L415" s="100" t="s">
        <v>877</v>
      </c>
      <c r="M415" s="29"/>
      <c r="N415" s="29"/>
      <c r="O415" s="29"/>
      <c r="P415" s="29"/>
      <c r="Q415" s="29"/>
      <c r="R415" s="29"/>
      <c r="S415" s="29"/>
      <c r="T415" s="29"/>
      <c r="U415" s="29"/>
      <c r="V415" s="29"/>
      <c r="W415" s="29"/>
      <c r="X415" s="29"/>
      <c r="Y415" s="29"/>
      <c r="Z415" s="29"/>
      <c r="AA415" s="30"/>
      <c r="AB415" s="99"/>
      <c r="AC415" s="111"/>
      <c r="AD415" s="27" t="e">
        <f>""""&amp;#REF!&amp;""":""example"&amp;#REF!&amp;"""},"</f>
        <v>#REF!</v>
      </c>
    </row>
    <row r="416" spans="1:32" ht="18" customHeight="1">
      <c r="A416" s="98"/>
      <c r="B416" s="95"/>
      <c r="C416" s="278">
        <f>COUNTA($C$411:D415)</f>
        <v>5</v>
      </c>
      <c r="D416" s="278"/>
      <c r="E416" s="100" t="s">
        <v>277</v>
      </c>
      <c r="F416" s="125"/>
      <c r="G416" s="125"/>
      <c r="H416" s="125"/>
      <c r="I416" s="125"/>
      <c r="J416" s="125"/>
      <c r="K416" s="30"/>
      <c r="L416" s="100" t="s">
        <v>878</v>
      </c>
      <c r="M416" s="29"/>
      <c r="N416" s="29"/>
      <c r="O416" s="29"/>
      <c r="P416" s="29"/>
      <c r="Q416" s="29"/>
      <c r="R416" s="29"/>
      <c r="S416" s="29"/>
      <c r="T416" s="29"/>
      <c r="U416" s="29"/>
      <c r="V416" s="29"/>
      <c r="W416" s="29"/>
      <c r="X416" s="29"/>
      <c r="Y416" s="29"/>
      <c r="Z416" s="29"/>
      <c r="AA416" s="30"/>
      <c r="AB416" s="99"/>
      <c r="AC416" s="111"/>
      <c r="AD416" s="27" t="e">
        <f>""""&amp;#REF!&amp;""":""example"&amp;#REF!&amp;"""},"</f>
        <v>#REF!</v>
      </c>
    </row>
    <row r="417" spans="1:30" ht="18" customHeight="1">
      <c r="A417" s="98"/>
      <c r="B417" s="95"/>
      <c r="C417" s="278">
        <f>COUNTA($C$411:D416)</f>
        <v>6</v>
      </c>
      <c r="D417" s="278"/>
      <c r="E417" s="100" t="s">
        <v>55</v>
      </c>
      <c r="F417" s="138"/>
      <c r="G417" s="125"/>
      <c r="H417" s="125"/>
      <c r="I417" s="125"/>
      <c r="J417" s="125"/>
      <c r="K417" s="30"/>
      <c r="L417" s="100" t="s">
        <v>665</v>
      </c>
      <c r="M417" s="29"/>
      <c r="N417" s="29"/>
      <c r="O417" s="29"/>
      <c r="P417" s="29"/>
      <c r="Q417" s="29"/>
      <c r="R417" s="29"/>
      <c r="S417" s="29"/>
      <c r="T417" s="29"/>
      <c r="U417" s="29"/>
      <c r="V417" s="29"/>
      <c r="W417" s="29"/>
      <c r="X417" s="29"/>
      <c r="Y417" s="29"/>
      <c r="Z417" s="29"/>
      <c r="AA417" s="30"/>
      <c r="AB417" s="99"/>
      <c r="AC417" s="111"/>
      <c r="AD417" s="27" t="e">
        <f>""""&amp;#REF!&amp;""":""example"&amp;#REF!&amp;"""},"</f>
        <v>#REF!</v>
      </c>
    </row>
    <row r="418" spans="1:30" ht="18" customHeight="1">
      <c r="A418" s="98"/>
      <c r="B418" s="95"/>
      <c r="C418" s="278">
        <f>COUNTA($C$411:D417)</f>
        <v>7</v>
      </c>
      <c r="D418" s="278"/>
      <c r="E418" s="100" t="s">
        <v>367</v>
      </c>
      <c r="F418" s="125"/>
      <c r="G418" s="125"/>
      <c r="H418" s="125"/>
      <c r="I418" s="125"/>
      <c r="J418" s="125"/>
      <c r="K418" s="30"/>
      <c r="L418" s="100" t="s">
        <v>668</v>
      </c>
      <c r="M418" s="29"/>
      <c r="N418" s="29"/>
      <c r="O418" s="29"/>
      <c r="P418" s="29"/>
      <c r="Q418" s="29"/>
      <c r="R418" s="29"/>
      <c r="S418" s="29"/>
      <c r="T418" s="29"/>
      <c r="U418" s="29"/>
      <c r="V418" s="29"/>
      <c r="W418" s="29"/>
      <c r="X418" s="29"/>
      <c r="Y418" s="29"/>
      <c r="Z418" s="29"/>
      <c r="AA418" s="30"/>
      <c r="AB418" s="99"/>
      <c r="AC418" s="111"/>
      <c r="AD418" s="27" t="e">
        <f>""""&amp;#REF!&amp;""":""example"&amp;#REF!&amp;"""},"</f>
        <v>#REF!</v>
      </c>
    </row>
    <row r="419" spans="1:30" ht="18" customHeight="1">
      <c r="A419" s="98"/>
      <c r="B419" s="95"/>
      <c r="C419" s="278">
        <f>COUNTA($C$411:D418)</f>
        <v>8</v>
      </c>
      <c r="D419" s="278"/>
      <c r="E419" s="100" t="s">
        <v>278</v>
      </c>
      <c r="F419" s="138"/>
      <c r="G419" s="125"/>
      <c r="H419" s="125"/>
      <c r="I419" s="125"/>
      <c r="J419" s="125"/>
      <c r="K419" s="30"/>
      <c r="L419" s="100" t="s">
        <v>670</v>
      </c>
      <c r="M419" s="29"/>
      <c r="N419" s="29"/>
      <c r="O419" s="29"/>
      <c r="P419" s="29"/>
      <c r="Q419" s="29"/>
      <c r="R419" s="29"/>
      <c r="S419" s="29"/>
      <c r="T419" s="29"/>
      <c r="U419" s="29"/>
      <c r="V419" s="29"/>
      <c r="W419" s="29"/>
      <c r="X419" s="29"/>
      <c r="Y419" s="29"/>
      <c r="Z419" s="29"/>
      <c r="AA419" s="30"/>
      <c r="AB419" s="99"/>
      <c r="AC419" s="111"/>
      <c r="AD419" s="27" t="e">
        <f>""""&amp;#REF!&amp;""":""example"&amp;#REF!&amp;"""},"</f>
        <v>#REF!</v>
      </c>
    </row>
    <row r="420" spans="1:30" ht="18" customHeight="1">
      <c r="A420" s="98"/>
      <c r="B420" s="95"/>
      <c r="C420" s="278">
        <f>COUNTA($C$411:D419)</f>
        <v>9</v>
      </c>
      <c r="D420" s="278"/>
      <c r="E420" s="100" t="s">
        <v>279</v>
      </c>
      <c r="F420" s="138"/>
      <c r="G420" s="125"/>
      <c r="H420" s="125"/>
      <c r="I420" s="125"/>
      <c r="J420" s="125"/>
      <c r="K420" s="30"/>
      <c r="L420" s="100" t="s">
        <v>671</v>
      </c>
      <c r="M420" s="29"/>
      <c r="N420" s="29"/>
      <c r="O420" s="29"/>
      <c r="P420" s="29"/>
      <c r="Q420" s="29"/>
      <c r="R420" s="29"/>
      <c r="S420" s="29"/>
      <c r="T420" s="29"/>
      <c r="U420" s="29"/>
      <c r="V420" s="29"/>
      <c r="W420" s="29"/>
      <c r="X420" s="29"/>
      <c r="Y420" s="29"/>
      <c r="Z420" s="29"/>
      <c r="AA420" s="30"/>
      <c r="AB420" s="99"/>
      <c r="AC420" s="111"/>
      <c r="AD420" s="27" t="e">
        <f>""""&amp;#REF!&amp;""":""example"&amp;#REF!&amp;"""},"</f>
        <v>#REF!</v>
      </c>
    </row>
    <row r="421" spans="1:30" ht="18" customHeight="1">
      <c r="A421" s="98"/>
      <c r="B421" s="95"/>
      <c r="C421" s="278">
        <f>COUNTA($C$411:D420)</f>
        <v>10</v>
      </c>
      <c r="D421" s="278"/>
      <c r="E421" s="100" t="s">
        <v>280</v>
      </c>
      <c r="F421" s="125"/>
      <c r="G421" s="125"/>
      <c r="H421" s="125"/>
      <c r="I421" s="125"/>
      <c r="J421" s="125"/>
      <c r="K421" s="30"/>
      <c r="L421" s="100" t="s">
        <v>879</v>
      </c>
      <c r="M421" s="29"/>
      <c r="N421" s="29"/>
      <c r="O421" s="29"/>
      <c r="P421" s="29"/>
      <c r="Q421" s="29"/>
      <c r="R421" s="29"/>
      <c r="S421" s="29"/>
      <c r="T421" s="29"/>
      <c r="U421" s="29"/>
      <c r="V421" s="29"/>
      <c r="W421" s="29"/>
      <c r="X421" s="29"/>
      <c r="Y421" s="29"/>
      <c r="Z421" s="29"/>
      <c r="AA421" s="30"/>
      <c r="AB421" s="99"/>
      <c r="AC421" s="111"/>
      <c r="AD421" s="27" t="e">
        <f>""""&amp;#REF!&amp;""":""example"&amp;#REF!&amp;"""},"</f>
        <v>#REF!</v>
      </c>
    </row>
    <row r="422" spans="1:30" ht="18" customHeight="1">
      <c r="A422" s="98"/>
      <c r="B422" s="95"/>
      <c r="C422" s="278">
        <f>COUNTA($C$411:D421)</f>
        <v>11</v>
      </c>
      <c r="D422" s="278"/>
      <c r="E422" s="100" t="s">
        <v>263</v>
      </c>
      <c r="F422" s="138"/>
      <c r="G422" s="125"/>
      <c r="H422" s="125"/>
      <c r="I422" s="125"/>
      <c r="J422" s="125"/>
      <c r="K422" s="30"/>
      <c r="L422" s="100" t="s">
        <v>426</v>
      </c>
      <c r="M422" s="29"/>
      <c r="N422" s="29"/>
      <c r="O422" s="29"/>
      <c r="P422" s="29"/>
      <c r="Q422" s="29"/>
      <c r="R422" s="29"/>
      <c r="S422" s="29"/>
      <c r="T422" s="29"/>
      <c r="U422" s="29"/>
      <c r="V422" s="29"/>
      <c r="W422" s="29"/>
      <c r="X422" s="29"/>
      <c r="Y422" s="29"/>
      <c r="Z422" s="29"/>
      <c r="AA422" s="30"/>
      <c r="AB422" s="99"/>
      <c r="AC422" s="111"/>
      <c r="AD422" s="27" t="e">
        <f>""""&amp;#REF!&amp;""":""example"&amp;#REF!&amp;"""},"</f>
        <v>#REF!</v>
      </c>
    </row>
    <row r="423" spans="1:30" ht="18" customHeight="1">
      <c r="A423" s="98"/>
      <c r="B423" s="95"/>
      <c r="C423" s="278">
        <f>COUNTA($C$411:D422)</f>
        <v>12</v>
      </c>
      <c r="D423" s="278"/>
      <c r="E423" s="100" t="s">
        <v>281</v>
      </c>
      <c r="F423" s="125"/>
      <c r="G423" s="125"/>
      <c r="H423" s="125"/>
      <c r="I423" s="125"/>
      <c r="J423" s="125"/>
      <c r="K423" s="30"/>
      <c r="L423" s="100" t="s">
        <v>672</v>
      </c>
      <c r="M423" s="29"/>
      <c r="N423" s="29"/>
      <c r="O423" s="29"/>
      <c r="P423" s="29"/>
      <c r="Q423" s="29"/>
      <c r="R423" s="29"/>
      <c r="S423" s="29"/>
      <c r="T423" s="29"/>
      <c r="U423" s="29"/>
      <c r="V423" s="29"/>
      <c r="W423" s="29"/>
      <c r="X423" s="29"/>
      <c r="Y423" s="29"/>
      <c r="Z423" s="29"/>
      <c r="AA423" s="30"/>
      <c r="AB423" s="99"/>
      <c r="AC423" s="111"/>
      <c r="AD423" s="27" t="e">
        <f>""""&amp;#REF!&amp;""":""example"&amp;#REF!&amp;"""},"</f>
        <v>#REF!</v>
      </c>
    </row>
    <row r="424" spans="1:30" ht="18" customHeight="1">
      <c r="A424" s="98"/>
      <c r="B424" s="95"/>
      <c r="C424" s="278">
        <f>COUNTA($C$411:D423)</f>
        <v>13</v>
      </c>
      <c r="D424" s="278"/>
      <c r="E424" s="100" t="s">
        <v>58</v>
      </c>
      <c r="F424" s="138"/>
      <c r="G424" s="125"/>
      <c r="H424" s="125"/>
      <c r="I424" s="125"/>
      <c r="J424" s="125"/>
      <c r="K424" s="30"/>
      <c r="L424" s="100" t="s">
        <v>880</v>
      </c>
      <c r="M424" s="29"/>
      <c r="N424" s="29"/>
      <c r="O424" s="29"/>
      <c r="P424" s="29"/>
      <c r="Q424" s="29"/>
      <c r="R424" s="29"/>
      <c r="S424" s="29"/>
      <c r="T424" s="29"/>
      <c r="U424" s="29"/>
      <c r="V424" s="29"/>
      <c r="W424" s="29"/>
      <c r="X424" s="29"/>
      <c r="Y424" s="29"/>
      <c r="Z424" s="29"/>
      <c r="AA424" s="30"/>
      <c r="AB424" s="99"/>
      <c r="AC424" s="111"/>
      <c r="AD424" s="27" t="e">
        <f>""""&amp;#REF!&amp;""":""example"&amp;#REF!&amp;"""},"</f>
        <v>#REF!</v>
      </c>
    </row>
    <row r="425" spans="1:30" ht="18" customHeight="1">
      <c r="A425" s="98"/>
      <c r="B425" s="95"/>
      <c r="C425" s="278">
        <f>COUNTA($C$411:D424)</f>
        <v>14</v>
      </c>
      <c r="D425" s="278"/>
      <c r="E425" s="100" t="s">
        <v>59</v>
      </c>
      <c r="F425" s="125"/>
      <c r="G425" s="125"/>
      <c r="H425" s="125"/>
      <c r="I425" s="125"/>
      <c r="J425" s="125"/>
      <c r="K425" s="30"/>
      <c r="L425" s="100" t="s">
        <v>881</v>
      </c>
      <c r="M425" s="29"/>
      <c r="N425" s="29"/>
      <c r="O425" s="29"/>
      <c r="P425" s="29"/>
      <c r="Q425" s="29"/>
      <c r="R425" s="29"/>
      <c r="S425" s="29"/>
      <c r="T425" s="29"/>
      <c r="U425" s="29"/>
      <c r="V425" s="29"/>
      <c r="W425" s="29"/>
      <c r="X425" s="29"/>
      <c r="Y425" s="29"/>
      <c r="Z425" s="29"/>
      <c r="AA425" s="30"/>
      <c r="AB425" s="99"/>
      <c r="AC425" s="111"/>
      <c r="AD425" s="27" t="e">
        <f>""""&amp;#REF!&amp;""":""example"&amp;#REF!&amp;"""},"</f>
        <v>#REF!</v>
      </c>
    </row>
    <row r="426" spans="1:30" ht="18" customHeight="1">
      <c r="A426" s="98"/>
      <c r="B426" s="95"/>
      <c r="C426" s="278">
        <f>COUNTA($C$411:D425)</f>
        <v>15</v>
      </c>
      <c r="D426" s="278"/>
      <c r="E426" s="100" t="s">
        <v>870</v>
      </c>
      <c r="F426" s="125"/>
      <c r="G426" s="125"/>
      <c r="H426" s="125"/>
      <c r="I426" s="125"/>
      <c r="J426" s="125"/>
      <c r="K426" s="30"/>
      <c r="L426" s="100" t="s">
        <v>882</v>
      </c>
      <c r="M426" s="29"/>
      <c r="N426" s="29"/>
      <c r="O426" s="29"/>
      <c r="P426" s="29"/>
      <c r="Q426" s="29"/>
      <c r="R426" s="29"/>
      <c r="S426" s="29"/>
      <c r="T426" s="29"/>
      <c r="U426" s="29"/>
      <c r="V426" s="29"/>
      <c r="W426" s="29"/>
      <c r="X426" s="29"/>
      <c r="Y426" s="29"/>
      <c r="Z426" s="29"/>
      <c r="AA426" s="30"/>
      <c r="AB426" s="99"/>
      <c r="AC426" s="111"/>
      <c r="AD426" s="27" t="e">
        <f>""""&amp;#REF!&amp;""":""example"&amp;#REF!&amp;"""},"</f>
        <v>#REF!</v>
      </c>
    </row>
    <row r="427" spans="1:30" ht="18" customHeight="1">
      <c r="A427" s="98"/>
      <c r="B427" s="95"/>
      <c r="C427" s="278">
        <f>COUNTA($C$411:D426)</f>
        <v>16</v>
      </c>
      <c r="D427" s="278"/>
      <c r="E427" s="100" t="s">
        <v>192</v>
      </c>
      <c r="F427" s="125"/>
      <c r="G427" s="125"/>
      <c r="H427" s="125"/>
      <c r="I427" s="125"/>
      <c r="J427" s="125"/>
      <c r="K427" s="30"/>
      <c r="L427" s="100" t="s">
        <v>913</v>
      </c>
      <c r="M427" s="29"/>
      <c r="N427" s="29"/>
      <c r="O427" s="29"/>
      <c r="P427" s="29"/>
      <c r="Q427" s="29"/>
      <c r="R427" s="29"/>
      <c r="S427" s="29"/>
      <c r="T427" s="29"/>
      <c r="U427" s="29"/>
      <c r="V427" s="29"/>
      <c r="W427" s="29"/>
      <c r="X427" s="29"/>
      <c r="Y427" s="29"/>
      <c r="Z427" s="29"/>
      <c r="AA427" s="30"/>
      <c r="AB427" s="99"/>
      <c r="AC427" s="111"/>
      <c r="AD427" s="27" t="e">
        <f>""""&amp;#REF!&amp;""":""example"&amp;#REF!&amp;"""},"</f>
        <v>#REF!</v>
      </c>
    </row>
    <row r="428" spans="1:30" ht="18" customHeight="1">
      <c r="A428" s="98"/>
      <c r="B428" s="95"/>
      <c r="C428" s="96"/>
      <c r="D428" s="96"/>
      <c r="E428" s="95"/>
      <c r="F428" s="121"/>
      <c r="G428" s="121"/>
      <c r="H428" s="121"/>
      <c r="I428" s="121"/>
      <c r="J428" s="95"/>
      <c r="K428" s="95"/>
      <c r="L428" s="95"/>
      <c r="M428" s="95"/>
      <c r="N428" s="95"/>
      <c r="O428" s="95"/>
      <c r="P428" s="95"/>
      <c r="Q428" s="95"/>
      <c r="R428" s="95"/>
      <c r="S428" s="95"/>
      <c r="T428" s="95"/>
      <c r="U428" s="95"/>
      <c r="V428" s="95"/>
      <c r="W428" s="95"/>
      <c r="X428" s="95"/>
      <c r="Y428" s="95"/>
      <c r="Z428" s="95"/>
      <c r="AA428" s="95"/>
      <c r="AB428" s="99"/>
      <c r="AC428" s="111"/>
    </row>
    <row r="429" spans="1:30" s="95" customFormat="1" ht="18" customHeight="1">
      <c r="A429" s="98"/>
      <c r="B429" s="95" t="s">
        <v>907</v>
      </c>
      <c r="C429" s="105"/>
      <c r="AB429" s="99"/>
      <c r="AC429" s="111"/>
      <c r="AD429" s="97"/>
    </row>
    <row r="430" spans="1:30" s="95" customFormat="1" ht="18" customHeight="1">
      <c r="A430" s="98"/>
      <c r="C430" s="319" t="s">
        <v>483</v>
      </c>
      <c r="D430" s="319"/>
      <c r="E430" s="319"/>
      <c r="F430" s="319"/>
      <c r="G430" s="100" t="s">
        <v>429</v>
      </c>
      <c r="H430" s="29"/>
      <c r="I430" s="29"/>
      <c r="J430" s="29"/>
      <c r="K430" s="29"/>
      <c r="L430" s="29"/>
      <c r="M430" s="29"/>
      <c r="N430" s="29"/>
      <c r="O430" s="29"/>
      <c r="P430" s="29"/>
      <c r="Q430" s="29"/>
      <c r="R430" s="29"/>
      <c r="S430" s="29"/>
      <c r="T430" s="29"/>
      <c r="U430" s="29"/>
      <c r="V430" s="29"/>
      <c r="W430" s="29"/>
      <c r="X430" s="29"/>
      <c r="Y430" s="29"/>
      <c r="Z430" s="29"/>
      <c r="AA430" s="30"/>
      <c r="AB430" s="99"/>
      <c r="AC430" s="111"/>
      <c r="AD430" s="97"/>
    </row>
    <row r="431" spans="1:30" s="95" customFormat="1" ht="18" customHeight="1">
      <c r="A431" s="98"/>
      <c r="C431" s="340" t="s">
        <v>637</v>
      </c>
      <c r="D431" s="341"/>
      <c r="E431" s="341"/>
      <c r="F431" s="342"/>
      <c r="G431" s="100" t="s">
        <v>910</v>
      </c>
      <c r="H431" s="29"/>
      <c r="I431" s="29"/>
      <c r="J431" s="29"/>
      <c r="K431" s="29"/>
      <c r="L431" s="29"/>
      <c r="M431" s="29"/>
      <c r="N431" s="29"/>
      <c r="O431" s="29"/>
      <c r="P431" s="29"/>
      <c r="Q431" s="29"/>
      <c r="R431" s="29"/>
      <c r="S431" s="29"/>
      <c r="T431" s="29"/>
      <c r="U431" s="29"/>
      <c r="V431" s="29"/>
      <c r="W431" s="29"/>
      <c r="X431" s="29"/>
      <c r="Y431" s="29"/>
      <c r="Z431" s="29"/>
      <c r="AA431" s="30"/>
      <c r="AB431" s="99"/>
      <c r="AC431" s="111"/>
      <c r="AD431" s="97"/>
    </row>
    <row r="432" spans="1:30" s="95" customFormat="1" ht="72" customHeight="1">
      <c r="A432" s="98"/>
      <c r="C432" s="323" t="s">
        <v>35</v>
      </c>
      <c r="D432" s="324"/>
      <c r="E432" s="324"/>
      <c r="F432" s="325"/>
      <c r="G432" s="320" t="s">
        <v>908</v>
      </c>
      <c r="H432" s="376"/>
      <c r="I432" s="376"/>
      <c r="J432" s="376"/>
      <c r="K432" s="376"/>
      <c r="L432" s="376"/>
      <c r="M432" s="376"/>
      <c r="N432" s="376"/>
      <c r="O432" s="376"/>
      <c r="P432" s="376"/>
      <c r="Q432" s="376"/>
      <c r="R432" s="376"/>
      <c r="S432" s="376"/>
      <c r="T432" s="376"/>
      <c r="U432" s="376"/>
      <c r="V432" s="376"/>
      <c r="W432" s="376"/>
      <c r="X432" s="376"/>
      <c r="Y432" s="376"/>
      <c r="Z432" s="376"/>
      <c r="AA432" s="377"/>
      <c r="AB432" s="99"/>
      <c r="AC432" s="111"/>
      <c r="AD432" s="97"/>
    </row>
    <row r="433" spans="1:34" s="95" customFormat="1" ht="18" customHeight="1">
      <c r="A433" s="98"/>
      <c r="C433" s="326"/>
      <c r="D433" s="327"/>
      <c r="E433" s="327"/>
      <c r="F433" s="328"/>
      <c r="G433" s="100" t="s">
        <v>909</v>
      </c>
      <c r="H433" s="29"/>
      <c r="I433" s="29"/>
      <c r="J433" s="29"/>
      <c r="K433" s="29"/>
      <c r="L433" s="29"/>
      <c r="M433" s="29"/>
      <c r="N433" s="29"/>
      <c r="O433" s="29"/>
      <c r="P433" s="29"/>
      <c r="Q433" s="29"/>
      <c r="R433" s="29"/>
      <c r="S433" s="29"/>
      <c r="T433" s="29"/>
      <c r="U433" s="29"/>
      <c r="V433" s="29"/>
      <c r="W433" s="29"/>
      <c r="X433" s="29"/>
      <c r="Y433" s="29"/>
      <c r="Z433" s="29"/>
      <c r="AA433" s="30"/>
      <c r="AB433" s="99"/>
      <c r="AC433" s="111"/>
      <c r="AD433" s="97"/>
      <c r="AF433" s="120"/>
    </row>
    <row r="434" spans="1:34" s="95" customFormat="1" ht="18" customHeight="1">
      <c r="A434" s="98"/>
      <c r="C434" s="329"/>
      <c r="D434" s="330"/>
      <c r="E434" s="330"/>
      <c r="F434" s="331"/>
      <c r="G434" s="100" t="s">
        <v>885</v>
      </c>
      <c r="H434" s="29"/>
      <c r="I434" s="29"/>
      <c r="J434" s="29"/>
      <c r="K434" s="29"/>
      <c r="L434" s="29"/>
      <c r="M434" s="29"/>
      <c r="N434" s="29"/>
      <c r="O434" s="29"/>
      <c r="P434" s="29"/>
      <c r="Q434" s="29"/>
      <c r="R434" s="29"/>
      <c r="S434" s="29"/>
      <c r="T434" s="29"/>
      <c r="U434" s="29"/>
      <c r="V434" s="29"/>
      <c r="W434" s="29"/>
      <c r="X434" s="29"/>
      <c r="Y434" s="29"/>
      <c r="Z434" s="29"/>
      <c r="AA434" s="30"/>
      <c r="AB434" s="99"/>
      <c r="AC434" s="111"/>
      <c r="AD434" s="97"/>
      <c r="AF434" s="120"/>
    </row>
    <row r="435" spans="1:34" s="95" customFormat="1" ht="18" customHeight="1">
      <c r="A435" s="98"/>
      <c r="C435" s="340" t="s">
        <v>640</v>
      </c>
      <c r="D435" s="341"/>
      <c r="E435" s="341"/>
      <c r="F435" s="342"/>
      <c r="G435" s="100" t="s">
        <v>883</v>
      </c>
      <c r="H435" s="29"/>
      <c r="I435" s="29"/>
      <c r="J435" s="29"/>
      <c r="K435" s="29"/>
      <c r="L435" s="29"/>
      <c r="M435" s="29"/>
      <c r="N435" s="29"/>
      <c r="O435" s="29"/>
      <c r="P435" s="29"/>
      <c r="Q435" s="29"/>
      <c r="R435" s="29"/>
      <c r="S435" s="29"/>
      <c r="T435" s="29"/>
      <c r="U435" s="29"/>
      <c r="V435" s="29"/>
      <c r="W435" s="29"/>
      <c r="X435" s="29"/>
      <c r="Y435" s="29"/>
      <c r="Z435" s="29"/>
      <c r="AA435" s="30"/>
      <c r="AB435" s="99"/>
      <c r="AC435" s="111"/>
      <c r="AD435" s="97"/>
    </row>
    <row r="436" spans="1:34" s="95" customFormat="1" ht="18" customHeight="1">
      <c r="A436" s="98"/>
      <c r="C436" s="96"/>
      <c r="D436" s="96"/>
      <c r="E436" s="96"/>
      <c r="F436" s="96"/>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99"/>
      <c r="AC436" s="111"/>
      <c r="AD436" s="97"/>
      <c r="AF436" s="120"/>
    </row>
    <row r="437" spans="1:34" s="95" customFormat="1" ht="18" customHeight="1">
      <c r="A437" s="98"/>
      <c r="C437" s="122" t="s">
        <v>890</v>
      </c>
      <c r="D437" s="96"/>
      <c r="E437" s="121"/>
      <c r="F437" s="96"/>
      <c r="G437" s="96"/>
      <c r="H437" s="96"/>
      <c r="I437" s="96"/>
      <c r="J437" s="96"/>
      <c r="K437" s="96"/>
      <c r="L437" s="96"/>
      <c r="M437" s="96"/>
      <c r="N437" s="96"/>
      <c r="O437" s="96"/>
      <c r="P437" s="96"/>
      <c r="Q437" s="96"/>
      <c r="R437" s="96"/>
      <c r="S437" s="96"/>
      <c r="T437" s="96"/>
      <c r="U437" s="96"/>
      <c r="V437" s="96"/>
      <c r="W437" s="96"/>
      <c r="X437" s="96"/>
      <c r="Y437" s="96"/>
      <c r="Z437" s="96"/>
      <c r="AA437" s="96"/>
      <c r="AB437" s="99"/>
      <c r="AC437" s="111"/>
      <c r="AD437" s="97"/>
    </row>
    <row r="438" spans="1:34" s="95" customFormat="1" ht="18" customHeight="1">
      <c r="A438" s="98"/>
      <c r="C438" s="343" t="s">
        <v>7</v>
      </c>
      <c r="D438" s="343"/>
      <c r="E438" s="343" t="s">
        <v>9</v>
      </c>
      <c r="F438" s="344"/>
      <c r="G438" s="344"/>
      <c r="H438" s="344"/>
      <c r="I438" s="344"/>
      <c r="J438" s="344"/>
      <c r="K438" s="345"/>
      <c r="L438" s="379" t="s">
        <v>18</v>
      </c>
      <c r="M438" s="380"/>
      <c r="N438" s="380"/>
      <c r="O438" s="380"/>
      <c r="P438" s="380"/>
      <c r="Q438" s="380"/>
      <c r="R438" s="380"/>
      <c r="S438" s="380"/>
      <c r="T438" s="380"/>
      <c r="U438" s="380"/>
      <c r="V438" s="380"/>
      <c r="W438" s="380"/>
      <c r="X438" s="380"/>
      <c r="Y438" s="380"/>
      <c r="Z438" s="380"/>
      <c r="AA438" s="381"/>
      <c r="AB438" s="99"/>
      <c r="AC438" s="111"/>
      <c r="AD438" s="97"/>
    </row>
    <row r="439" spans="1:34" s="95" customFormat="1" ht="18" customHeight="1">
      <c r="A439" s="98"/>
      <c r="C439" s="278">
        <v>1</v>
      </c>
      <c r="D439" s="278"/>
      <c r="E439" s="100" t="s">
        <v>886</v>
      </c>
      <c r="F439" s="29"/>
      <c r="G439" s="29"/>
      <c r="H439" s="29"/>
      <c r="I439" s="29"/>
      <c r="J439" s="29"/>
      <c r="K439" s="29"/>
      <c r="L439" s="100" t="s">
        <v>889</v>
      </c>
      <c r="M439" s="29"/>
      <c r="N439" s="29"/>
      <c r="O439" s="29"/>
      <c r="P439" s="29"/>
      <c r="Q439" s="29"/>
      <c r="R439" s="29"/>
      <c r="S439" s="29"/>
      <c r="T439" s="29"/>
      <c r="U439" s="29"/>
      <c r="V439" s="29"/>
      <c r="W439" s="29"/>
      <c r="X439" s="29"/>
      <c r="Y439" s="29"/>
      <c r="Z439" s="29"/>
      <c r="AA439" s="30"/>
      <c r="AB439" s="99"/>
      <c r="AC439" s="111"/>
      <c r="AD439" s="97"/>
    </row>
    <row r="440" spans="1:34" s="95" customFormat="1" ht="18" customHeight="1">
      <c r="A440" s="98"/>
      <c r="C440" s="96"/>
      <c r="D440" s="96"/>
      <c r="AB440" s="99"/>
      <c r="AC440" s="111"/>
      <c r="AD440" s="97"/>
      <c r="AE440" s="123"/>
      <c r="AF440" s="120"/>
    </row>
    <row r="441" spans="1:34" ht="18" customHeight="1">
      <c r="A441" s="98"/>
      <c r="B441" s="384" t="s">
        <v>932</v>
      </c>
      <c r="C441" s="384"/>
      <c r="D441" s="384"/>
      <c r="E441" s="384"/>
      <c r="F441" s="384"/>
      <c r="G441" s="384"/>
      <c r="H441" s="384"/>
      <c r="I441" s="384"/>
      <c r="J441" s="384"/>
      <c r="K441" s="384"/>
      <c r="L441" s="384"/>
      <c r="M441" s="384"/>
      <c r="N441" s="384"/>
      <c r="O441" s="384"/>
      <c r="P441" s="384"/>
      <c r="Q441" s="384"/>
      <c r="R441" s="384"/>
      <c r="S441" s="384"/>
      <c r="T441" s="384"/>
      <c r="U441" s="384"/>
      <c r="V441" s="384"/>
      <c r="W441" s="384"/>
      <c r="X441" s="384"/>
      <c r="Y441" s="384"/>
      <c r="Z441" s="384"/>
      <c r="AA441" s="384"/>
      <c r="AB441" s="148"/>
      <c r="AC441" s="111" t="s">
        <v>940</v>
      </c>
    </row>
    <row r="442" spans="1:34" ht="18" customHeight="1">
      <c r="A442" s="98"/>
      <c r="B442" s="384"/>
      <c r="C442" s="384"/>
      <c r="D442" s="384"/>
      <c r="E442" s="384"/>
      <c r="F442" s="384"/>
      <c r="G442" s="384"/>
      <c r="H442" s="384"/>
      <c r="I442" s="384"/>
      <c r="J442" s="384"/>
      <c r="K442" s="384"/>
      <c r="L442" s="384"/>
      <c r="M442" s="384"/>
      <c r="N442" s="384"/>
      <c r="O442" s="384"/>
      <c r="P442" s="384"/>
      <c r="Q442" s="384"/>
      <c r="R442" s="384"/>
      <c r="S442" s="384"/>
      <c r="T442" s="384"/>
      <c r="U442" s="384"/>
      <c r="V442" s="384"/>
      <c r="W442" s="384"/>
      <c r="X442" s="384"/>
      <c r="Y442" s="384"/>
      <c r="Z442" s="384"/>
      <c r="AA442" s="384"/>
      <c r="AB442" s="148"/>
      <c r="AC442" s="111" t="s">
        <v>940</v>
      </c>
    </row>
    <row r="443" spans="1:34" ht="18" customHeight="1">
      <c r="A443" s="95"/>
      <c r="B443" s="378" t="s">
        <v>996</v>
      </c>
      <c r="C443" s="378"/>
      <c r="D443" s="378"/>
      <c r="E443" s="378"/>
      <c r="F443" s="378"/>
      <c r="G443" s="378"/>
      <c r="H443" s="378"/>
      <c r="I443" s="378"/>
      <c r="J443" s="378"/>
      <c r="K443" s="378"/>
      <c r="L443" s="378"/>
      <c r="M443" s="378"/>
      <c r="N443" s="378"/>
      <c r="O443" s="378"/>
      <c r="P443" s="378"/>
      <c r="Q443" s="378"/>
      <c r="R443" s="378"/>
      <c r="S443" s="378"/>
      <c r="T443" s="378"/>
      <c r="U443" s="378"/>
      <c r="V443" s="378"/>
      <c r="W443" s="378"/>
      <c r="X443" s="378"/>
      <c r="Y443" s="378"/>
      <c r="Z443" s="378"/>
      <c r="AA443" s="378"/>
      <c r="AB443" s="148"/>
      <c r="AC443" s="111" t="s">
        <v>940</v>
      </c>
    </row>
    <row r="444" spans="1:34" ht="18" customHeight="1">
      <c r="A444" s="95"/>
      <c r="B444" s="146"/>
      <c r="C444" s="182" t="s">
        <v>975</v>
      </c>
      <c r="D444" s="147"/>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6"/>
      <c r="AA444" s="146"/>
      <c r="AB444" s="148"/>
      <c r="AC444" s="111" t="s">
        <v>940</v>
      </c>
      <c r="AH444" s="185" t="s">
        <v>1057</v>
      </c>
    </row>
    <row r="445" spans="1:34" ht="18" customHeight="1">
      <c r="A445" s="95"/>
      <c r="B445" s="146"/>
      <c r="C445" s="183" t="s">
        <v>1056</v>
      </c>
      <c r="D445" s="147"/>
      <c r="E445" s="146"/>
      <c r="F445" s="146"/>
      <c r="G445" s="146"/>
      <c r="H445" s="146"/>
      <c r="I445" s="146"/>
      <c r="J445" s="146"/>
      <c r="K445" s="146"/>
      <c r="L445" s="146"/>
      <c r="M445" s="146"/>
      <c r="N445" s="146"/>
      <c r="O445" s="146"/>
      <c r="P445" s="146"/>
      <c r="Q445" s="146"/>
      <c r="R445" s="146"/>
      <c r="S445" s="146"/>
      <c r="T445" s="146"/>
      <c r="U445" s="146"/>
      <c r="V445" s="146"/>
      <c r="W445" s="146"/>
      <c r="X445" s="146"/>
      <c r="Y445" s="146"/>
      <c r="Z445" s="146"/>
      <c r="AA445" s="146"/>
      <c r="AB445" s="148"/>
      <c r="AC445" s="184" t="s">
        <v>1057</v>
      </c>
    </row>
    <row r="446" spans="1:34" ht="18" customHeight="1">
      <c r="A446" s="95"/>
      <c r="B446" s="146"/>
      <c r="C446" s="136" t="s">
        <v>941</v>
      </c>
      <c r="D446" s="147"/>
      <c r="E446" s="146"/>
      <c r="F446" s="146"/>
      <c r="G446" s="146"/>
      <c r="H446" s="146"/>
      <c r="I446" s="146"/>
      <c r="J446" s="146"/>
      <c r="K446" s="146"/>
      <c r="L446" s="146"/>
      <c r="M446" s="146"/>
      <c r="N446" s="146"/>
      <c r="O446" s="146"/>
      <c r="P446" s="146"/>
      <c r="Q446" s="146"/>
      <c r="R446" s="146"/>
      <c r="S446" s="146"/>
      <c r="T446" s="146"/>
      <c r="U446" s="146"/>
      <c r="V446" s="146"/>
      <c r="W446" s="146"/>
      <c r="X446" s="146"/>
      <c r="Y446" s="146"/>
      <c r="Z446" s="146"/>
      <c r="AA446" s="146"/>
      <c r="AB446" s="148"/>
      <c r="AC446" s="111" t="s">
        <v>940</v>
      </c>
    </row>
    <row r="447" spans="1:34" ht="18" customHeight="1">
      <c r="A447" s="95"/>
      <c r="B447" s="121"/>
      <c r="C447" s="136"/>
      <c r="D447" s="136" t="s">
        <v>943</v>
      </c>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c r="AB447" s="99"/>
      <c r="AC447" s="111" t="s">
        <v>940</v>
      </c>
    </row>
    <row r="448" spans="1:34" ht="18" customHeight="1">
      <c r="A448" s="95"/>
      <c r="B448" s="121"/>
      <c r="C448" s="136"/>
      <c r="D448" s="136" t="s">
        <v>959</v>
      </c>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c r="AB448" s="99"/>
      <c r="AC448" s="111" t="s">
        <v>940</v>
      </c>
    </row>
    <row r="449" spans="1:29" ht="18" customHeight="1">
      <c r="A449" s="95"/>
      <c r="B449" s="121"/>
      <c r="C449" s="136"/>
      <c r="D449" s="136" t="s">
        <v>944</v>
      </c>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c r="AB449" s="99"/>
      <c r="AC449" s="111" t="s">
        <v>940</v>
      </c>
    </row>
    <row r="450" spans="1:29" ht="18" customHeight="1">
      <c r="A450" s="95"/>
      <c r="B450" s="121"/>
      <c r="C450" s="136"/>
      <c r="D450" s="136"/>
      <c r="E450" s="136" t="s">
        <v>946</v>
      </c>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c r="AB450" s="99"/>
      <c r="AC450" s="111" t="s">
        <v>940</v>
      </c>
    </row>
    <row r="451" spans="1:29" ht="18" customHeight="1">
      <c r="A451" s="95"/>
      <c r="B451" s="121"/>
      <c r="C451" s="136"/>
      <c r="D451" s="136"/>
      <c r="E451" s="136" t="s">
        <v>947</v>
      </c>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c r="AB451" s="99"/>
      <c r="AC451" s="111" t="s">
        <v>940</v>
      </c>
    </row>
    <row r="452" spans="1:29" ht="18" customHeight="1">
      <c r="A452" s="95"/>
      <c r="B452" s="121"/>
      <c r="C452" s="136"/>
      <c r="D452" s="136"/>
      <c r="E452" s="136" t="s">
        <v>949</v>
      </c>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c r="AB452" s="99"/>
      <c r="AC452" s="111" t="s">
        <v>940</v>
      </c>
    </row>
    <row r="453" spans="1:29" ht="18" customHeight="1">
      <c r="A453" s="95"/>
      <c r="B453" s="121"/>
      <c r="C453" s="136"/>
      <c r="D453" s="136"/>
      <c r="E453" s="136" t="s">
        <v>950</v>
      </c>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c r="AB453" s="99"/>
      <c r="AC453" s="111" t="s">
        <v>940</v>
      </c>
    </row>
    <row r="454" spans="1:29" ht="18" customHeight="1">
      <c r="A454" s="95"/>
      <c r="B454" s="121"/>
      <c r="C454" s="136"/>
      <c r="D454" s="97"/>
      <c r="E454" s="136" t="s">
        <v>958</v>
      </c>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c r="AB454" s="99"/>
      <c r="AC454" s="111" t="s">
        <v>940</v>
      </c>
    </row>
    <row r="455" spans="1:29" ht="18" customHeight="1">
      <c r="A455" s="95"/>
      <c r="B455" s="121"/>
      <c r="C455" s="136"/>
      <c r="D455" s="136"/>
      <c r="E455" s="136" t="s">
        <v>973</v>
      </c>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99"/>
      <c r="AC455" s="111" t="s">
        <v>940</v>
      </c>
    </row>
    <row r="456" spans="1:29" ht="18" customHeight="1">
      <c r="A456" s="95"/>
      <c r="B456" s="121"/>
      <c r="C456" s="136"/>
      <c r="D456" s="136"/>
      <c r="E456" s="136" t="s">
        <v>952</v>
      </c>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c r="AB456" s="99"/>
      <c r="AC456" s="111" t="s">
        <v>940</v>
      </c>
    </row>
    <row r="457" spans="1:29" ht="18" customHeight="1">
      <c r="A457" s="95"/>
      <c r="B457" s="121"/>
      <c r="C457" s="136"/>
      <c r="D457" s="97"/>
      <c r="E457" s="136" t="s">
        <v>960</v>
      </c>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c r="AB457" s="99"/>
      <c r="AC457" s="111" t="s">
        <v>940</v>
      </c>
    </row>
    <row r="458" spans="1:29" ht="18" customHeight="1">
      <c r="A458" s="95"/>
      <c r="B458" s="121"/>
      <c r="C458" s="136"/>
      <c r="D458" s="136"/>
      <c r="E458" s="136" t="s">
        <v>974</v>
      </c>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c r="AB458" s="99"/>
      <c r="AC458" s="111" t="s">
        <v>940</v>
      </c>
    </row>
    <row r="459" spans="1:29" ht="18" customHeight="1">
      <c r="A459" s="95"/>
      <c r="B459" s="121"/>
      <c r="C459" s="136"/>
      <c r="D459" s="136"/>
      <c r="E459" s="136" t="s">
        <v>953</v>
      </c>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c r="AB459" s="99"/>
      <c r="AC459" s="111" t="s">
        <v>940</v>
      </c>
    </row>
    <row r="460" spans="1:29" ht="18" customHeight="1">
      <c r="A460" s="95"/>
      <c r="B460" s="121"/>
      <c r="C460" s="136"/>
      <c r="D460" s="136" t="s">
        <v>945</v>
      </c>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c r="AB460" s="99"/>
      <c r="AC460" s="111" t="s">
        <v>940</v>
      </c>
    </row>
    <row r="461" spans="1:29" ht="18" customHeight="1">
      <c r="A461" s="95"/>
      <c r="B461" s="121"/>
      <c r="C461" s="136"/>
      <c r="D461" s="136" t="s">
        <v>955</v>
      </c>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c r="AB461" s="99"/>
      <c r="AC461" s="111" t="s">
        <v>940</v>
      </c>
    </row>
    <row r="462" spans="1:29" ht="18" customHeight="1">
      <c r="A462" s="95"/>
      <c r="B462" s="121"/>
      <c r="C462" s="136"/>
      <c r="D462" s="136" t="s">
        <v>956</v>
      </c>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c r="AB462" s="99"/>
      <c r="AC462" s="111" t="s">
        <v>940</v>
      </c>
    </row>
    <row r="463" spans="1:29" ht="18" customHeight="1">
      <c r="A463" s="95"/>
      <c r="B463" s="121"/>
      <c r="C463" s="136"/>
      <c r="D463" s="136" t="s">
        <v>957</v>
      </c>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c r="AB463" s="99"/>
      <c r="AC463" s="111" t="s">
        <v>940</v>
      </c>
    </row>
    <row r="464" spans="1:29" ht="18" customHeight="1">
      <c r="A464" s="95"/>
      <c r="B464" s="121"/>
      <c r="C464" s="136"/>
      <c r="D464" s="136" t="s">
        <v>961</v>
      </c>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c r="AB464" s="99"/>
      <c r="AC464" s="111" t="s">
        <v>940</v>
      </c>
    </row>
    <row r="465" spans="1:32" ht="18" customHeight="1">
      <c r="A465" s="95"/>
      <c r="B465" s="121"/>
      <c r="C465" s="136"/>
      <c r="D465" s="136"/>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99"/>
      <c r="AC465" s="111" t="s">
        <v>940</v>
      </c>
    </row>
    <row r="466" spans="1:32" ht="18" customHeight="1">
      <c r="A466" s="95"/>
      <c r="B466" s="121"/>
      <c r="C466" s="136" t="s">
        <v>976</v>
      </c>
      <c r="D466" s="136"/>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c r="AB466" s="99"/>
      <c r="AC466" s="111" t="s">
        <v>940</v>
      </c>
    </row>
    <row r="467" spans="1:32" ht="18" customHeight="1">
      <c r="A467" s="95"/>
      <c r="B467" s="121"/>
      <c r="C467" s="136"/>
      <c r="D467" s="136" t="s">
        <v>977</v>
      </c>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c r="AB467" s="99"/>
      <c r="AC467" s="111" t="s">
        <v>940</v>
      </c>
    </row>
    <row r="468" spans="1:32" ht="18" customHeight="1">
      <c r="A468" s="95"/>
      <c r="B468" s="146"/>
      <c r="C468" s="121" t="s">
        <v>979</v>
      </c>
      <c r="D468" s="95"/>
      <c r="E468" s="146"/>
      <c r="F468" s="146"/>
      <c r="G468" s="146"/>
      <c r="H468" s="146"/>
      <c r="I468" s="146"/>
      <c r="J468" s="146"/>
      <c r="K468" s="146"/>
      <c r="L468" s="146"/>
      <c r="M468" s="146"/>
      <c r="N468" s="146"/>
      <c r="O468" s="146"/>
      <c r="P468" s="146"/>
      <c r="Q468" s="146"/>
      <c r="R468" s="146"/>
      <c r="S468" s="146"/>
      <c r="T468" s="146"/>
      <c r="U468" s="146"/>
      <c r="V468" s="146"/>
      <c r="W468" s="146"/>
      <c r="X468" s="146"/>
      <c r="Y468" s="146"/>
      <c r="Z468" s="146"/>
      <c r="AA468" s="146"/>
      <c r="AB468" s="148"/>
      <c r="AC468" s="111" t="s">
        <v>940</v>
      </c>
    </row>
    <row r="469" spans="1:32" ht="18" customHeight="1">
      <c r="A469" s="95"/>
      <c r="B469" s="146"/>
      <c r="C469" s="144" t="s">
        <v>741</v>
      </c>
      <c r="D469" s="146"/>
      <c r="E469" s="146"/>
      <c r="F469" s="146"/>
      <c r="G469" s="146"/>
      <c r="H469" s="146"/>
      <c r="I469" s="146"/>
      <c r="J469" s="146"/>
      <c r="K469" s="146"/>
      <c r="L469" s="135" t="s">
        <v>871</v>
      </c>
      <c r="M469" s="146"/>
      <c r="N469" s="146"/>
      <c r="O469" s="146"/>
      <c r="P469" s="146"/>
      <c r="Q469" s="146"/>
      <c r="R469" s="146"/>
      <c r="S469" s="146"/>
      <c r="T469" s="146"/>
      <c r="U469" s="146"/>
      <c r="V469" s="146"/>
      <c r="W469" s="146"/>
      <c r="X469" s="146"/>
      <c r="Y469" s="146"/>
      <c r="Z469" s="146"/>
      <c r="AA469" s="146"/>
      <c r="AB469" s="148"/>
      <c r="AC469" s="111" t="s">
        <v>940</v>
      </c>
    </row>
    <row r="470" spans="1:32" customFormat="1" ht="20.100000000000001" customHeight="1">
      <c r="A470" s="95"/>
      <c r="B470" s="105"/>
      <c r="C470" s="278" t="s">
        <v>653</v>
      </c>
      <c r="D470" s="278"/>
      <c r="E470" s="278"/>
      <c r="F470" s="278"/>
      <c r="G470" s="137" t="s">
        <v>656</v>
      </c>
      <c r="H470" s="29"/>
      <c r="I470" s="29"/>
      <c r="J470" s="29"/>
      <c r="K470" s="29"/>
      <c r="L470" s="29"/>
      <c r="M470" s="29"/>
      <c r="N470" s="29"/>
      <c r="O470" s="29"/>
      <c r="P470" s="29"/>
      <c r="Q470" s="29"/>
      <c r="R470" s="29"/>
      <c r="S470" s="29"/>
      <c r="T470" s="29"/>
      <c r="U470" s="29"/>
      <c r="V470" s="29"/>
      <c r="W470" s="29"/>
      <c r="X470" s="29"/>
      <c r="Y470" s="29"/>
      <c r="Z470" s="29"/>
      <c r="AA470" s="30"/>
      <c r="AB470" s="99"/>
      <c r="AC470" s="111"/>
      <c r="AE470" s="112"/>
    </row>
    <row r="471" spans="1:32" ht="18" customHeight="1">
      <c r="A471" s="98"/>
      <c r="B471" s="95"/>
      <c r="C471" s="278" t="s">
        <v>417</v>
      </c>
      <c r="D471" s="278"/>
      <c r="E471" s="278"/>
      <c r="F471" s="278"/>
      <c r="G471" s="137" t="s">
        <v>430</v>
      </c>
      <c r="H471" s="29"/>
      <c r="I471" s="29"/>
      <c r="J471" s="29"/>
      <c r="K471" s="29"/>
      <c r="L471" s="29"/>
      <c r="M471" s="29"/>
      <c r="N471" s="29"/>
      <c r="O471" s="29"/>
      <c r="P471" s="29"/>
      <c r="Q471" s="29"/>
      <c r="R471" s="29"/>
      <c r="S471" s="29"/>
      <c r="T471" s="29"/>
      <c r="U471" s="29"/>
      <c r="V471" s="29"/>
      <c r="W471" s="29"/>
      <c r="X471" s="29"/>
      <c r="Y471" s="29"/>
      <c r="Z471" s="29"/>
      <c r="AA471" s="30"/>
      <c r="AB471" s="99"/>
      <c r="AC471" s="111"/>
      <c r="AD471" s="67"/>
      <c r="AF471" s="27"/>
    </row>
    <row r="472" spans="1:32" ht="18" customHeight="1">
      <c r="A472" s="98"/>
      <c r="B472" s="95"/>
      <c r="C472" s="278">
        <v>1</v>
      </c>
      <c r="D472" s="278"/>
      <c r="E472" s="100" t="s">
        <v>274</v>
      </c>
      <c r="F472" s="138"/>
      <c r="G472" s="125"/>
      <c r="H472" s="125"/>
      <c r="I472" s="125"/>
      <c r="J472" s="125"/>
      <c r="K472" s="30"/>
      <c r="L472" s="100" t="s">
        <v>892</v>
      </c>
      <c r="M472" s="29"/>
      <c r="N472" s="29"/>
      <c r="O472" s="29"/>
      <c r="P472" s="29"/>
      <c r="Q472" s="29"/>
      <c r="R472" s="29"/>
      <c r="S472" s="29"/>
      <c r="T472" s="29"/>
      <c r="U472" s="29"/>
      <c r="V472" s="29"/>
      <c r="W472" s="29"/>
      <c r="X472" s="29"/>
      <c r="Y472" s="29"/>
      <c r="Z472" s="29"/>
      <c r="AA472" s="30"/>
      <c r="AB472" s="99"/>
      <c r="AC472" s="111"/>
    </row>
    <row r="473" spans="1:32" ht="18" customHeight="1">
      <c r="A473" s="98"/>
      <c r="B473" s="95"/>
      <c r="C473" s="278">
        <f>COUNTA($C$471:D472)</f>
        <v>2</v>
      </c>
      <c r="D473" s="278"/>
      <c r="E473" s="100" t="s">
        <v>869</v>
      </c>
      <c r="F473" s="138"/>
      <c r="G473" s="125"/>
      <c r="H473" s="125"/>
      <c r="I473" s="125"/>
      <c r="J473" s="125"/>
      <c r="K473" s="30"/>
      <c r="L473" s="100" t="s">
        <v>265</v>
      </c>
      <c r="M473" s="29"/>
      <c r="N473" s="29"/>
      <c r="O473" s="29"/>
      <c r="P473" s="29"/>
      <c r="Q473" s="29"/>
      <c r="R473" s="29"/>
      <c r="S473" s="29"/>
      <c r="T473" s="29"/>
      <c r="U473" s="29"/>
      <c r="V473" s="29"/>
      <c r="W473" s="29"/>
      <c r="X473" s="29"/>
      <c r="Y473" s="29"/>
      <c r="Z473" s="29"/>
      <c r="AA473" s="30"/>
      <c r="AB473" s="99"/>
      <c r="AC473" s="111"/>
      <c r="AD473" s="27" t="e">
        <f>""""&amp;#REF!&amp;""":""example"&amp;#REF!&amp;"""},"</f>
        <v>#REF!</v>
      </c>
    </row>
    <row r="474" spans="1:32" ht="18" customHeight="1">
      <c r="A474" s="98"/>
      <c r="B474" s="95"/>
      <c r="C474" s="278">
        <f>COUNTA($C$471:D473)</f>
        <v>3</v>
      </c>
      <c r="D474" s="278"/>
      <c r="E474" s="100" t="s">
        <v>134</v>
      </c>
      <c r="F474" s="125"/>
      <c r="G474" s="125"/>
      <c r="H474" s="125"/>
      <c r="I474" s="125"/>
      <c r="J474" s="125"/>
      <c r="K474" s="30"/>
      <c r="L474" s="100" t="s">
        <v>873</v>
      </c>
      <c r="M474" s="29"/>
      <c r="N474" s="29"/>
      <c r="O474" s="29"/>
      <c r="P474" s="29"/>
      <c r="Q474" s="29"/>
      <c r="R474" s="29"/>
      <c r="S474" s="29"/>
      <c r="T474" s="29"/>
      <c r="U474" s="29"/>
      <c r="V474" s="29"/>
      <c r="W474" s="29"/>
      <c r="X474" s="29"/>
      <c r="Y474" s="29"/>
      <c r="Z474" s="29"/>
      <c r="AA474" s="30"/>
      <c r="AB474" s="99"/>
      <c r="AC474" s="111" t="s">
        <v>874</v>
      </c>
      <c r="AD474" s="27" t="e">
        <f>""""&amp;#REF!&amp;""":""example"&amp;#REF!&amp;"""},"</f>
        <v>#REF!</v>
      </c>
    </row>
    <row r="475" spans="1:32" ht="18" customHeight="1">
      <c r="A475" s="98"/>
      <c r="B475" s="95"/>
      <c r="C475" s="278">
        <f>COUNTA($C$471:D474)</f>
        <v>4</v>
      </c>
      <c r="D475" s="278"/>
      <c r="E475" s="100" t="s">
        <v>366</v>
      </c>
      <c r="F475" s="138"/>
      <c r="G475" s="125"/>
      <c r="H475" s="125"/>
      <c r="I475" s="125"/>
      <c r="J475" s="125"/>
      <c r="K475" s="30"/>
      <c r="L475" s="100" t="s">
        <v>978</v>
      </c>
      <c r="M475" s="29"/>
      <c r="N475" s="29"/>
      <c r="O475" s="29"/>
      <c r="P475" s="29"/>
      <c r="Q475" s="29"/>
      <c r="R475" s="29"/>
      <c r="S475" s="29"/>
      <c r="T475" s="29"/>
      <c r="U475" s="29"/>
      <c r="V475" s="29"/>
      <c r="W475" s="29"/>
      <c r="X475" s="29"/>
      <c r="Y475" s="29"/>
      <c r="Z475" s="29"/>
      <c r="AA475" s="30"/>
      <c r="AB475" s="99"/>
      <c r="AC475" s="111" t="s">
        <v>940</v>
      </c>
      <c r="AD475" s="27" t="e">
        <f>""""&amp;#REF!&amp;""":""example"&amp;#REF!&amp;"""},"</f>
        <v>#REF!</v>
      </c>
    </row>
    <row r="476" spans="1:32" ht="36" customHeight="1">
      <c r="A476" s="98"/>
      <c r="B476" s="95"/>
      <c r="C476" s="278">
        <f>COUNTA($C$471:D475)</f>
        <v>5</v>
      </c>
      <c r="D476" s="278"/>
      <c r="E476" s="100" t="s">
        <v>282</v>
      </c>
      <c r="F476" s="125"/>
      <c r="G476" s="125"/>
      <c r="H476" s="125"/>
      <c r="I476" s="125"/>
      <c r="J476" s="125"/>
      <c r="K476" s="30"/>
      <c r="L476" s="320" t="s">
        <v>985</v>
      </c>
      <c r="M476" s="376"/>
      <c r="N476" s="376"/>
      <c r="O476" s="376"/>
      <c r="P476" s="376"/>
      <c r="Q476" s="376"/>
      <c r="R476" s="376"/>
      <c r="S476" s="376"/>
      <c r="T476" s="376"/>
      <c r="U476" s="376"/>
      <c r="V476" s="376"/>
      <c r="W476" s="376"/>
      <c r="X476" s="376"/>
      <c r="Y476" s="376"/>
      <c r="Z476" s="376"/>
      <c r="AA476" s="377"/>
      <c r="AB476" s="99"/>
      <c r="AC476" s="111"/>
      <c r="AD476" s="27" t="e">
        <f>""""&amp;#REF!&amp;""":""example"&amp;#REF!&amp;"""},"</f>
        <v>#REF!</v>
      </c>
    </row>
    <row r="477" spans="1:32" ht="18" customHeight="1">
      <c r="A477" s="98"/>
      <c r="B477" s="95"/>
      <c r="C477" s="278">
        <f>COUNTA($C$471:D476)</f>
        <v>6</v>
      </c>
      <c r="D477" s="278"/>
      <c r="E477" s="100" t="s">
        <v>427</v>
      </c>
      <c r="F477" s="138"/>
      <c r="G477" s="125"/>
      <c r="H477" s="125"/>
      <c r="I477" s="125"/>
      <c r="J477" s="125"/>
      <c r="K477" s="30"/>
      <c r="L477" s="100" t="s">
        <v>895</v>
      </c>
      <c r="M477" s="29"/>
      <c r="N477" s="29"/>
      <c r="O477" s="29"/>
      <c r="P477" s="29"/>
      <c r="Q477" s="29"/>
      <c r="R477" s="29"/>
      <c r="S477" s="29"/>
      <c r="T477" s="29"/>
      <c r="U477" s="29"/>
      <c r="V477" s="29"/>
      <c r="W477" s="29"/>
      <c r="X477" s="29"/>
      <c r="Y477" s="29"/>
      <c r="Z477" s="29"/>
      <c r="AA477" s="30"/>
      <c r="AB477" s="99"/>
      <c r="AC477" s="111"/>
      <c r="AD477" s="27" t="e">
        <f>""""&amp;#REF!&amp;""":""example"&amp;#REF!&amp;"""},"</f>
        <v>#REF!</v>
      </c>
    </row>
    <row r="478" spans="1:32" ht="18" customHeight="1">
      <c r="A478" s="98"/>
      <c r="B478" s="95"/>
      <c r="C478" s="278">
        <f>COUNTA($C$471:D477)</f>
        <v>7</v>
      </c>
      <c r="D478" s="278"/>
      <c r="E478" s="100" t="s">
        <v>192</v>
      </c>
      <c r="F478" s="125"/>
      <c r="G478" s="125"/>
      <c r="H478" s="125"/>
      <c r="I478" s="125"/>
      <c r="J478" s="125"/>
      <c r="K478" s="30"/>
      <c r="L478" s="100" t="s">
        <v>913</v>
      </c>
      <c r="M478" s="29"/>
      <c r="N478" s="29"/>
      <c r="O478" s="29"/>
      <c r="P478" s="29"/>
      <c r="Q478" s="29"/>
      <c r="R478" s="29"/>
      <c r="S478" s="29"/>
      <c r="T478" s="29"/>
      <c r="U478" s="29"/>
      <c r="V478" s="29"/>
      <c r="W478" s="29"/>
      <c r="X478" s="29"/>
      <c r="Y478" s="29"/>
      <c r="Z478" s="29"/>
      <c r="AA478" s="30"/>
      <c r="AB478" s="99"/>
      <c r="AC478" s="111"/>
      <c r="AD478" s="27" t="e">
        <f>""""&amp;#REF!&amp;""":""example"&amp;#REF!&amp;"""},"</f>
        <v>#REF!</v>
      </c>
    </row>
    <row r="479" spans="1:32" ht="18" customHeight="1">
      <c r="A479" s="98"/>
      <c r="B479" s="95"/>
      <c r="C479" s="96"/>
      <c r="D479" s="96"/>
      <c r="E479" s="95"/>
      <c r="F479" s="121"/>
      <c r="G479" s="121"/>
      <c r="H479" s="121"/>
      <c r="I479" s="121"/>
      <c r="J479" s="95"/>
      <c r="K479" s="95"/>
      <c r="L479" s="95"/>
      <c r="M479" s="95"/>
      <c r="N479" s="95"/>
      <c r="O479" s="95"/>
      <c r="P479" s="95"/>
      <c r="Q479" s="95"/>
      <c r="R479" s="95"/>
      <c r="S479" s="95"/>
      <c r="T479" s="95"/>
      <c r="U479" s="95"/>
      <c r="V479" s="95"/>
      <c r="W479" s="95"/>
      <c r="X479" s="95"/>
      <c r="Y479" s="95"/>
      <c r="Z479" s="95"/>
      <c r="AA479" s="95"/>
      <c r="AB479" s="99"/>
      <c r="AC479" s="111"/>
      <c r="AD479" s="27" t="e">
        <f>""""&amp;#REF!&amp;""":""example"&amp;#REF!&amp;""","</f>
        <v>#REF!</v>
      </c>
    </row>
    <row r="480" spans="1:32" s="95" customFormat="1" ht="18" customHeight="1">
      <c r="A480" s="98"/>
      <c r="C480" s="122" t="s">
        <v>904</v>
      </c>
      <c r="D480" s="96"/>
      <c r="E480" s="121"/>
      <c r="F480" s="96"/>
      <c r="G480" s="96"/>
      <c r="H480" s="96"/>
      <c r="I480" s="96"/>
      <c r="J480" s="96"/>
      <c r="K480" s="96"/>
      <c r="L480" s="96"/>
      <c r="M480" s="96"/>
      <c r="N480" s="96"/>
      <c r="O480" s="96"/>
      <c r="P480" s="96"/>
      <c r="Q480" s="96"/>
      <c r="R480" s="96"/>
      <c r="S480" s="96"/>
      <c r="T480" s="96"/>
      <c r="U480" s="96"/>
      <c r="V480" s="96"/>
      <c r="W480" s="96"/>
      <c r="X480" s="96"/>
      <c r="Y480" s="96"/>
      <c r="Z480" s="96"/>
      <c r="AA480" s="96"/>
      <c r="AB480" s="99"/>
      <c r="AC480" s="111"/>
      <c r="AD480" s="97"/>
    </row>
    <row r="481" spans="1:32" s="95" customFormat="1" ht="18" customHeight="1">
      <c r="A481" s="98"/>
      <c r="C481" s="343" t="s">
        <v>7</v>
      </c>
      <c r="D481" s="343"/>
      <c r="E481" s="343" t="s">
        <v>9</v>
      </c>
      <c r="F481" s="344"/>
      <c r="G481" s="344"/>
      <c r="H481" s="344"/>
      <c r="I481" s="344"/>
      <c r="J481" s="344"/>
      <c r="K481" s="345"/>
      <c r="L481" s="379" t="s">
        <v>18</v>
      </c>
      <c r="M481" s="380"/>
      <c r="N481" s="380"/>
      <c r="O481" s="380"/>
      <c r="P481" s="380"/>
      <c r="Q481" s="380"/>
      <c r="R481" s="380"/>
      <c r="S481" s="380"/>
      <c r="T481" s="380"/>
      <c r="U481" s="380"/>
      <c r="V481" s="380"/>
      <c r="W481" s="380"/>
      <c r="X481" s="380"/>
      <c r="Y481" s="380"/>
      <c r="Z481" s="380"/>
      <c r="AA481" s="381"/>
      <c r="AB481" s="99"/>
      <c r="AC481" s="111"/>
      <c r="AD481" s="97"/>
    </row>
    <row r="482" spans="1:32" s="95" customFormat="1" ht="18" customHeight="1">
      <c r="A482" s="98"/>
      <c r="C482" s="278">
        <v>1</v>
      </c>
      <c r="D482" s="278"/>
      <c r="E482" s="100" t="s">
        <v>627</v>
      </c>
      <c r="F482" s="29"/>
      <c r="G482" s="29"/>
      <c r="H482" s="29"/>
      <c r="I482" s="29"/>
      <c r="J482" s="29"/>
      <c r="K482" s="29"/>
      <c r="L482" s="100"/>
      <c r="M482" s="29"/>
      <c r="N482" s="29"/>
      <c r="O482" s="29"/>
      <c r="P482" s="29"/>
      <c r="Q482" s="29"/>
      <c r="R482" s="29"/>
      <c r="S482" s="29"/>
      <c r="T482" s="29"/>
      <c r="U482" s="29"/>
      <c r="V482" s="29"/>
      <c r="W482" s="29"/>
      <c r="X482" s="29"/>
      <c r="Y482" s="29"/>
      <c r="Z482" s="29"/>
      <c r="AA482" s="30"/>
      <c r="AB482" s="99"/>
      <c r="AC482" s="111"/>
      <c r="AD482" s="97"/>
    </row>
    <row r="483" spans="1:32" s="95" customFormat="1" ht="18" customHeight="1">
      <c r="A483" s="98"/>
      <c r="C483" s="278">
        <v>2</v>
      </c>
      <c r="D483" s="278"/>
      <c r="E483" s="100"/>
      <c r="F483" s="29" t="s">
        <v>284</v>
      </c>
      <c r="G483" s="29"/>
      <c r="H483" s="29"/>
      <c r="I483" s="29"/>
      <c r="J483" s="29"/>
      <c r="K483" s="29"/>
      <c r="L483" s="100" t="s">
        <v>905</v>
      </c>
      <c r="M483" s="29"/>
      <c r="N483" s="29"/>
      <c r="O483" s="29"/>
      <c r="P483" s="29"/>
      <c r="Q483" s="29"/>
      <c r="R483" s="29"/>
      <c r="S483" s="29"/>
      <c r="T483" s="29"/>
      <c r="U483" s="29"/>
      <c r="V483" s="29"/>
      <c r="W483" s="29"/>
      <c r="X483" s="29"/>
      <c r="Y483" s="29"/>
      <c r="Z483" s="29"/>
      <c r="AA483" s="30"/>
      <c r="AB483" s="99"/>
      <c r="AC483" s="111"/>
      <c r="AD483" s="97"/>
    </row>
    <row r="484" spans="1:32" s="95" customFormat="1" ht="18" customHeight="1">
      <c r="A484" s="98"/>
      <c r="C484" s="278">
        <v>3</v>
      </c>
      <c r="D484" s="278"/>
      <c r="E484" s="100"/>
      <c r="F484" s="29" t="s">
        <v>366</v>
      </c>
      <c r="G484" s="29"/>
      <c r="H484" s="29"/>
      <c r="I484" s="29"/>
      <c r="J484" s="29"/>
      <c r="K484" s="29"/>
      <c r="L484" s="100" t="s">
        <v>916</v>
      </c>
      <c r="M484" s="29"/>
      <c r="N484" s="29"/>
      <c r="O484" s="29"/>
      <c r="P484" s="29"/>
      <c r="Q484" s="29"/>
      <c r="R484" s="29"/>
      <c r="S484" s="29"/>
      <c r="T484" s="29"/>
      <c r="U484" s="29"/>
      <c r="V484" s="29"/>
      <c r="W484" s="29"/>
      <c r="X484" s="29"/>
      <c r="Y484" s="29"/>
      <c r="Z484" s="29"/>
      <c r="AA484" s="30"/>
      <c r="AB484" s="99"/>
      <c r="AC484" s="111"/>
      <c r="AD484" s="97"/>
    </row>
    <row r="485" spans="1:32" s="95" customFormat="1" ht="18" customHeight="1">
      <c r="A485" s="98"/>
      <c r="C485" s="96"/>
      <c r="D485" s="96"/>
      <c r="E485" s="96"/>
      <c r="F485" s="96"/>
      <c r="G485" s="121"/>
      <c r="H485" s="121"/>
      <c r="I485" s="121"/>
      <c r="J485" s="121"/>
      <c r="K485" s="121"/>
      <c r="L485" s="121"/>
      <c r="M485" s="121"/>
      <c r="N485" s="121"/>
      <c r="O485" s="121"/>
      <c r="P485" s="121"/>
      <c r="Q485" s="121"/>
      <c r="R485" s="121"/>
      <c r="S485" s="121"/>
      <c r="T485" s="121"/>
      <c r="U485" s="121"/>
      <c r="V485" s="121"/>
      <c r="W485" s="121"/>
      <c r="X485" s="121"/>
      <c r="Y485" s="121"/>
      <c r="Z485" s="121"/>
      <c r="AA485" s="121"/>
      <c r="AB485" s="99"/>
      <c r="AC485" s="111"/>
      <c r="AD485" s="97"/>
      <c r="AF485" s="120"/>
    </row>
    <row r="486" spans="1:32" s="95" customFormat="1" ht="18" customHeight="1">
      <c r="A486" s="98"/>
      <c r="B486" s="143" t="s">
        <v>914</v>
      </c>
      <c r="C486" s="105"/>
      <c r="AB486" s="99"/>
      <c r="AC486" s="111"/>
      <c r="AD486" s="97"/>
    </row>
    <row r="487" spans="1:32" s="95" customFormat="1" ht="18" customHeight="1">
      <c r="A487" s="98"/>
      <c r="C487" s="319" t="s">
        <v>483</v>
      </c>
      <c r="D487" s="319"/>
      <c r="E487" s="319"/>
      <c r="F487" s="319"/>
      <c r="G487" s="100" t="s">
        <v>915</v>
      </c>
      <c r="H487" s="29"/>
      <c r="I487" s="29"/>
      <c r="J487" s="29"/>
      <c r="K487" s="29"/>
      <c r="L487" s="29"/>
      <c r="M487" s="29"/>
      <c r="N487" s="29"/>
      <c r="O487" s="29"/>
      <c r="P487" s="29"/>
      <c r="Q487" s="29"/>
      <c r="R487" s="29"/>
      <c r="S487" s="29"/>
      <c r="T487" s="29"/>
      <c r="U487" s="29"/>
      <c r="V487" s="29"/>
      <c r="W487" s="29"/>
      <c r="X487" s="29"/>
      <c r="Y487" s="29"/>
      <c r="Z487" s="29"/>
      <c r="AA487" s="30"/>
      <c r="AB487" s="99"/>
      <c r="AC487" s="111"/>
      <c r="AD487" s="97"/>
    </row>
    <row r="488" spans="1:32" s="95" customFormat="1" ht="18" customHeight="1">
      <c r="A488" s="98"/>
      <c r="C488" s="340" t="s">
        <v>637</v>
      </c>
      <c r="D488" s="341"/>
      <c r="E488" s="341"/>
      <c r="F488" s="342"/>
      <c r="G488" s="100" t="s">
        <v>917</v>
      </c>
      <c r="H488" s="29"/>
      <c r="I488" s="29"/>
      <c r="J488" s="29"/>
      <c r="K488" s="29"/>
      <c r="L488" s="29"/>
      <c r="M488" s="29"/>
      <c r="N488" s="29"/>
      <c r="O488" s="29"/>
      <c r="P488" s="29"/>
      <c r="Q488" s="29"/>
      <c r="R488" s="29"/>
      <c r="S488" s="29"/>
      <c r="T488" s="29"/>
      <c r="U488" s="29"/>
      <c r="V488" s="29"/>
      <c r="W488" s="29"/>
      <c r="X488" s="29"/>
      <c r="Y488" s="29"/>
      <c r="Z488" s="29"/>
      <c r="AA488" s="30"/>
      <c r="AB488" s="99"/>
      <c r="AC488" s="111"/>
      <c r="AD488" s="97"/>
    </row>
    <row r="489" spans="1:32" s="95" customFormat="1" ht="18" customHeight="1">
      <c r="A489" s="98"/>
      <c r="C489" s="323" t="s">
        <v>35</v>
      </c>
      <c r="D489" s="324"/>
      <c r="E489" s="324"/>
      <c r="F489" s="325"/>
      <c r="G489" s="100" t="s">
        <v>922</v>
      </c>
      <c r="H489" s="29"/>
      <c r="I489" s="29"/>
      <c r="J489" s="29"/>
      <c r="K489" s="29"/>
      <c r="L489" s="29"/>
      <c r="M489" s="29"/>
      <c r="N489" s="29"/>
      <c r="O489" s="29"/>
      <c r="P489" s="29"/>
      <c r="Q489" s="29"/>
      <c r="R489" s="29"/>
      <c r="S489" s="29"/>
      <c r="T489" s="29"/>
      <c r="U489" s="29"/>
      <c r="V489" s="29"/>
      <c r="W489" s="29"/>
      <c r="X489" s="29"/>
      <c r="Y489" s="29"/>
      <c r="Z489" s="29"/>
      <c r="AA489" s="30"/>
      <c r="AB489" s="99"/>
      <c r="AC489" s="111"/>
      <c r="AD489" s="97"/>
    </row>
    <row r="490" spans="1:32" s="95" customFormat="1" ht="18" customHeight="1">
      <c r="A490" s="98"/>
      <c r="C490" s="326"/>
      <c r="D490" s="327"/>
      <c r="E490" s="327"/>
      <c r="F490" s="328"/>
      <c r="G490" s="100" t="s">
        <v>921</v>
      </c>
      <c r="H490" s="29"/>
      <c r="I490" s="29"/>
      <c r="J490" s="29"/>
      <c r="K490" s="29"/>
      <c r="L490" s="29"/>
      <c r="M490" s="29"/>
      <c r="N490" s="29"/>
      <c r="O490" s="29"/>
      <c r="P490" s="29"/>
      <c r="Q490" s="29"/>
      <c r="R490" s="29"/>
      <c r="S490" s="29"/>
      <c r="T490" s="29"/>
      <c r="U490" s="29"/>
      <c r="V490" s="29"/>
      <c r="W490" s="29"/>
      <c r="X490" s="29"/>
      <c r="Y490" s="29"/>
      <c r="Z490" s="29"/>
      <c r="AA490" s="30"/>
      <c r="AB490" s="99"/>
      <c r="AC490" s="111"/>
      <c r="AD490" s="97"/>
      <c r="AF490" s="120"/>
    </row>
    <row r="491" spans="1:32" s="95" customFormat="1" ht="18" customHeight="1">
      <c r="A491" s="98"/>
      <c r="C491" s="326"/>
      <c r="D491" s="327"/>
      <c r="E491" s="327"/>
      <c r="F491" s="328"/>
      <c r="G491" s="100" t="s">
        <v>918</v>
      </c>
      <c r="H491" s="29"/>
      <c r="I491" s="29"/>
      <c r="J491" s="29"/>
      <c r="K491" s="29"/>
      <c r="L491" s="29"/>
      <c r="M491" s="29"/>
      <c r="N491" s="29"/>
      <c r="O491" s="29"/>
      <c r="P491" s="29"/>
      <c r="Q491" s="29"/>
      <c r="R491" s="29"/>
      <c r="S491" s="29"/>
      <c r="T491" s="29"/>
      <c r="U491" s="29"/>
      <c r="V491" s="29"/>
      <c r="W491" s="29"/>
      <c r="X491" s="29"/>
      <c r="Y491" s="29"/>
      <c r="Z491" s="29"/>
      <c r="AA491" s="30"/>
      <c r="AB491" s="99"/>
      <c r="AC491" s="111"/>
      <c r="AD491" s="97"/>
      <c r="AF491" s="120"/>
    </row>
    <row r="492" spans="1:32" s="95" customFormat="1" ht="18" customHeight="1">
      <c r="A492" s="98"/>
      <c r="C492" s="329"/>
      <c r="D492" s="330"/>
      <c r="E492" s="330"/>
      <c r="F492" s="331"/>
      <c r="G492" s="100" t="s">
        <v>919</v>
      </c>
      <c r="H492" s="29"/>
      <c r="I492" s="29"/>
      <c r="J492" s="29"/>
      <c r="K492" s="29"/>
      <c r="L492" s="29"/>
      <c r="M492" s="29"/>
      <c r="N492" s="29"/>
      <c r="O492" s="29"/>
      <c r="P492" s="29"/>
      <c r="Q492" s="29"/>
      <c r="R492" s="29"/>
      <c r="S492" s="29"/>
      <c r="T492" s="29"/>
      <c r="U492" s="29"/>
      <c r="V492" s="29"/>
      <c r="W492" s="29"/>
      <c r="X492" s="29"/>
      <c r="Y492" s="29"/>
      <c r="Z492" s="29"/>
      <c r="AA492" s="30"/>
      <c r="AB492" s="99"/>
      <c r="AC492" s="111"/>
      <c r="AD492" s="97"/>
      <c r="AF492" s="120"/>
    </row>
    <row r="493" spans="1:32" s="95" customFormat="1" ht="18" customHeight="1">
      <c r="A493" s="98"/>
      <c r="C493" s="340" t="s">
        <v>640</v>
      </c>
      <c r="D493" s="341"/>
      <c r="E493" s="341"/>
      <c r="F493" s="342"/>
      <c r="G493" s="100" t="s">
        <v>920</v>
      </c>
      <c r="H493" s="29"/>
      <c r="I493" s="29"/>
      <c r="J493" s="29"/>
      <c r="K493" s="29"/>
      <c r="L493" s="29"/>
      <c r="M493" s="29"/>
      <c r="N493" s="29"/>
      <c r="O493" s="29"/>
      <c r="P493" s="29"/>
      <c r="Q493" s="29"/>
      <c r="R493" s="29"/>
      <c r="S493" s="29"/>
      <c r="T493" s="29"/>
      <c r="U493" s="29"/>
      <c r="V493" s="29"/>
      <c r="W493" s="29"/>
      <c r="X493" s="29"/>
      <c r="Y493" s="29"/>
      <c r="Z493" s="29"/>
      <c r="AA493" s="30"/>
      <c r="AB493" s="99"/>
      <c r="AC493" s="111"/>
      <c r="AD493" s="97"/>
    </row>
    <row r="494" spans="1:32" s="95" customFormat="1" ht="18" customHeight="1">
      <c r="A494" s="98"/>
      <c r="C494" s="96"/>
      <c r="D494" s="96"/>
      <c r="E494" s="96"/>
      <c r="F494" s="96"/>
      <c r="G494" s="121"/>
      <c r="H494" s="121"/>
      <c r="I494" s="121"/>
      <c r="J494" s="121"/>
      <c r="K494" s="121"/>
      <c r="L494" s="121"/>
      <c r="M494" s="121"/>
      <c r="N494" s="121"/>
      <c r="O494" s="121"/>
      <c r="P494" s="121"/>
      <c r="Q494" s="121"/>
      <c r="R494" s="121"/>
      <c r="S494" s="121"/>
      <c r="T494" s="121"/>
      <c r="U494" s="121"/>
      <c r="V494" s="121"/>
      <c r="W494" s="121"/>
      <c r="X494" s="121"/>
      <c r="Y494" s="121"/>
      <c r="Z494" s="121"/>
      <c r="AA494" s="121"/>
      <c r="AB494" s="99"/>
      <c r="AC494" s="111"/>
      <c r="AD494" s="97"/>
      <c r="AF494" s="120"/>
    </row>
    <row r="495" spans="1:32" s="95" customFormat="1" ht="18" customHeight="1">
      <c r="A495" s="98"/>
      <c r="C495" s="122" t="s">
        <v>924</v>
      </c>
      <c r="D495" s="96"/>
      <c r="E495" s="121"/>
      <c r="F495" s="96"/>
      <c r="G495" s="96"/>
      <c r="H495" s="96"/>
      <c r="I495" s="96"/>
      <c r="J495" s="96"/>
      <c r="K495" s="96"/>
      <c r="L495" s="96"/>
      <c r="M495" s="96"/>
      <c r="N495" s="96"/>
      <c r="O495" s="96"/>
      <c r="P495" s="96"/>
      <c r="Q495" s="96"/>
      <c r="R495" s="96"/>
      <c r="S495" s="96"/>
      <c r="T495" s="96"/>
      <c r="U495" s="96"/>
      <c r="V495" s="96"/>
      <c r="W495" s="96"/>
      <c r="X495" s="96"/>
      <c r="Y495" s="96"/>
      <c r="Z495" s="96"/>
      <c r="AA495" s="96"/>
      <c r="AB495" s="99"/>
      <c r="AC495" s="111"/>
      <c r="AD495" s="97"/>
    </row>
    <row r="496" spans="1:32" s="95" customFormat="1" ht="18" customHeight="1">
      <c r="A496" s="98"/>
      <c r="C496" s="343" t="s">
        <v>7</v>
      </c>
      <c r="D496" s="343"/>
      <c r="E496" s="343" t="s">
        <v>9</v>
      </c>
      <c r="F496" s="344"/>
      <c r="G496" s="344"/>
      <c r="H496" s="344"/>
      <c r="I496" s="344"/>
      <c r="J496" s="344"/>
      <c r="K496" s="345"/>
      <c r="L496" s="379" t="s">
        <v>18</v>
      </c>
      <c r="M496" s="380"/>
      <c r="N496" s="380"/>
      <c r="O496" s="380"/>
      <c r="P496" s="380"/>
      <c r="Q496" s="380"/>
      <c r="R496" s="380"/>
      <c r="S496" s="380"/>
      <c r="T496" s="380"/>
      <c r="U496" s="380"/>
      <c r="V496" s="380"/>
      <c r="W496" s="380"/>
      <c r="X496" s="380"/>
      <c r="Y496" s="380"/>
      <c r="Z496" s="380"/>
      <c r="AA496" s="381"/>
      <c r="AB496" s="99"/>
      <c r="AC496" s="111"/>
      <c r="AD496" s="97"/>
    </row>
    <row r="497" spans="1:32" s="95" customFormat="1" ht="18" customHeight="1">
      <c r="A497" s="98"/>
      <c r="C497" s="278">
        <v>1</v>
      </c>
      <c r="D497" s="278"/>
      <c r="E497" s="100" t="s">
        <v>286</v>
      </c>
      <c r="F497" s="29"/>
      <c r="G497" s="29"/>
      <c r="H497" s="29"/>
      <c r="I497" s="29"/>
      <c r="J497" s="29"/>
      <c r="K497" s="29"/>
      <c r="L497" s="100" t="s">
        <v>926</v>
      </c>
      <c r="M497" s="29"/>
      <c r="N497" s="29"/>
      <c r="O497" s="29"/>
      <c r="P497" s="29"/>
      <c r="Q497" s="29"/>
      <c r="R497" s="29"/>
      <c r="S497" s="29"/>
      <c r="T497" s="29"/>
      <c r="U497" s="29"/>
      <c r="V497" s="29"/>
      <c r="W497" s="29"/>
      <c r="X497" s="29"/>
      <c r="Y497" s="29"/>
      <c r="Z497" s="29"/>
      <c r="AA497" s="30"/>
      <c r="AB497" s="99"/>
      <c r="AC497" s="111"/>
      <c r="AD497" s="97"/>
    </row>
    <row r="498" spans="1:32" s="95" customFormat="1" ht="18" customHeight="1">
      <c r="A498" s="98"/>
      <c r="C498" s="278">
        <v>2</v>
      </c>
      <c r="D498" s="278"/>
      <c r="E498" s="100" t="s">
        <v>923</v>
      </c>
      <c r="F498" s="29"/>
      <c r="G498" s="29"/>
      <c r="H498" s="29"/>
      <c r="I498" s="29"/>
      <c r="J498" s="29"/>
      <c r="K498" s="29"/>
      <c r="L498" s="100" t="s">
        <v>927</v>
      </c>
      <c r="M498" s="29"/>
      <c r="N498" s="29"/>
      <c r="O498" s="29"/>
      <c r="P498" s="29"/>
      <c r="Q498" s="29"/>
      <c r="R498" s="29"/>
      <c r="S498" s="29"/>
      <c r="T498" s="29"/>
      <c r="U498" s="29"/>
      <c r="V498" s="29"/>
      <c r="W498" s="29"/>
      <c r="X498" s="29"/>
      <c r="Y498" s="29"/>
      <c r="Z498" s="29"/>
      <c r="AA498" s="30"/>
      <c r="AB498" s="99"/>
      <c r="AC498" s="111"/>
      <c r="AD498" s="97"/>
    </row>
    <row r="499" spans="1:32" s="95" customFormat="1" ht="18" customHeight="1">
      <c r="A499" s="98"/>
      <c r="C499" s="96"/>
      <c r="D499" s="96"/>
      <c r="AB499" s="99"/>
      <c r="AC499" s="111"/>
      <c r="AD499" s="97"/>
      <c r="AE499" s="123"/>
      <c r="AF499" s="120"/>
    </row>
    <row r="500" spans="1:32" ht="18" customHeight="1">
      <c r="A500" s="98"/>
      <c r="B500" s="142" t="s">
        <v>925</v>
      </c>
      <c r="C500" s="95"/>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9"/>
      <c r="AC500" s="111" t="s">
        <v>940</v>
      </c>
    </row>
    <row r="501" spans="1:32" ht="18" customHeight="1">
      <c r="A501" s="95"/>
      <c r="B501" s="378" t="s">
        <v>997</v>
      </c>
      <c r="C501" s="378"/>
      <c r="D501" s="378"/>
      <c r="E501" s="378"/>
      <c r="F501" s="378"/>
      <c r="G501" s="378"/>
      <c r="H501" s="378"/>
      <c r="I501" s="378"/>
      <c r="J501" s="378"/>
      <c r="K501" s="378"/>
      <c r="L501" s="378"/>
      <c r="M501" s="378"/>
      <c r="N501" s="378"/>
      <c r="O501" s="378"/>
      <c r="P501" s="378"/>
      <c r="Q501" s="378"/>
      <c r="R501" s="378"/>
      <c r="S501" s="378"/>
      <c r="T501" s="378"/>
      <c r="U501" s="378"/>
      <c r="V501" s="378"/>
      <c r="W501" s="378"/>
      <c r="X501" s="378"/>
      <c r="Y501" s="378"/>
      <c r="Z501" s="378"/>
      <c r="AA501" s="378"/>
      <c r="AB501" s="75"/>
      <c r="AC501" s="111" t="s">
        <v>940</v>
      </c>
    </row>
    <row r="502" spans="1:32" ht="18" customHeight="1">
      <c r="A502" s="95"/>
      <c r="B502" s="146"/>
      <c r="C502" s="136" t="s">
        <v>980</v>
      </c>
      <c r="D502" s="147"/>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6"/>
      <c r="AA502" s="146"/>
      <c r="AB502" s="148"/>
      <c r="AC502" s="111" t="s">
        <v>940</v>
      </c>
    </row>
    <row r="503" spans="1:32" ht="18" customHeight="1">
      <c r="A503" s="95"/>
      <c r="B503" s="146"/>
      <c r="C503" s="136" t="s">
        <v>941</v>
      </c>
      <c r="D503" s="147"/>
      <c r="E503" s="146"/>
      <c r="F503" s="146"/>
      <c r="G503" s="146"/>
      <c r="H503" s="146"/>
      <c r="I503" s="146"/>
      <c r="J503" s="146"/>
      <c r="K503" s="146"/>
      <c r="L503" s="146"/>
      <c r="M503" s="146"/>
      <c r="N503" s="146"/>
      <c r="O503" s="146"/>
      <c r="P503" s="146"/>
      <c r="Q503" s="146"/>
      <c r="R503" s="146"/>
      <c r="S503" s="146"/>
      <c r="T503" s="146"/>
      <c r="U503" s="146"/>
      <c r="V503" s="146"/>
      <c r="W503" s="146"/>
      <c r="X503" s="146"/>
      <c r="Y503" s="146"/>
      <c r="Z503" s="146"/>
      <c r="AA503" s="146"/>
      <c r="AB503" s="148"/>
      <c r="AC503" s="111" t="s">
        <v>940</v>
      </c>
    </row>
    <row r="504" spans="1:32" ht="18" customHeight="1">
      <c r="A504" s="95"/>
      <c r="B504" s="121"/>
      <c r="C504" s="136"/>
      <c r="D504" s="136" t="s">
        <v>943</v>
      </c>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c r="AB504" s="99"/>
      <c r="AC504" s="111" t="s">
        <v>940</v>
      </c>
    </row>
    <row r="505" spans="1:32" ht="18" customHeight="1">
      <c r="A505" s="95"/>
      <c r="B505" s="121"/>
      <c r="C505" s="136"/>
      <c r="D505" s="136" t="s">
        <v>984</v>
      </c>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c r="AB505" s="99"/>
      <c r="AC505" s="111" t="s">
        <v>940</v>
      </c>
    </row>
    <row r="506" spans="1:32" ht="18" customHeight="1">
      <c r="A506" s="95"/>
      <c r="B506" s="121"/>
      <c r="C506" s="136"/>
      <c r="D506" s="136" t="s">
        <v>982</v>
      </c>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c r="AB506" s="99"/>
      <c r="AC506" s="111"/>
    </row>
    <row r="507" spans="1:32" ht="18" customHeight="1">
      <c r="A507" s="95"/>
      <c r="B507" s="121"/>
      <c r="C507" s="136"/>
      <c r="D507" s="136" t="s">
        <v>986</v>
      </c>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c r="AB507" s="99"/>
      <c r="AC507" s="111"/>
    </row>
    <row r="508" spans="1:32" ht="18" customHeight="1">
      <c r="A508" s="95"/>
      <c r="B508" s="121"/>
      <c r="C508" s="136"/>
      <c r="D508" s="136" t="s">
        <v>944</v>
      </c>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c r="AB508" s="99"/>
      <c r="AC508" s="111" t="s">
        <v>940</v>
      </c>
    </row>
    <row r="509" spans="1:32" ht="18" customHeight="1">
      <c r="A509" s="95"/>
      <c r="B509" s="121"/>
      <c r="C509" s="136"/>
      <c r="D509" s="136"/>
      <c r="E509" s="136" t="s">
        <v>981</v>
      </c>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c r="AB509" s="99"/>
      <c r="AC509" s="111" t="s">
        <v>940</v>
      </c>
    </row>
    <row r="510" spans="1:32" ht="18" customHeight="1">
      <c r="A510" s="95"/>
      <c r="B510" s="121"/>
      <c r="C510" s="136"/>
      <c r="D510" s="136" t="s">
        <v>945</v>
      </c>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c r="AB510" s="99"/>
      <c r="AC510" s="111" t="s">
        <v>940</v>
      </c>
    </row>
    <row r="511" spans="1:32" ht="18" customHeight="1">
      <c r="A511" s="95"/>
      <c r="B511" s="121"/>
      <c r="C511" s="136"/>
      <c r="D511" s="136" t="s">
        <v>948</v>
      </c>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c r="AB511" s="99"/>
      <c r="AC511" s="111" t="s">
        <v>940</v>
      </c>
    </row>
    <row r="512" spans="1:32" ht="18" customHeight="1">
      <c r="A512" s="95"/>
      <c r="B512" s="121"/>
      <c r="C512" s="136"/>
      <c r="D512" s="136" t="s">
        <v>983</v>
      </c>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c r="AB512" s="99"/>
      <c r="AC512" s="111" t="s">
        <v>940</v>
      </c>
    </row>
    <row r="513" spans="1:32" ht="18" customHeight="1">
      <c r="A513" s="95"/>
      <c r="B513" s="121"/>
      <c r="C513" s="136"/>
      <c r="D513" s="136" t="s">
        <v>987</v>
      </c>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c r="AB513" s="99"/>
      <c r="AC513" s="111" t="s">
        <v>940</v>
      </c>
    </row>
    <row r="514" spans="1:32" ht="18" customHeight="1">
      <c r="A514" s="95"/>
      <c r="B514" s="121"/>
      <c r="C514" s="136"/>
      <c r="D514" s="136"/>
      <c r="E514" s="136" t="s">
        <v>1004</v>
      </c>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c r="AB514" s="99"/>
      <c r="AC514" s="111"/>
    </row>
    <row r="515" spans="1:32" ht="18" customHeight="1">
      <c r="A515" s="95"/>
      <c r="B515" s="121"/>
      <c r="C515" s="136"/>
      <c r="D515" s="95"/>
      <c r="E515" s="136" t="s">
        <v>1005</v>
      </c>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c r="AB515" s="99"/>
      <c r="AC515" s="111" t="s">
        <v>940</v>
      </c>
    </row>
    <row r="516" spans="1:32" ht="18" customHeight="1">
      <c r="A516" s="95"/>
      <c r="B516" s="121"/>
      <c r="C516" s="136"/>
      <c r="D516" s="95"/>
      <c r="E516" s="136" t="s">
        <v>1006</v>
      </c>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c r="AB516" s="99"/>
      <c r="AC516" s="111" t="s">
        <v>940</v>
      </c>
    </row>
    <row r="517" spans="1:32" ht="18" customHeight="1">
      <c r="A517" s="95"/>
      <c r="B517" s="121"/>
      <c r="C517" s="136"/>
      <c r="D517" s="136" t="s">
        <v>988</v>
      </c>
      <c r="E517" s="95"/>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c r="AB517" s="99"/>
      <c r="AC517" s="111"/>
    </row>
    <row r="518" spans="1:32" ht="18" customHeight="1">
      <c r="A518" s="95"/>
      <c r="B518" s="121"/>
      <c r="C518" s="136"/>
      <c r="D518" s="136" t="s">
        <v>989</v>
      </c>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c r="AB518" s="99"/>
      <c r="AC518" s="111" t="s">
        <v>940</v>
      </c>
    </row>
    <row r="519" spans="1:32" ht="18" customHeight="1">
      <c r="A519" s="95"/>
      <c r="B519" s="121"/>
      <c r="C519" s="136"/>
      <c r="D519" s="136" t="s">
        <v>984</v>
      </c>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c r="AB519" s="99"/>
      <c r="AC519" s="111" t="s">
        <v>940</v>
      </c>
    </row>
    <row r="520" spans="1:32" ht="18" customHeight="1">
      <c r="A520" s="95"/>
      <c r="B520" s="121"/>
      <c r="C520" s="136"/>
      <c r="D520" s="136" t="s">
        <v>982</v>
      </c>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c r="AB520" s="99"/>
      <c r="AC520" s="111"/>
    </row>
    <row r="521" spans="1:32" ht="18" customHeight="1">
      <c r="A521" s="95"/>
      <c r="B521" s="121"/>
      <c r="C521" s="136"/>
      <c r="D521" s="136"/>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c r="AB521" s="99"/>
      <c r="AC521" s="111" t="s">
        <v>940</v>
      </c>
    </row>
    <row r="522" spans="1:32" ht="18" customHeight="1">
      <c r="A522" s="95"/>
      <c r="B522" s="121"/>
      <c r="C522" s="136" t="s">
        <v>998</v>
      </c>
      <c r="D522" s="136"/>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c r="AB522" s="99"/>
      <c r="AC522" s="111" t="s">
        <v>940</v>
      </c>
    </row>
    <row r="523" spans="1:32" ht="18" customHeight="1">
      <c r="A523" s="95"/>
      <c r="B523" s="121"/>
      <c r="C523" s="136"/>
      <c r="D523" s="136" t="s">
        <v>999</v>
      </c>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c r="AB523" s="99"/>
      <c r="AC523" s="111" t="s">
        <v>940</v>
      </c>
    </row>
    <row r="524" spans="1:32" ht="18" customHeight="1">
      <c r="A524" s="95"/>
      <c r="B524" s="146"/>
      <c r="C524" s="121" t="s">
        <v>990</v>
      </c>
      <c r="D524" s="95"/>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c r="AA524" s="146"/>
      <c r="AB524" s="148"/>
      <c r="AC524" s="111" t="s">
        <v>940</v>
      </c>
    </row>
    <row r="525" spans="1:32" ht="18" customHeight="1">
      <c r="A525" s="98"/>
      <c r="B525" s="95"/>
      <c r="C525" s="135" t="s">
        <v>871</v>
      </c>
      <c r="D525" s="96"/>
      <c r="E525" s="96"/>
      <c r="F525" s="96"/>
      <c r="G525" s="96"/>
      <c r="H525" s="96"/>
      <c r="I525" s="96"/>
      <c r="J525" s="96"/>
      <c r="K525" s="96"/>
      <c r="L525" s="144" t="s">
        <v>911</v>
      </c>
      <c r="M525" s="96"/>
      <c r="N525" s="96"/>
      <c r="O525" s="96"/>
      <c r="P525" s="96"/>
      <c r="Q525" s="96"/>
      <c r="R525" s="96"/>
      <c r="S525" s="96"/>
      <c r="T525" s="96"/>
      <c r="U525" s="96"/>
      <c r="V525" s="96"/>
      <c r="W525" s="96"/>
      <c r="X525" s="96"/>
      <c r="Y525" s="96"/>
      <c r="Z525" s="96"/>
      <c r="AA525" s="96"/>
      <c r="AB525" s="99"/>
      <c r="AC525" s="111" t="s">
        <v>940</v>
      </c>
    </row>
    <row r="526" spans="1:32" customFormat="1" ht="18" customHeight="1">
      <c r="A526" s="95"/>
      <c r="B526" s="105"/>
      <c r="C526" s="278" t="s">
        <v>653</v>
      </c>
      <c r="D526" s="278"/>
      <c r="E526" s="278"/>
      <c r="F526" s="278"/>
      <c r="G526" s="137" t="s">
        <v>656</v>
      </c>
      <c r="H526" s="29"/>
      <c r="I526" s="29"/>
      <c r="J526" s="29"/>
      <c r="K526" s="29"/>
      <c r="L526" s="29"/>
      <c r="M526" s="29"/>
      <c r="N526" s="29"/>
      <c r="O526" s="29"/>
      <c r="P526" s="29"/>
      <c r="Q526" s="29"/>
      <c r="R526" s="29"/>
      <c r="S526" s="29"/>
      <c r="T526" s="29"/>
      <c r="U526" s="29"/>
      <c r="V526" s="29"/>
      <c r="W526" s="29"/>
      <c r="X526" s="29"/>
      <c r="Y526" s="29"/>
      <c r="Z526" s="29"/>
      <c r="AA526" s="30"/>
      <c r="AB526" s="99"/>
      <c r="AC526" s="111"/>
      <c r="AE526" s="112"/>
    </row>
    <row r="527" spans="1:32" ht="18" customHeight="1">
      <c r="A527" s="98"/>
      <c r="B527" s="95"/>
      <c r="C527" s="278" t="s">
        <v>417</v>
      </c>
      <c r="D527" s="278"/>
      <c r="E527" s="278"/>
      <c r="F527" s="278"/>
      <c r="G527" s="137" t="s">
        <v>460</v>
      </c>
      <c r="H527" s="29"/>
      <c r="I527" s="29"/>
      <c r="J527" s="29"/>
      <c r="K527" s="29"/>
      <c r="L527" s="29"/>
      <c r="M527" s="29"/>
      <c r="N527" s="29"/>
      <c r="O527" s="29"/>
      <c r="P527" s="29"/>
      <c r="Q527" s="29"/>
      <c r="R527" s="29"/>
      <c r="S527" s="29"/>
      <c r="T527" s="29"/>
      <c r="U527" s="29"/>
      <c r="V527" s="29"/>
      <c r="W527" s="29"/>
      <c r="X527" s="29"/>
      <c r="Y527" s="29"/>
      <c r="Z527" s="29"/>
      <c r="AA527" s="30"/>
      <c r="AB527" s="99"/>
      <c r="AC527" s="111"/>
      <c r="AD527" s="67"/>
      <c r="AF527" s="27"/>
    </row>
    <row r="528" spans="1:32" ht="18" customHeight="1">
      <c r="A528" s="98"/>
      <c r="B528" s="95"/>
      <c r="C528" s="278" t="s">
        <v>7</v>
      </c>
      <c r="D528" s="278"/>
      <c r="E528" s="305" t="s">
        <v>9</v>
      </c>
      <c r="F528" s="382"/>
      <c r="G528" s="382"/>
      <c r="H528" s="382"/>
      <c r="I528" s="382"/>
      <c r="J528" s="382"/>
      <c r="K528" s="306"/>
      <c r="L528" s="305" t="s">
        <v>18</v>
      </c>
      <c r="M528" s="382"/>
      <c r="N528" s="382"/>
      <c r="O528" s="382"/>
      <c r="P528" s="382"/>
      <c r="Q528" s="382"/>
      <c r="R528" s="382"/>
      <c r="S528" s="382"/>
      <c r="T528" s="382"/>
      <c r="U528" s="382"/>
      <c r="V528" s="382"/>
      <c r="W528" s="382"/>
      <c r="X528" s="382"/>
      <c r="Y528" s="382"/>
      <c r="Z528" s="382"/>
      <c r="AA528" s="306"/>
      <c r="AB528" s="99"/>
      <c r="AC528" s="111"/>
      <c r="AD528" s="27" t="e">
        <f>""""&amp;#REF!&amp;""":""example"&amp;#REF!&amp;"""},"</f>
        <v>#REF!</v>
      </c>
    </row>
    <row r="529" spans="1:30" ht="18" customHeight="1">
      <c r="A529" s="98"/>
      <c r="B529" s="95"/>
      <c r="C529" s="278">
        <v>1</v>
      </c>
      <c r="D529" s="278"/>
      <c r="E529" s="100" t="s">
        <v>285</v>
      </c>
      <c r="F529" s="138"/>
      <c r="G529" s="125"/>
      <c r="H529" s="125"/>
      <c r="I529" s="125"/>
      <c r="J529" s="125"/>
      <c r="K529" s="30"/>
      <c r="L529" s="145" t="s">
        <v>991</v>
      </c>
      <c r="M529" s="139"/>
      <c r="N529" s="139"/>
      <c r="O529" s="139"/>
      <c r="P529" s="139"/>
      <c r="Q529" s="139"/>
      <c r="R529" s="139"/>
      <c r="S529" s="139"/>
      <c r="T529" s="139"/>
      <c r="U529" s="139"/>
      <c r="V529" s="139"/>
      <c r="W529" s="139"/>
      <c r="X529" s="139"/>
      <c r="Y529" s="139"/>
      <c r="Z529" s="139"/>
      <c r="AA529" s="140"/>
      <c r="AB529" s="99"/>
      <c r="AC529" s="111" t="s">
        <v>940</v>
      </c>
    </row>
    <row r="530" spans="1:30" ht="18" customHeight="1">
      <c r="A530" s="98"/>
      <c r="B530" s="95"/>
      <c r="C530" s="278">
        <f>COUNTA($C$528:D529)</f>
        <v>2</v>
      </c>
      <c r="D530" s="278"/>
      <c r="E530" s="100" t="s">
        <v>869</v>
      </c>
      <c r="F530" s="138"/>
      <c r="G530" s="125"/>
      <c r="H530" s="125"/>
      <c r="I530" s="125"/>
      <c r="J530" s="125"/>
      <c r="K530" s="30"/>
      <c r="L530" s="100" t="s">
        <v>265</v>
      </c>
      <c r="M530" s="29"/>
      <c r="N530" s="29"/>
      <c r="O530" s="29"/>
      <c r="P530" s="29"/>
      <c r="Q530" s="29"/>
      <c r="R530" s="29"/>
      <c r="S530" s="29"/>
      <c r="T530" s="29"/>
      <c r="U530" s="29"/>
      <c r="V530" s="29"/>
      <c r="W530" s="29"/>
      <c r="X530" s="29"/>
      <c r="Y530" s="29"/>
      <c r="Z530" s="29"/>
      <c r="AA530" s="30"/>
      <c r="AB530" s="99"/>
      <c r="AC530" s="111"/>
      <c r="AD530" s="27" t="e">
        <f>""""&amp;#REF!&amp;""":""example"&amp;#REF!&amp;"""},"</f>
        <v>#REF!</v>
      </c>
    </row>
    <row r="531" spans="1:30" ht="18" customHeight="1">
      <c r="A531" s="98"/>
      <c r="B531" s="95"/>
      <c r="C531" s="278">
        <f>COUNTA($C$528:D530)</f>
        <v>3</v>
      </c>
      <c r="D531" s="278"/>
      <c r="E531" s="100" t="s">
        <v>134</v>
      </c>
      <c r="F531" s="125"/>
      <c r="G531" s="125"/>
      <c r="H531" s="125"/>
      <c r="I531" s="125"/>
      <c r="J531" s="125"/>
      <c r="K531" s="30"/>
      <c r="L531" s="100" t="s">
        <v>873</v>
      </c>
      <c r="M531" s="29"/>
      <c r="N531" s="29"/>
      <c r="O531" s="29"/>
      <c r="P531" s="29"/>
      <c r="Q531" s="29"/>
      <c r="R531" s="29"/>
      <c r="S531" s="29"/>
      <c r="T531" s="29"/>
      <c r="U531" s="29"/>
      <c r="V531" s="29"/>
      <c r="W531" s="29"/>
      <c r="X531" s="29"/>
      <c r="Y531" s="29"/>
      <c r="Z531" s="29"/>
      <c r="AA531" s="30"/>
      <c r="AB531" s="99"/>
      <c r="AC531" s="111" t="s">
        <v>874</v>
      </c>
      <c r="AD531" s="27" t="e">
        <f>""""&amp;#REF!&amp;""":""example"&amp;#REF!&amp;"""},"</f>
        <v>#REF!</v>
      </c>
    </row>
    <row r="532" spans="1:30" ht="18" customHeight="1">
      <c r="A532" s="98"/>
      <c r="B532" s="95"/>
      <c r="C532" s="278">
        <f>COUNTA($C$528:D531)</f>
        <v>4</v>
      </c>
      <c r="D532" s="278"/>
      <c r="E532" s="100" t="s">
        <v>284</v>
      </c>
      <c r="F532" s="138"/>
      <c r="G532" s="125"/>
      <c r="H532" s="125"/>
      <c r="I532" s="125"/>
      <c r="J532" s="125"/>
      <c r="K532" s="30"/>
      <c r="L532" s="145" t="s">
        <v>991</v>
      </c>
      <c r="M532" s="29"/>
      <c r="N532" s="29"/>
      <c r="O532" s="29"/>
      <c r="P532" s="29"/>
      <c r="Q532" s="29"/>
      <c r="R532" s="29"/>
      <c r="S532" s="29"/>
      <c r="T532" s="29"/>
      <c r="U532" s="29"/>
      <c r="V532" s="29"/>
      <c r="W532" s="29"/>
      <c r="X532" s="29"/>
      <c r="Y532" s="29"/>
      <c r="Z532" s="29"/>
      <c r="AA532" s="30"/>
      <c r="AB532" s="99"/>
      <c r="AC532" s="111" t="s">
        <v>940</v>
      </c>
      <c r="AD532" s="27" t="e">
        <f>""""&amp;#REF!&amp;""":""example"&amp;#REF!&amp;"""},"</f>
        <v>#REF!</v>
      </c>
    </row>
    <row r="533" spans="1:30" ht="18" customHeight="1">
      <c r="A533" s="98"/>
      <c r="B533" s="95"/>
      <c r="C533" s="278">
        <f>COUNTA($C$528:D532)</f>
        <v>5</v>
      </c>
      <c r="D533" s="278"/>
      <c r="E533" s="100" t="s">
        <v>286</v>
      </c>
      <c r="F533" s="125"/>
      <c r="G533" s="125"/>
      <c r="H533" s="125"/>
      <c r="I533" s="125"/>
      <c r="J533" s="125"/>
      <c r="K533" s="30"/>
      <c r="L533" s="100" t="s">
        <v>992</v>
      </c>
      <c r="M533" s="29"/>
      <c r="N533" s="29"/>
      <c r="O533" s="29"/>
      <c r="P533" s="29"/>
      <c r="Q533" s="29"/>
      <c r="R533" s="29"/>
      <c r="S533" s="29"/>
      <c r="T533" s="29"/>
      <c r="U533" s="29"/>
      <c r="V533" s="29"/>
      <c r="W533" s="29"/>
      <c r="X533" s="29"/>
      <c r="Y533" s="29"/>
      <c r="Z533" s="29"/>
      <c r="AA533" s="30"/>
      <c r="AB533" s="99"/>
      <c r="AC533" s="111" t="s">
        <v>940</v>
      </c>
      <c r="AD533" s="27" t="e">
        <f>""""&amp;#REF!&amp;""":""example"&amp;#REF!&amp;"""},"</f>
        <v>#REF!</v>
      </c>
    </row>
    <row r="534" spans="1:30" ht="18" customHeight="1">
      <c r="A534" s="98"/>
      <c r="B534" s="95"/>
      <c r="C534" s="278">
        <f>COUNTA($C$528:D533)</f>
        <v>6</v>
      </c>
      <c r="D534" s="278"/>
      <c r="E534" s="100" t="s">
        <v>912</v>
      </c>
      <c r="F534" s="138"/>
      <c r="G534" s="125"/>
      <c r="H534" s="125"/>
      <c r="I534" s="125"/>
      <c r="J534" s="125"/>
      <c r="K534" s="30"/>
      <c r="L534" s="100" t="s">
        <v>993</v>
      </c>
      <c r="M534" s="29"/>
      <c r="N534" s="29"/>
      <c r="O534" s="29"/>
      <c r="P534" s="29"/>
      <c r="Q534" s="29"/>
      <c r="R534" s="29"/>
      <c r="S534" s="29"/>
      <c r="T534" s="29"/>
      <c r="U534" s="29"/>
      <c r="V534" s="29"/>
      <c r="W534" s="29"/>
      <c r="X534" s="29"/>
      <c r="Y534" s="29"/>
      <c r="Z534" s="29"/>
      <c r="AA534" s="30"/>
      <c r="AB534" s="99"/>
      <c r="AC534" s="111" t="s">
        <v>940</v>
      </c>
      <c r="AD534" s="27" t="e">
        <f>""""&amp;#REF!&amp;""":""example"&amp;#REF!&amp;"""},"</f>
        <v>#REF!</v>
      </c>
    </row>
    <row r="535" spans="1:30" ht="18" customHeight="1">
      <c r="A535" s="98"/>
      <c r="B535" s="95"/>
      <c r="C535" s="278">
        <f>COUNTA($C$528:D534)</f>
        <v>7</v>
      </c>
      <c r="D535" s="278"/>
      <c r="E535" s="100" t="s">
        <v>192</v>
      </c>
      <c r="F535" s="125"/>
      <c r="G535" s="125"/>
      <c r="H535" s="125"/>
      <c r="I535" s="125"/>
      <c r="J535" s="125"/>
      <c r="K535" s="30"/>
      <c r="L535" s="100" t="s">
        <v>913</v>
      </c>
      <c r="M535" s="29"/>
      <c r="N535" s="29"/>
      <c r="O535" s="29"/>
      <c r="P535" s="29"/>
      <c r="Q535" s="29"/>
      <c r="R535" s="29"/>
      <c r="S535" s="29"/>
      <c r="T535" s="29"/>
      <c r="U535" s="29"/>
      <c r="V535" s="29"/>
      <c r="W535" s="29"/>
      <c r="X535" s="29"/>
      <c r="Y535" s="29"/>
      <c r="Z535" s="29"/>
      <c r="AA535" s="30"/>
      <c r="AB535" s="99"/>
      <c r="AC535" s="111"/>
      <c r="AD535" s="27" t="e">
        <f>""""&amp;#REF!&amp;""":""example"&amp;#REF!&amp;"""},"</f>
        <v>#REF!</v>
      </c>
    </row>
    <row r="536" spans="1:30" ht="18" customHeight="1">
      <c r="A536" s="98"/>
      <c r="B536" s="95"/>
      <c r="C536" s="96"/>
      <c r="D536" s="96"/>
      <c r="E536" s="95"/>
      <c r="F536" s="121"/>
      <c r="G536" s="121"/>
      <c r="H536" s="121"/>
      <c r="I536" s="121"/>
      <c r="J536" s="95"/>
      <c r="K536" s="95"/>
      <c r="L536" s="95"/>
      <c r="M536" s="95"/>
      <c r="N536" s="95"/>
      <c r="O536" s="95"/>
      <c r="P536" s="95"/>
      <c r="Q536" s="95"/>
      <c r="R536" s="95"/>
      <c r="S536" s="95"/>
      <c r="T536" s="95"/>
      <c r="U536" s="95"/>
      <c r="V536" s="95"/>
      <c r="W536" s="95"/>
      <c r="X536" s="95"/>
      <c r="Y536" s="95"/>
      <c r="Z536" s="95"/>
      <c r="AA536" s="95"/>
      <c r="AB536" s="99"/>
      <c r="AC536" s="111"/>
    </row>
    <row r="537" spans="1:30" ht="18" customHeight="1">
      <c r="A537" s="98"/>
      <c r="B537" s="142" t="s">
        <v>928</v>
      </c>
      <c r="C537" s="95"/>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9"/>
      <c r="AC537" s="111" t="s">
        <v>940</v>
      </c>
    </row>
    <row r="538" spans="1:30" ht="40.5" customHeight="1">
      <c r="A538" s="95"/>
      <c r="B538" s="378" t="s">
        <v>1000</v>
      </c>
      <c r="C538" s="378"/>
      <c r="D538" s="378"/>
      <c r="E538" s="378"/>
      <c r="F538" s="378"/>
      <c r="G538" s="378"/>
      <c r="H538" s="378"/>
      <c r="I538" s="378"/>
      <c r="J538" s="378"/>
      <c r="K538" s="378"/>
      <c r="L538" s="378"/>
      <c r="M538" s="378"/>
      <c r="N538" s="378"/>
      <c r="O538" s="378"/>
      <c r="P538" s="378"/>
      <c r="Q538" s="378"/>
      <c r="R538" s="378"/>
      <c r="S538" s="378"/>
      <c r="T538" s="378"/>
      <c r="U538" s="378"/>
      <c r="V538" s="378"/>
      <c r="W538" s="378"/>
      <c r="X538" s="378"/>
      <c r="Y538" s="378"/>
      <c r="Z538" s="378"/>
      <c r="AA538" s="378"/>
      <c r="AB538" s="75"/>
      <c r="AC538" s="111" t="s">
        <v>940</v>
      </c>
    </row>
    <row r="539" spans="1:30" ht="18" customHeight="1">
      <c r="A539" s="95"/>
      <c r="B539" s="146"/>
      <c r="C539" s="136" t="s">
        <v>1001</v>
      </c>
      <c r="D539" s="147"/>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6"/>
      <c r="AA539" s="146"/>
      <c r="AB539" s="148"/>
      <c r="AC539" s="111" t="s">
        <v>940</v>
      </c>
    </row>
    <row r="540" spans="1:30" ht="18" customHeight="1">
      <c r="A540" s="95"/>
      <c r="B540" s="146"/>
      <c r="C540" s="136" t="s">
        <v>941</v>
      </c>
      <c r="D540" s="147"/>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6"/>
      <c r="AA540" s="146"/>
      <c r="AB540" s="148"/>
      <c r="AC540" s="111" t="s">
        <v>940</v>
      </c>
    </row>
    <row r="541" spans="1:30" ht="18" customHeight="1">
      <c r="A541" s="95"/>
      <c r="B541" s="121"/>
      <c r="C541" s="136"/>
      <c r="D541" s="136" t="s">
        <v>943</v>
      </c>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c r="AB541" s="99"/>
      <c r="AC541" s="111" t="s">
        <v>940</v>
      </c>
    </row>
    <row r="542" spans="1:30" ht="18" customHeight="1">
      <c r="A542" s="95"/>
      <c r="B542" s="121"/>
      <c r="C542" s="136"/>
      <c r="D542" s="136" t="s">
        <v>1009</v>
      </c>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c r="AB542" s="99"/>
      <c r="AC542" s="111" t="s">
        <v>940</v>
      </c>
    </row>
    <row r="543" spans="1:30" ht="18" customHeight="1">
      <c r="A543" s="95"/>
      <c r="B543" s="121"/>
      <c r="C543" s="136"/>
      <c r="D543" s="136" t="s">
        <v>1010</v>
      </c>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c r="AB543" s="99"/>
      <c r="AC543" s="111" t="s">
        <v>940</v>
      </c>
    </row>
    <row r="544" spans="1:30" ht="18" customHeight="1">
      <c r="A544" s="95"/>
      <c r="B544" s="121"/>
      <c r="C544" s="136"/>
      <c r="D544" s="136" t="s">
        <v>944</v>
      </c>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c r="AB544" s="99"/>
      <c r="AC544" s="111" t="s">
        <v>940</v>
      </c>
    </row>
    <row r="545" spans="1:29" ht="18" customHeight="1">
      <c r="A545" s="95"/>
      <c r="B545" s="121"/>
      <c r="C545" s="136"/>
      <c r="D545" s="136"/>
      <c r="E545" s="136" t="s">
        <v>1002</v>
      </c>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c r="AB545" s="99"/>
      <c r="AC545" s="111" t="s">
        <v>940</v>
      </c>
    </row>
    <row r="546" spans="1:29" ht="18" customHeight="1">
      <c r="A546" s="95"/>
      <c r="B546" s="121"/>
      <c r="C546" s="136"/>
      <c r="D546" s="136" t="s">
        <v>945</v>
      </c>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c r="AB546" s="99"/>
      <c r="AC546" s="111" t="s">
        <v>940</v>
      </c>
    </row>
    <row r="547" spans="1:29" ht="18" customHeight="1">
      <c r="A547" s="95"/>
      <c r="B547" s="121"/>
      <c r="C547" s="136"/>
      <c r="D547" s="136" t="s">
        <v>948</v>
      </c>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c r="AB547" s="99"/>
      <c r="AC547" s="111" t="s">
        <v>940</v>
      </c>
    </row>
    <row r="548" spans="1:29" ht="18" customHeight="1">
      <c r="A548" s="95"/>
      <c r="B548" s="121"/>
      <c r="C548" s="136"/>
      <c r="D548" s="136" t="s">
        <v>983</v>
      </c>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c r="AB548" s="99"/>
      <c r="AC548" s="111" t="s">
        <v>940</v>
      </c>
    </row>
    <row r="549" spans="1:29" ht="18" customHeight="1">
      <c r="A549" s="95"/>
      <c r="B549" s="121"/>
      <c r="C549" s="136"/>
      <c r="D549" s="136" t="s">
        <v>1003</v>
      </c>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c r="AB549" s="99"/>
      <c r="AC549" s="111" t="s">
        <v>940</v>
      </c>
    </row>
    <row r="550" spans="1:29" ht="18" customHeight="1">
      <c r="A550" s="95"/>
      <c r="B550" s="121"/>
      <c r="C550" s="136"/>
      <c r="D550" s="95"/>
      <c r="E550" s="136" t="s">
        <v>1007</v>
      </c>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c r="AB550" s="99"/>
      <c r="AC550" s="111" t="s">
        <v>940</v>
      </c>
    </row>
    <row r="551" spans="1:29" ht="18" customHeight="1">
      <c r="A551" s="95"/>
      <c r="B551" s="121"/>
      <c r="C551" s="136"/>
      <c r="D551" s="95"/>
      <c r="E551" s="136" t="s">
        <v>1008</v>
      </c>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c r="AB551" s="99"/>
      <c r="AC551" s="111" t="s">
        <v>940</v>
      </c>
    </row>
    <row r="552" spans="1:29" ht="18" customHeight="1">
      <c r="A552" s="95"/>
      <c r="B552" s="121"/>
      <c r="C552" s="136"/>
      <c r="D552" s="136" t="s">
        <v>988</v>
      </c>
      <c r="E552" s="95"/>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c r="AB552" s="99"/>
      <c r="AC552" s="111" t="s">
        <v>940</v>
      </c>
    </row>
    <row r="553" spans="1:29" ht="18" customHeight="1">
      <c r="A553" s="95"/>
      <c r="B553" s="121"/>
      <c r="C553" s="136"/>
      <c r="D553" s="136" t="s">
        <v>989</v>
      </c>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c r="AB553" s="99"/>
      <c r="AC553" s="111" t="s">
        <v>940</v>
      </c>
    </row>
    <row r="554" spans="1:29" ht="18" customHeight="1">
      <c r="A554" s="95"/>
      <c r="B554" s="121"/>
      <c r="C554" s="136"/>
      <c r="D554" s="136" t="s">
        <v>984</v>
      </c>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c r="AB554" s="99"/>
      <c r="AC554" s="111" t="s">
        <v>940</v>
      </c>
    </row>
    <row r="555" spans="1:29" ht="18" customHeight="1">
      <c r="A555" s="95"/>
      <c r="B555" s="121"/>
      <c r="C555" s="136"/>
      <c r="D555" s="136" t="s">
        <v>982</v>
      </c>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c r="AB555" s="99"/>
      <c r="AC555" s="111"/>
    </row>
    <row r="556" spans="1:29" ht="18" customHeight="1">
      <c r="A556" s="95"/>
      <c r="B556" s="121"/>
      <c r="C556" s="136"/>
      <c r="D556" s="136"/>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c r="AB556" s="99"/>
      <c r="AC556" s="111" t="s">
        <v>940</v>
      </c>
    </row>
    <row r="557" spans="1:29" ht="18" customHeight="1">
      <c r="A557" s="95"/>
      <c r="B557" s="121"/>
      <c r="C557" s="136" t="s">
        <v>1011</v>
      </c>
      <c r="D557" s="136"/>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c r="AB557" s="99"/>
      <c r="AC557" s="111" t="s">
        <v>940</v>
      </c>
    </row>
    <row r="558" spans="1:29" ht="18" customHeight="1">
      <c r="A558" s="95"/>
      <c r="B558" s="121"/>
      <c r="C558" s="136"/>
      <c r="D558" s="136" t="s">
        <v>1012</v>
      </c>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c r="AB558" s="99"/>
      <c r="AC558" s="111" t="s">
        <v>940</v>
      </c>
    </row>
    <row r="559" spans="1:29" ht="18" customHeight="1">
      <c r="A559" s="95"/>
      <c r="B559" s="146"/>
      <c r="C559" s="121" t="s">
        <v>1013</v>
      </c>
      <c r="D559" s="95"/>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6"/>
      <c r="AA559" s="146"/>
      <c r="AB559" s="148"/>
      <c r="AC559" s="111" t="s">
        <v>940</v>
      </c>
    </row>
    <row r="560" spans="1:29" ht="18" customHeight="1">
      <c r="A560" s="98"/>
      <c r="B560" s="95"/>
      <c r="C560" s="135" t="s">
        <v>871</v>
      </c>
      <c r="D560" s="96"/>
      <c r="E560" s="96"/>
      <c r="F560" s="96"/>
      <c r="G560" s="96"/>
      <c r="H560" s="96"/>
      <c r="I560" s="96"/>
      <c r="J560" s="96"/>
      <c r="K560" s="96"/>
      <c r="L560" s="144" t="s">
        <v>911</v>
      </c>
      <c r="M560" s="96"/>
      <c r="N560" s="96"/>
      <c r="O560" s="96"/>
      <c r="P560" s="96"/>
      <c r="Q560" s="96"/>
      <c r="R560" s="96"/>
      <c r="S560" s="96"/>
      <c r="T560" s="96"/>
      <c r="U560" s="96"/>
      <c r="V560" s="96"/>
      <c r="W560" s="96"/>
      <c r="X560" s="96"/>
      <c r="Y560" s="96"/>
      <c r="Z560" s="96"/>
      <c r="AA560" s="96"/>
      <c r="AB560" s="99"/>
      <c r="AC560" s="111" t="s">
        <v>940</v>
      </c>
    </row>
    <row r="561" spans="1:32" customFormat="1" ht="18" customHeight="1">
      <c r="A561" s="95"/>
      <c r="B561" s="105"/>
      <c r="C561" s="278" t="s">
        <v>653</v>
      </c>
      <c r="D561" s="278"/>
      <c r="E561" s="278"/>
      <c r="F561" s="278"/>
      <c r="G561" s="137" t="s">
        <v>656</v>
      </c>
      <c r="H561" s="29"/>
      <c r="I561" s="29"/>
      <c r="J561" s="29"/>
      <c r="K561" s="29"/>
      <c r="L561" s="29"/>
      <c r="M561" s="29"/>
      <c r="N561" s="29"/>
      <c r="O561" s="29"/>
      <c r="P561" s="29"/>
      <c r="Q561" s="29"/>
      <c r="R561" s="29"/>
      <c r="S561" s="29"/>
      <c r="T561" s="29"/>
      <c r="U561" s="29"/>
      <c r="V561" s="29"/>
      <c r="W561" s="29"/>
      <c r="X561" s="29"/>
      <c r="Y561" s="29"/>
      <c r="Z561" s="29"/>
      <c r="AA561" s="30"/>
      <c r="AB561" s="99"/>
      <c r="AC561" s="111"/>
      <c r="AE561" s="112"/>
    </row>
    <row r="562" spans="1:32" ht="18" customHeight="1">
      <c r="A562" s="98"/>
      <c r="B562" s="95"/>
      <c r="C562" s="278" t="s">
        <v>417</v>
      </c>
      <c r="D562" s="278"/>
      <c r="E562" s="278"/>
      <c r="F562" s="278"/>
      <c r="G562" s="137" t="s">
        <v>459</v>
      </c>
      <c r="H562" s="29"/>
      <c r="I562" s="29"/>
      <c r="J562" s="29"/>
      <c r="K562" s="29"/>
      <c r="L562" s="29"/>
      <c r="M562" s="29"/>
      <c r="N562" s="29"/>
      <c r="O562" s="29"/>
      <c r="P562" s="29"/>
      <c r="Q562" s="29"/>
      <c r="R562" s="29"/>
      <c r="S562" s="29"/>
      <c r="T562" s="29"/>
      <c r="U562" s="29"/>
      <c r="V562" s="29"/>
      <c r="W562" s="29"/>
      <c r="X562" s="29"/>
      <c r="Y562" s="29"/>
      <c r="Z562" s="29"/>
      <c r="AA562" s="30"/>
      <c r="AB562" s="99"/>
      <c r="AC562" s="111"/>
      <c r="AD562" s="67"/>
      <c r="AF562" s="27"/>
    </row>
    <row r="563" spans="1:32" ht="18" customHeight="1">
      <c r="A563" s="98"/>
      <c r="B563" s="95"/>
      <c r="C563" s="278" t="s">
        <v>7</v>
      </c>
      <c r="D563" s="278"/>
      <c r="E563" s="305" t="s">
        <v>9</v>
      </c>
      <c r="F563" s="382"/>
      <c r="G563" s="382"/>
      <c r="H563" s="382"/>
      <c r="I563" s="382"/>
      <c r="J563" s="382"/>
      <c r="K563" s="306"/>
      <c r="L563" s="305" t="s">
        <v>18</v>
      </c>
      <c r="M563" s="382"/>
      <c r="N563" s="382"/>
      <c r="O563" s="382"/>
      <c r="P563" s="382"/>
      <c r="Q563" s="382"/>
      <c r="R563" s="382"/>
      <c r="S563" s="382"/>
      <c r="T563" s="382"/>
      <c r="U563" s="382"/>
      <c r="V563" s="382"/>
      <c r="W563" s="382"/>
      <c r="X563" s="382"/>
      <c r="Y563" s="382"/>
      <c r="Z563" s="382"/>
      <c r="AA563" s="306"/>
      <c r="AB563" s="99"/>
      <c r="AC563" s="111"/>
      <c r="AD563" s="27" t="e">
        <f>""""&amp;#REF!&amp;""":""example"&amp;#REF!&amp;"""},"</f>
        <v>#REF!</v>
      </c>
    </row>
    <row r="564" spans="1:32" ht="39" customHeight="1">
      <c r="A564" s="98"/>
      <c r="B564" s="95"/>
      <c r="C564" s="278">
        <v>1</v>
      </c>
      <c r="D564" s="278"/>
      <c r="E564" s="100" t="s">
        <v>284</v>
      </c>
      <c r="F564" s="138"/>
      <c r="G564" s="125"/>
      <c r="H564" s="125"/>
      <c r="I564" s="125"/>
      <c r="J564" s="125"/>
      <c r="K564" s="30"/>
      <c r="L564" s="397" t="s">
        <v>1014</v>
      </c>
      <c r="M564" s="398"/>
      <c r="N564" s="398"/>
      <c r="O564" s="398"/>
      <c r="P564" s="398"/>
      <c r="Q564" s="398"/>
      <c r="R564" s="398"/>
      <c r="S564" s="398"/>
      <c r="T564" s="398"/>
      <c r="U564" s="398"/>
      <c r="V564" s="398"/>
      <c r="W564" s="398"/>
      <c r="X564" s="398"/>
      <c r="Y564" s="398"/>
      <c r="Z564" s="398"/>
      <c r="AA564" s="399"/>
      <c r="AB564" s="99"/>
      <c r="AC564" s="111" t="s">
        <v>940</v>
      </c>
    </row>
    <row r="565" spans="1:32" ht="18" customHeight="1">
      <c r="A565" s="98"/>
      <c r="B565" s="95"/>
      <c r="C565" s="278">
        <f>COUNTA($C$563:D564)</f>
        <v>2</v>
      </c>
      <c r="D565" s="278"/>
      <c r="E565" s="100" t="s">
        <v>192</v>
      </c>
      <c r="F565" s="125"/>
      <c r="G565" s="125"/>
      <c r="H565" s="125"/>
      <c r="I565" s="125"/>
      <c r="J565" s="125"/>
      <c r="K565" s="30"/>
      <c r="L565" s="100" t="s">
        <v>913</v>
      </c>
      <c r="M565" s="29"/>
      <c r="N565" s="29"/>
      <c r="O565" s="29"/>
      <c r="P565" s="29"/>
      <c r="Q565" s="29"/>
      <c r="R565" s="29"/>
      <c r="S565" s="29"/>
      <c r="T565" s="29"/>
      <c r="U565" s="29"/>
      <c r="V565" s="29"/>
      <c r="W565" s="29"/>
      <c r="X565" s="29"/>
      <c r="Y565" s="29"/>
      <c r="Z565" s="29"/>
      <c r="AA565" s="30"/>
      <c r="AB565" s="99"/>
      <c r="AC565" s="111"/>
      <c r="AD565" s="27" t="e">
        <f>""""&amp;#REF!&amp;""":""example"&amp;#REF!&amp;"""},"</f>
        <v>#REF!</v>
      </c>
    </row>
    <row r="566" spans="1:32" ht="18" customHeight="1">
      <c r="A566" s="98"/>
      <c r="B566" s="95"/>
      <c r="C566" s="96"/>
      <c r="D566" s="96"/>
      <c r="E566" s="95"/>
      <c r="F566" s="121"/>
      <c r="G566" s="121"/>
      <c r="H566" s="121"/>
      <c r="I566" s="121"/>
      <c r="J566" s="95"/>
      <c r="K566" s="95"/>
      <c r="L566" s="95"/>
      <c r="M566" s="95"/>
      <c r="N566" s="95"/>
      <c r="O566" s="95"/>
      <c r="P566" s="95"/>
      <c r="Q566" s="95"/>
      <c r="R566" s="95"/>
      <c r="S566" s="95"/>
      <c r="T566" s="95"/>
      <c r="U566" s="95"/>
      <c r="V566" s="95"/>
      <c r="W566" s="95"/>
      <c r="X566" s="95"/>
      <c r="Y566" s="95"/>
      <c r="Z566" s="95"/>
      <c r="AA566" s="95"/>
      <c r="AB566" s="99"/>
      <c r="AC566" s="111"/>
    </row>
    <row r="567" spans="1:32" s="95" customFormat="1" ht="18" customHeight="1">
      <c r="A567" s="98"/>
      <c r="B567" s="95" t="s">
        <v>929</v>
      </c>
      <c r="C567" s="96"/>
      <c r="AB567" s="99"/>
      <c r="AC567" s="111"/>
      <c r="AD567" s="97"/>
    </row>
    <row r="568" spans="1:32" s="95" customFormat="1" ht="18" customHeight="1">
      <c r="A568" s="98"/>
      <c r="C568" s="305" t="s">
        <v>15</v>
      </c>
      <c r="D568" s="382"/>
      <c r="E568" s="382"/>
      <c r="F568" s="382"/>
      <c r="G568" s="382"/>
      <c r="H568" s="382"/>
      <c r="I568" s="382"/>
      <c r="J568" s="382"/>
      <c r="K568" s="382"/>
      <c r="L568" s="382"/>
      <c r="M568" s="382"/>
      <c r="N568" s="382"/>
      <c r="O568" s="382"/>
      <c r="P568" s="382"/>
      <c r="Q568" s="382"/>
      <c r="R568" s="382"/>
      <c r="S568" s="382"/>
      <c r="T568" s="382"/>
      <c r="U568" s="382"/>
      <c r="V568" s="382"/>
      <c r="W568" s="382"/>
      <c r="X568" s="382"/>
      <c r="Y568" s="382"/>
      <c r="Z568" s="382"/>
      <c r="AA568" s="306"/>
      <c r="AB568" s="99"/>
      <c r="AC568" s="111"/>
      <c r="AD568" s="97"/>
    </row>
    <row r="569" spans="1:32" s="95" customFormat="1" ht="18" customHeight="1">
      <c r="A569" s="98"/>
      <c r="C569" s="278" t="s">
        <v>16</v>
      </c>
      <c r="D569" s="278"/>
      <c r="E569" s="278"/>
      <c r="F569" s="278"/>
      <c r="G569" s="277">
        <v>500</v>
      </c>
      <c r="H569" s="277"/>
      <c r="I569" s="277"/>
      <c r="J569" s="277"/>
      <c r="K569" s="277"/>
      <c r="L569" s="277"/>
      <c r="M569" s="277"/>
      <c r="N569" s="277"/>
      <c r="O569" s="277"/>
      <c r="P569" s="277"/>
      <c r="Q569" s="277"/>
      <c r="R569" s="277"/>
      <c r="S569" s="277"/>
      <c r="T569" s="277"/>
      <c r="U569" s="277"/>
      <c r="V569" s="277"/>
      <c r="W569" s="277"/>
      <c r="X569" s="277"/>
      <c r="Y569" s="277"/>
      <c r="Z569" s="277"/>
      <c r="AA569" s="277"/>
      <c r="AB569" s="99"/>
      <c r="AC569" s="111"/>
      <c r="AD569" s="97"/>
    </row>
    <row r="570" spans="1:32" s="95" customFormat="1" ht="18" customHeight="1">
      <c r="A570" s="98"/>
      <c r="C570" s="278" t="s">
        <v>650</v>
      </c>
      <c r="D570" s="278"/>
      <c r="E570" s="278"/>
      <c r="F570" s="278"/>
      <c r="G570" s="29" t="s">
        <v>898</v>
      </c>
      <c r="H570" s="29"/>
      <c r="I570" s="29"/>
      <c r="J570" s="29"/>
      <c r="K570" s="29"/>
      <c r="L570" s="29"/>
      <c r="M570" s="29"/>
      <c r="N570" s="29"/>
      <c r="O570" s="29"/>
      <c r="P570" s="29"/>
      <c r="Q570" s="29"/>
      <c r="R570" s="29"/>
      <c r="S570" s="29"/>
      <c r="T570" s="29"/>
      <c r="U570" s="29"/>
      <c r="V570" s="29"/>
      <c r="W570" s="29"/>
      <c r="X570" s="29"/>
      <c r="Y570" s="29"/>
      <c r="Z570" s="29"/>
      <c r="AA570" s="30"/>
      <c r="AB570" s="99"/>
      <c r="AC570" s="111"/>
      <c r="AD570" s="97"/>
    </row>
    <row r="571" spans="1:32" s="95" customFormat="1" ht="18" customHeight="1">
      <c r="A571" s="98"/>
      <c r="C571" s="278" t="s">
        <v>469</v>
      </c>
      <c r="D571" s="278"/>
      <c r="E571" s="278"/>
      <c r="F571" s="278"/>
      <c r="G571" s="29" t="s">
        <v>899</v>
      </c>
      <c r="H571" s="29"/>
      <c r="I571" s="29"/>
      <c r="J571" s="29"/>
      <c r="K571" s="29"/>
      <c r="L571" s="29"/>
      <c r="M571" s="29"/>
      <c r="N571" s="29"/>
      <c r="O571" s="29"/>
      <c r="P571" s="29"/>
      <c r="Q571" s="29"/>
      <c r="R571" s="29"/>
      <c r="S571" s="29"/>
      <c r="T571" s="29"/>
      <c r="U571" s="29"/>
      <c r="V571" s="29"/>
      <c r="W571" s="29"/>
      <c r="X571" s="29"/>
      <c r="Y571" s="29"/>
      <c r="Z571" s="29"/>
      <c r="AA571" s="30"/>
      <c r="AB571" s="99"/>
      <c r="AC571" s="111"/>
      <c r="AD571" s="97"/>
    </row>
    <row r="572" spans="1:32" s="95" customFormat="1" ht="18" customHeight="1">
      <c r="A572" s="98"/>
      <c r="AB572" s="99"/>
      <c r="AC572" s="111"/>
      <c r="AD572" s="97"/>
    </row>
    <row r="573" spans="1:32" s="95" customFormat="1" ht="18" customHeight="1">
      <c r="A573" s="98"/>
      <c r="B573" s="95" t="s">
        <v>930</v>
      </c>
      <c r="C573" s="96"/>
      <c r="AB573" s="99"/>
      <c r="AC573" s="111"/>
      <c r="AD573" s="97"/>
    </row>
    <row r="574" spans="1:32" s="95" customFormat="1" ht="18" customHeight="1">
      <c r="A574" s="98"/>
      <c r="C574" s="305" t="s">
        <v>15</v>
      </c>
      <c r="D574" s="382"/>
      <c r="E574" s="382"/>
      <c r="F574" s="382"/>
      <c r="G574" s="382"/>
      <c r="H574" s="382"/>
      <c r="I574" s="382"/>
      <c r="J574" s="382"/>
      <c r="K574" s="382"/>
      <c r="L574" s="382"/>
      <c r="M574" s="382"/>
      <c r="N574" s="382"/>
      <c r="O574" s="382"/>
      <c r="P574" s="382"/>
      <c r="Q574" s="382"/>
      <c r="R574" s="382"/>
      <c r="S574" s="382"/>
      <c r="T574" s="382"/>
      <c r="U574" s="382"/>
      <c r="V574" s="382"/>
      <c r="W574" s="382"/>
      <c r="X574" s="382"/>
      <c r="Y574" s="382"/>
      <c r="Z574" s="382"/>
      <c r="AA574" s="306"/>
      <c r="AB574" s="99"/>
      <c r="AC574" s="111"/>
      <c r="AD574" s="97"/>
    </row>
    <row r="575" spans="1:32" s="95" customFormat="1" ht="18" customHeight="1">
      <c r="A575" s="98"/>
      <c r="C575" s="278" t="s">
        <v>16</v>
      </c>
      <c r="D575" s="278"/>
      <c r="E575" s="278"/>
      <c r="F575" s="278"/>
      <c r="G575" s="277">
        <v>200</v>
      </c>
      <c r="H575" s="277"/>
      <c r="I575" s="277"/>
      <c r="J575" s="277"/>
      <c r="K575" s="277"/>
      <c r="L575" s="277"/>
      <c r="M575" s="277"/>
      <c r="N575" s="277"/>
      <c r="O575" s="277"/>
      <c r="P575" s="277"/>
      <c r="Q575" s="277"/>
      <c r="R575" s="277"/>
      <c r="S575" s="277"/>
      <c r="T575" s="277"/>
      <c r="U575" s="277"/>
      <c r="V575" s="277"/>
      <c r="W575" s="277"/>
      <c r="X575" s="277"/>
      <c r="Y575" s="277"/>
      <c r="Z575" s="277"/>
      <c r="AA575" s="277"/>
      <c r="AB575" s="99"/>
      <c r="AC575" s="111"/>
      <c r="AD575" s="97"/>
    </row>
    <row r="576" spans="1:32" s="95" customFormat="1" ht="18" customHeight="1">
      <c r="A576" s="98"/>
      <c r="C576" s="278" t="s">
        <v>650</v>
      </c>
      <c r="D576" s="278"/>
      <c r="E576" s="278"/>
      <c r="F576" s="278"/>
      <c r="G576" s="29" t="s">
        <v>468</v>
      </c>
      <c r="H576" s="29"/>
      <c r="I576" s="29"/>
      <c r="J576" s="29"/>
      <c r="K576" s="29"/>
      <c r="L576" s="29"/>
      <c r="M576" s="29"/>
      <c r="N576" s="29"/>
      <c r="O576" s="29"/>
      <c r="P576" s="29"/>
      <c r="Q576" s="29"/>
      <c r="R576" s="29"/>
      <c r="S576" s="29"/>
      <c r="T576" s="29"/>
      <c r="U576" s="29"/>
      <c r="V576" s="29"/>
      <c r="W576" s="29"/>
      <c r="X576" s="29"/>
      <c r="Y576" s="29"/>
      <c r="Z576" s="29"/>
      <c r="AA576" s="30"/>
      <c r="AB576" s="99"/>
      <c r="AC576" s="111"/>
      <c r="AD576" s="97"/>
    </row>
    <row r="577" spans="1:30" s="95" customFormat="1" ht="18" customHeight="1">
      <c r="A577" s="98"/>
      <c r="C577" s="278" t="s">
        <v>469</v>
      </c>
      <c r="D577" s="278"/>
      <c r="E577" s="278"/>
      <c r="F577" s="278"/>
      <c r="G577" s="29" t="s">
        <v>900</v>
      </c>
      <c r="H577" s="29"/>
      <c r="I577" s="29"/>
      <c r="J577" s="29"/>
      <c r="K577" s="29"/>
      <c r="L577" s="29"/>
      <c r="M577" s="29"/>
      <c r="N577" s="29"/>
      <c r="O577" s="29"/>
      <c r="P577" s="29"/>
      <c r="Q577" s="29"/>
      <c r="R577" s="29"/>
      <c r="S577" s="29"/>
      <c r="T577" s="29"/>
      <c r="U577" s="29"/>
      <c r="V577" s="29"/>
      <c r="W577" s="29"/>
      <c r="X577" s="29"/>
      <c r="Y577" s="29"/>
      <c r="Z577" s="29"/>
      <c r="AA577" s="30"/>
      <c r="AB577" s="99"/>
      <c r="AC577" s="111"/>
      <c r="AD577" s="97"/>
    </row>
    <row r="578" spans="1:30" ht="18" customHeight="1">
      <c r="A578" s="98"/>
      <c r="B578" s="95"/>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9"/>
    </row>
    <row r="579" spans="1:30" ht="18" customHeight="1">
      <c r="A579" s="106"/>
      <c r="B579" s="107"/>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c r="AA579" s="141"/>
      <c r="AB579" s="108"/>
    </row>
    <row r="580" spans="1:30" ht="18" customHeight="1">
      <c r="A580" s="98"/>
      <c r="B580" s="95" t="s">
        <v>19</v>
      </c>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9"/>
    </row>
    <row r="581" spans="1:30" ht="18" customHeight="1">
      <c r="A581" s="98"/>
      <c r="B581" s="106"/>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8"/>
      <c r="AB581" s="99"/>
    </row>
    <row r="582" spans="1:30" ht="18" customHeight="1">
      <c r="A582" s="98"/>
      <c r="B582" s="98"/>
      <c r="C582" s="95" t="s">
        <v>298</v>
      </c>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9"/>
      <c r="AB582" s="99"/>
    </row>
    <row r="583" spans="1:30" ht="18" customHeight="1">
      <c r="A583" s="98"/>
      <c r="B583" s="98"/>
      <c r="C583" s="95" t="s">
        <v>21</v>
      </c>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9"/>
      <c r="AB583" s="99"/>
    </row>
    <row r="584" spans="1:30" ht="18" customHeight="1">
      <c r="A584" s="98"/>
      <c r="B584" s="98"/>
      <c r="C584" s="95" t="s">
        <v>32</v>
      </c>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9"/>
      <c r="AB584" s="99"/>
    </row>
    <row r="585" spans="1:30" ht="18" customHeight="1">
      <c r="A585" s="98"/>
      <c r="B585" s="98"/>
      <c r="C585" s="95" t="s">
        <v>28</v>
      </c>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9"/>
      <c r="AB585" s="99"/>
    </row>
    <row r="586" spans="1:30" ht="18" customHeight="1">
      <c r="A586" s="98"/>
      <c r="B586" s="98"/>
      <c r="C586" s="95" t="s">
        <v>72</v>
      </c>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9"/>
      <c r="AB586" s="99"/>
    </row>
    <row r="587" spans="1:30" ht="18" customHeight="1">
      <c r="A587" s="98"/>
      <c r="B587" s="98"/>
      <c r="C587" s="95" t="s">
        <v>27</v>
      </c>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9"/>
      <c r="AB587" s="99"/>
    </row>
    <row r="588" spans="1:30" ht="18" customHeight="1">
      <c r="A588" s="98"/>
      <c r="B588" s="98"/>
      <c r="C588" s="95" t="s">
        <v>21</v>
      </c>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9"/>
      <c r="AB588" s="99"/>
    </row>
    <row r="589" spans="1:30" ht="18" customHeight="1">
      <c r="A589" s="98"/>
      <c r="B589" s="98"/>
      <c r="C589" s="95" t="s">
        <v>49</v>
      </c>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9"/>
      <c r="AB589" s="99"/>
    </row>
    <row r="590" spans="1:30" ht="18" customHeight="1">
      <c r="A590" s="98"/>
      <c r="B590" s="98"/>
      <c r="C590" s="95" t="s">
        <v>28</v>
      </c>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9"/>
      <c r="AB590" s="99"/>
    </row>
    <row r="591" spans="1:30" ht="18" customHeight="1">
      <c r="A591" s="98"/>
      <c r="B591" s="102"/>
      <c r="C591" s="103" t="s">
        <v>26</v>
      </c>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c r="AA591" s="104"/>
      <c r="AB591" s="99"/>
    </row>
    <row r="592" spans="1:30" ht="18" customHeight="1">
      <c r="A592" s="98"/>
      <c r="B592" s="95"/>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c r="AB592" s="99"/>
    </row>
    <row r="593" spans="1:28" ht="18" customHeight="1">
      <c r="A593" s="102"/>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c r="AA593" s="103"/>
      <c r="AB593" s="104"/>
    </row>
  </sheetData>
  <mergeCells count="463">
    <mergeCell ref="B538:AA538"/>
    <mergeCell ref="L564:AA564"/>
    <mergeCell ref="C160:D160"/>
    <mergeCell ref="C161:D161"/>
    <mergeCell ref="C164:AA164"/>
    <mergeCell ref="C165:F165"/>
    <mergeCell ref="G165:AA165"/>
    <mergeCell ref="C178:D178"/>
    <mergeCell ref="C179:D179"/>
    <mergeCell ref="C166:F166"/>
    <mergeCell ref="C167:F167"/>
    <mergeCell ref="G167:AA167"/>
    <mergeCell ref="C395:D395"/>
    <mergeCell ref="C396:D396"/>
    <mergeCell ref="C397:D397"/>
    <mergeCell ref="C388:D388"/>
    <mergeCell ref="C392:D392"/>
    <mergeCell ref="C394:D394"/>
    <mergeCell ref="C533:D533"/>
    <mergeCell ref="C535:D535"/>
    <mergeCell ref="C215:D215"/>
    <mergeCell ref="C431:F431"/>
    <mergeCell ref="L308:AA308"/>
    <mergeCell ref="C391:D391"/>
    <mergeCell ref="C412:D412"/>
    <mergeCell ref="C309:D309"/>
    <mergeCell ref="C413:D413"/>
    <mergeCell ref="C138:F138"/>
    <mergeCell ref="G138:AA138"/>
    <mergeCell ref="C139:F139"/>
    <mergeCell ref="G139:AA139"/>
    <mergeCell ref="C137:F137"/>
    <mergeCell ref="G137:AA137"/>
    <mergeCell ref="C140:F142"/>
    <mergeCell ref="G140:AA140"/>
    <mergeCell ref="G141:AA141"/>
    <mergeCell ref="G142:AA142"/>
    <mergeCell ref="E411:K411"/>
    <mergeCell ref="C245:AA245"/>
    <mergeCell ref="C246:F246"/>
    <mergeCell ref="G246:AA246"/>
    <mergeCell ref="C236:D236"/>
    <mergeCell ref="C237:D237"/>
    <mergeCell ref="C238:D238"/>
    <mergeCell ref="C239:D239"/>
    <mergeCell ref="C202:D202"/>
    <mergeCell ref="C228:D228"/>
    <mergeCell ref="C152:D152"/>
    <mergeCell ref="C155:D155"/>
    <mergeCell ref="C154:D154"/>
    <mergeCell ref="C153:D153"/>
    <mergeCell ref="C159:D159"/>
    <mergeCell ref="E159:K159"/>
    <mergeCell ref="L159:AA159"/>
    <mergeCell ref="B313:AA313"/>
    <mergeCell ref="B357:AA357"/>
    <mergeCell ref="C229:D229"/>
    <mergeCell ref="C203:D203"/>
    <mergeCell ref="C204:D204"/>
    <mergeCell ref="C143:F143"/>
    <mergeCell ref="G143:AA143"/>
    <mergeCell ref="C144:F146"/>
    <mergeCell ref="G144:AA144"/>
    <mergeCell ref="G145:AA145"/>
    <mergeCell ref="G146:AA146"/>
    <mergeCell ref="C151:D151"/>
    <mergeCell ref="E151:K151"/>
    <mergeCell ref="L151:AA151"/>
    <mergeCell ref="L108:M108"/>
    <mergeCell ref="L52:M52"/>
    <mergeCell ref="L51:M51"/>
    <mergeCell ref="L107:M107"/>
    <mergeCell ref="L106:M106"/>
    <mergeCell ref="L105:M105"/>
    <mergeCell ref="L104:M104"/>
    <mergeCell ref="C308:D308"/>
    <mergeCell ref="L103:M103"/>
    <mergeCell ref="L102:M102"/>
    <mergeCell ref="L101:M101"/>
    <mergeCell ref="L100:M100"/>
    <mergeCell ref="L294:AA294"/>
    <mergeCell ref="L97:M97"/>
    <mergeCell ref="L96:M96"/>
    <mergeCell ref="C116:F116"/>
    <mergeCell ref="G116:AA116"/>
    <mergeCell ref="C117:F119"/>
    <mergeCell ref="G117:AA117"/>
    <mergeCell ref="G119:AA119"/>
    <mergeCell ref="C120:F120"/>
    <mergeCell ref="G120:AA120"/>
    <mergeCell ref="C121:F123"/>
    <mergeCell ref="C134:D134"/>
    <mergeCell ref="G118:AA118"/>
    <mergeCell ref="G122:AA122"/>
    <mergeCell ref="C132:D132"/>
    <mergeCell ref="E132:K132"/>
    <mergeCell ref="L132:AA132"/>
    <mergeCell ref="L88:M88"/>
    <mergeCell ref="L89:M89"/>
    <mergeCell ref="L90:M90"/>
    <mergeCell ref="L91:M91"/>
    <mergeCell ref="L92:M92"/>
    <mergeCell ref="L99:M99"/>
    <mergeCell ref="L98:M98"/>
    <mergeCell ref="G121:AA121"/>
    <mergeCell ref="G123:AA123"/>
    <mergeCell ref="G124:AA124"/>
    <mergeCell ref="C125:F127"/>
    <mergeCell ref="G125:AA125"/>
    <mergeCell ref="G126:AA126"/>
    <mergeCell ref="G127:AA127"/>
    <mergeCell ref="C124:F124"/>
    <mergeCell ref="L95:M95"/>
    <mergeCell ref="L93:M93"/>
    <mergeCell ref="N95:AA95"/>
    <mergeCell ref="L94:M94"/>
    <mergeCell ref="L13:M13"/>
    <mergeCell ref="L12:M12"/>
    <mergeCell ref="L11:M11"/>
    <mergeCell ref="L10:M10"/>
    <mergeCell ref="L9:M9"/>
    <mergeCell ref="L87:M87"/>
    <mergeCell ref="L86:M86"/>
    <mergeCell ref="L85:M85"/>
    <mergeCell ref="L84:M84"/>
    <mergeCell ref="L83:M83"/>
    <mergeCell ref="L82:M82"/>
    <mergeCell ref="L81:M81"/>
    <mergeCell ref="L80:M80"/>
    <mergeCell ref="L79:M79"/>
    <mergeCell ref="L78:M78"/>
    <mergeCell ref="L77:M77"/>
    <mergeCell ref="L76:M76"/>
    <mergeCell ref="L75:M75"/>
    <mergeCell ref="L74:M74"/>
    <mergeCell ref="L71:M71"/>
    <mergeCell ref="L70:M70"/>
    <mergeCell ref="L69:M69"/>
    <mergeCell ref="L68:M68"/>
    <mergeCell ref="L27:M27"/>
    <mergeCell ref="L24:M24"/>
    <mergeCell ref="L23:M23"/>
    <mergeCell ref="L22:M22"/>
    <mergeCell ref="L21:M21"/>
    <mergeCell ref="L20:M20"/>
    <mergeCell ref="L15:M15"/>
    <mergeCell ref="L17:M17"/>
    <mergeCell ref="L18:M18"/>
    <mergeCell ref="L44:M44"/>
    <mergeCell ref="L43:M43"/>
    <mergeCell ref="L42:M42"/>
    <mergeCell ref="L41:M41"/>
    <mergeCell ref="L40:M40"/>
    <mergeCell ref="L39:M39"/>
    <mergeCell ref="L38:M38"/>
    <mergeCell ref="L37:M37"/>
    <mergeCell ref="L19:M19"/>
    <mergeCell ref="L25:M25"/>
    <mergeCell ref="L16:M16"/>
    <mergeCell ref="L36:M36"/>
    <mergeCell ref="L35:M35"/>
    <mergeCell ref="L34:M34"/>
    <mergeCell ref="L33:M33"/>
    <mergeCell ref="L32:M32"/>
    <mergeCell ref="L46:M46"/>
    <mergeCell ref="L67:M67"/>
    <mergeCell ref="L66:M66"/>
    <mergeCell ref="L65:M65"/>
    <mergeCell ref="L64:M64"/>
    <mergeCell ref="L63:M63"/>
    <mergeCell ref="L62:M62"/>
    <mergeCell ref="L61:M61"/>
    <mergeCell ref="L60:M60"/>
    <mergeCell ref="L59:M59"/>
    <mergeCell ref="L58:M58"/>
    <mergeCell ref="L57:M57"/>
    <mergeCell ref="L56:M56"/>
    <mergeCell ref="L54:M54"/>
    <mergeCell ref="L53:M53"/>
    <mergeCell ref="L73:M73"/>
    <mergeCell ref="L48:M48"/>
    <mergeCell ref="L47:M47"/>
    <mergeCell ref="L50:M50"/>
    <mergeCell ref="L49:M49"/>
    <mergeCell ref="C295:D295"/>
    <mergeCell ref="C296:D296"/>
    <mergeCell ref="C298:D298"/>
    <mergeCell ref="C284:D284"/>
    <mergeCell ref="C283:F283"/>
    <mergeCell ref="G283:AA283"/>
    <mergeCell ref="E284:K284"/>
    <mergeCell ref="L284:AA284"/>
    <mergeCell ref="C289:D289"/>
    <mergeCell ref="C294:D294"/>
    <mergeCell ref="C288:D288"/>
    <mergeCell ref="C285:D285"/>
    <mergeCell ref="C286:D286"/>
    <mergeCell ref="C287:D287"/>
    <mergeCell ref="C292:F292"/>
    <mergeCell ref="G292:AA292"/>
    <mergeCell ref="C293:F293"/>
    <mergeCell ref="G293:AA293"/>
    <mergeCell ref="C133:D133"/>
    <mergeCell ref="A1:G2"/>
    <mergeCell ref="H1:AB2"/>
    <mergeCell ref="A3:G4"/>
    <mergeCell ref="H3:AB4"/>
    <mergeCell ref="A5:C5"/>
    <mergeCell ref="D5:G5"/>
    <mergeCell ref="H5:J5"/>
    <mergeCell ref="K5:N5"/>
    <mergeCell ref="O5:Q5"/>
    <mergeCell ref="R5:U5"/>
    <mergeCell ref="V5:X5"/>
    <mergeCell ref="Y5:AB5"/>
    <mergeCell ref="L31:M31"/>
    <mergeCell ref="L30:M30"/>
    <mergeCell ref="L29:M29"/>
    <mergeCell ref="L14:M14"/>
    <mergeCell ref="L26:M26"/>
    <mergeCell ref="L72:M72"/>
    <mergeCell ref="C225:D225"/>
    <mergeCell ref="C8:K8"/>
    <mergeCell ref="L8:M8"/>
    <mergeCell ref="C193:D193"/>
    <mergeCell ref="C196:D196"/>
    <mergeCell ref="C195:D195"/>
    <mergeCell ref="C192:D192"/>
    <mergeCell ref="C197:D197"/>
    <mergeCell ref="C200:D200"/>
    <mergeCell ref="L192:AA192"/>
    <mergeCell ref="C210:D210"/>
    <mergeCell ref="C211:D211"/>
    <mergeCell ref="C212:D212"/>
    <mergeCell ref="C213:D213"/>
    <mergeCell ref="C214:D214"/>
    <mergeCell ref="L28:M28"/>
    <mergeCell ref="L45:M45"/>
    <mergeCell ref="C207:D207"/>
    <mergeCell ref="C240:D240"/>
    <mergeCell ref="C241:D241"/>
    <mergeCell ref="C233:D233"/>
    <mergeCell ref="C234:D234"/>
    <mergeCell ref="C235:D235"/>
    <mergeCell ref="C230:D230"/>
    <mergeCell ref="C231:D231"/>
    <mergeCell ref="C232:D232"/>
    <mergeCell ref="C227:D227"/>
    <mergeCell ref="C414:D414"/>
    <mergeCell ref="C250:F252"/>
    <mergeCell ref="G250:AA250"/>
    <mergeCell ref="G251:AA251"/>
    <mergeCell ref="G252:AA252"/>
    <mergeCell ref="C255:D255"/>
    <mergeCell ref="E255:K255"/>
    <mergeCell ref="L255:AA255"/>
    <mergeCell ref="C256:D256"/>
    <mergeCell ref="C259:F259"/>
    <mergeCell ref="G259:AA259"/>
    <mergeCell ref="E294:K294"/>
    <mergeCell ref="C307:D307"/>
    <mergeCell ref="C297:D297"/>
    <mergeCell ref="C299:D299"/>
    <mergeCell ref="C300:D300"/>
    <mergeCell ref="C301:D301"/>
    <mergeCell ref="C302:D302"/>
    <mergeCell ref="C303:D303"/>
    <mergeCell ref="C304:D304"/>
    <mergeCell ref="C305:D305"/>
    <mergeCell ref="C306:D306"/>
    <mergeCell ref="C277:D277"/>
    <mergeCell ref="C278:D278"/>
    <mergeCell ref="G382:AA382"/>
    <mergeCell ref="G383:AA383"/>
    <mergeCell ref="L385:AA385"/>
    <mergeCell ref="E384:K384"/>
    <mergeCell ref="L384:AA384"/>
    <mergeCell ref="L412:AA412"/>
    <mergeCell ref="L438:AA438"/>
    <mergeCell ref="C393:D393"/>
    <mergeCell ref="C385:D385"/>
    <mergeCell ref="C386:D386"/>
    <mergeCell ref="C387:D387"/>
    <mergeCell ref="C389:D389"/>
    <mergeCell ref="C390:D390"/>
    <mergeCell ref="C384:D384"/>
    <mergeCell ref="C382:F382"/>
    <mergeCell ref="C383:F383"/>
    <mergeCell ref="C415:D415"/>
    <mergeCell ref="C416:D416"/>
    <mergeCell ref="C417:D417"/>
    <mergeCell ref="C418:D418"/>
    <mergeCell ref="C419:D419"/>
    <mergeCell ref="C409:F409"/>
    <mergeCell ref="C410:F410"/>
    <mergeCell ref="C411:D411"/>
    <mergeCell ref="N8:AA8"/>
    <mergeCell ref="E261:K261"/>
    <mergeCell ref="E192:K192"/>
    <mergeCell ref="C190:F190"/>
    <mergeCell ref="G190:AA190"/>
    <mergeCell ref="C191:F191"/>
    <mergeCell ref="G191:AA191"/>
    <mergeCell ref="C172:F172"/>
    <mergeCell ref="G172:AA172"/>
    <mergeCell ref="C173:F175"/>
    <mergeCell ref="G173:AA173"/>
    <mergeCell ref="G174:AA174"/>
    <mergeCell ref="G175:AA175"/>
    <mergeCell ref="E178:K178"/>
    <mergeCell ref="L178:AA178"/>
    <mergeCell ref="C180:D180"/>
    <mergeCell ref="C194:D194"/>
    <mergeCell ref="C183:F183"/>
    <mergeCell ref="G183:AA183"/>
    <mergeCell ref="C184:F184"/>
    <mergeCell ref="G184:AA184"/>
    <mergeCell ref="C224:D224"/>
    <mergeCell ref="L55:M55"/>
    <mergeCell ref="L186:AA186"/>
    <mergeCell ref="C187:D187"/>
    <mergeCell ref="C185:F185"/>
    <mergeCell ref="G185:AA185"/>
    <mergeCell ref="C249:F249"/>
    <mergeCell ref="G249:AA249"/>
    <mergeCell ref="C242:D242"/>
    <mergeCell ref="C198:D198"/>
    <mergeCell ref="C199:D199"/>
    <mergeCell ref="C226:D226"/>
    <mergeCell ref="C216:D216"/>
    <mergeCell ref="C217:D217"/>
    <mergeCell ref="C218:D218"/>
    <mergeCell ref="C219:D219"/>
    <mergeCell ref="C220:D220"/>
    <mergeCell ref="C221:D221"/>
    <mergeCell ref="C222:D222"/>
    <mergeCell ref="C223:D223"/>
    <mergeCell ref="C208:D208"/>
    <mergeCell ref="C209:D209"/>
    <mergeCell ref="C205:D205"/>
    <mergeCell ref="C206:D206"/>
    <mergeCell ref="C186:D186"/>
    <mergeCell ref="E186:K186"/>
    <mergeCell ref="C201:D201"/>
    <mergeCell ref="B311:AA312"/>
    <mergeCell ref="C338:F338"/>
    <mergeCell ref="G338:AA338"/>
    <mergeCell ref="C339:F339"/>
    <mergeCell ref="G339:AA339"/>
    <mergeCell ref="L341:AA341"/>
    <mergeCell ref="B355:AA356"/>
    <mergeCell ref="E340:K340"/>
    <mergeCell ref="L340:AA340"/>
    <mergeCell ref="C342:D342"/>
    <mergeCell ref="C343:D343"/>
    <mergeCell ref="C344:D344"/>
    <mergeCell ref="C349:D349"/>
    <mergeCell ref="C352:D352"/>
    <mergeCell ref="C350:D350"/>
    <mergeCell ref="C351:D351"/>
    <mergeCell ref="C353:D353"/>
    <mergeCell ref="C345:D345"/>
    <mergeCell ref="C346:D346"/>
    <mergeCell ref="C347:D347"/>
    <mergeCell ref="C348:D348"/>
    <mergeCell ref="C340:D340"/>
    <mergeCell ref="C341:D341"/>
    <mergeCell ref="G273:AA273"/>
    <mergeCell ref="C260:F260"/>
    <mergeCell ref="G260:AA260"/>
    <mergeCell ref="C274:F274"/>
    <mergeCell ref="G274:AA274"/>
    <mergeCell ref="E275:K275"/>
    <mergeCell ref="L275:AA275"/>
    <mergeCell ref="C282:F282"/>
    <mergeCell ref="G282:AA282"/>
    <mergeCell ref="C269:D269"/>
    <mergeCell ref="C267:D267"/>
    <mergeCell ref="C268:D268"/>
    <mergeCell ref="L261:AA261"/>
    <mergeCell ref="C265:D265"/>
    <mergeCell ref="C266:D266"/>
    <mergeCell ref="C261:D261"/>
    <mergeCell ref="C279:D279"/>
    <mergeCell ref="C270:D270"/>
    <mergeCell ref="C262:D262"/>
    <mergeCell ref="C263:D263"/>
    <mergeCell ref="C264:D264"/>
    <mergeCell ref="C275:D275"/>
    <mergeCell ref="C276:D276"/>
    <mergeCell ref="C273:F273"/>
    <mergeCell ref="C420:D420"/>
    <mergeCell ref="C421:D421"/>
    <mergeCell ref="C422:D422"/>
    <mergeCell ref="C435:F435"/>
    <mergeCell ref="L411:AA411"/>
    <mergeCell ref="C577:F577"/>
    <mergeCell ref="C568:AA568"/>
    <mergeCell ref="C569:F569"/>
    <mergeCell ref="G569:AA569"/>
    <mergeCell ref="C570:F570"/>
    <mergeCell ref="C571:F571"/>
    <mergeCell ref="C574:AA574"/>
    <mergeCell ref="C575:F575"/>
    <mergeCell ref="G575:AA575"/>
    <mergeCell ref="C576:F576"/>
    <mergeCell ref="C562:F562"/>
    <mergeCell ref="E563:K563"/>
    <mergeCell ref="L563:AA563"/>
    <mergeCell ref="C565:D565"/>
    <mergeCell ref="C497:D497"/>
    <mergeCell ref="C487:F487"/>
    <mergeCell ref="C488:F488"/>
    <mergeCell ref="C563:D563"/>
    <mergeCell ref="C564:D564"/>
    <mergeCell ref="C404:AA405"/>
    <mergeCell ref="C481:D481"/>
    <mergeCell ref="E481:K481"/>
    <mergeCell ref="L481:AA481"/>
    <mergeCell ref="C482:D482"/>
    <mergeCell ref="C483:D483"/>
    <mergeCell ref="C472:D472"/>
    <mergeCell ref="C475:D475"/>
    <mergeCell ref="C476:D476"/>
    <mergeCell ref="C477:D477"/>
    <mergeCell ref="C478:D478"/>
    <mergeCell ref="C473:D473"/>
    <mergeCell ref="C474:D474"/>
    <mergeCell ref="L476:AA476"/>
    <mergeCell ref="C470:F470"/>
    <mergeCell ref="C471:F471"/>
    <mergeCell ref="C427:D427"/>
    <mergeCell ref="C438:D438"/>
    <mergeCell ref="C439:D439"/>
    <mergeCell ref="C426:D426"/>
    <mergeCell ref="C430:F430"/>
    <mergeCell ref="C423:D423"/>
    <mergeCell ref="C424:D424"/>
    <mergeCell ref="C425:D425"/>
    <mergeCell ref="G432:AA432"/>
    <mergeCell ref="B443:AA443"/>
    <mergeCell ref="C561:F561"/>
    <mergeCell ref="C489:F492"/>
    <mergeCell ref="C493:F493"/>
    <mergeCell ref="C496:D496"/>
    <mergeCell ref="E496:K496"/>
    <mergeCell ref="L496:AA496"/>
    <mergeCell ref="C532:D532"/>
    <mergeCell ref="C526:F526"/>
    <mergeCell ref="C527:F527"/>
    <mergeCell ref="E528:K528"/>
    <mergeCell ref="L528:AA528"/>
    <mergeCell ref="C498:D498"/>
    <mergeCell ref="C534:D534"/>
    <mergeCell ref="C528:D528"/>
    <mergeCell ref="C529:D529"/>
    <mergeCell ref="C530:D530"/>
    <mergeCell ref="C531:D531"/>
    <mergeCell ref="C484:D484"/>
    <mergeCell ref="C432:F434"/>
    <mergeCell ref="E438:K438"/>
    <mergeCell ref="B441:AA442"/>
    <mergeCell ref="B501:AA501"/>
  </mergeCells>
  <phoneticPr fontId="3"/>
  <pageMargins left="0.39370078740157499" right="0.39370078740157499" top="0.39370078740157499" bottom="0.39370078740157499" header="0.31496062992126" footer="0.31496062992126"/>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13B36-F9E0-4723-AFC6-4435DC5E0556}">
  <sheetPr>
    <tabColor theme="7" tint="0.39997558519241921"/>
  </sheetPr>
  <dimension ref="A1:AD65"/>
  <sheetViews>
    <sheetView topLeftCell="A61" zoomScaleNormal="100" workbookViewId="0">
      <selection activeCell="Q46" sqref="Q46"/>
    </sheetView>
  </sheetViews>
  <sheetFormatPr defaultColWidth="3.25" defaultRowHeight="18" customHeight="1"/>
  <cols>
    <col min="1" max="18" width="3.25" style="95"/>
    <col min="19" max="19" width="3.25" style="95" customWidth="1"/>
    <col min="20" max="16384" width="3.25" style="95"/>
  </cols>
  <sheetData>
    <row r="1" spans="1:30" ht="18" customHeight="1">
      <c r="A1" s="297" t="s">
        <v>758</v>
      </c>
      <c r="B1" s="297"/>
      <c r="C1" s="297"/>
      <c r="D1" s="297"/>
      <c r="E1" s="297"/>
      <c r="F1" s="297"/>
      <c r="G1" s="297"/>
      <c r="H1" s="298" t="s">
        <v>1152</v>
      </c>
      <c r="I1" s="298"/>
      <c r="J1" s="298"/>
      <c r="K1" s="298"/>
      <c r="L1" s="298"/>
      <c r="M1" s="298"/>
      <c r="N1" s="298"/>
      <c r="O1" s="298"/>
      <c r="P1" s="298"/>
      <c r="Q1" s="298"/>
      <c r="R1" s="298"/>
      <c r="S1" s="298"/>
      <c r="T1" s="298"/>
      <c r="U1" s="298"/>
      <c r="V1" s="298"/>
      <c r="W1" s="298"/>
      <c r="X1" s="298"/>
      <c r="Y1" s="298"/>
      <c r="Z1" s="298"/>
      <c r="AA1" s="298"/>
      <c r="AB1" s="298"/>
    </row>
    <row r="2" spans="1:30" ht="18" customHeight="1">
      <c r="A2" s="297"/>
      <c r="B2" s="297"/>
      <c r="C2" s="297"/>
      <c r="D2" s="297"/>
      <c r="E2" s="297"/>
      <c r="F2" s="297"/>
      <c r="G2" s="297"/>
      <c r="H2" s="298"/>
      <c r="I2" s="298"/>
      <c r="J2" s="298"/>
      <c r="K2" s="298"/>
      <c r="L2" s="298"/>
      <c r="M2" s="298"/>
      <c r="N2" s="298"/>
      <c r="O2" s="298"/>
      <c r="P2" s="298"/>
      <c r="Q2" s="298"/>
      <c r="R2" s="298"/>
      <c r="S2" s="298"/>
      <c r="T2" s="298"/>
      <c r="U2" s="298"/>
      <c r="V2" s="298"/>
      <c r="W2" s="298"/>
      <c r="X2" s="298"/>
      <c r="Y2" s="298"/>
      <c r="Z2" s="298"/>
      <c r="AA2" s="298"/>
      <c r="AB2" s="298"/>
    </row>
    <row r="3" spans="1:30" ht="18" customHeight="1">
      <c r="A3" s="297" t="s">
        <v>1</v>
      </c>
      <c r="B3" s="297"/>
      <c r="C3" s="297"/>
      <c r="D3" s="297"/>
      <c r="E3" s="297"/>
      <c r="F3" s="297"/>
      <c r="G3" s="297"/>
      <c r="H3" s="298"/>
      <c r="I3" s="298"/>
      <c r="J3" s="298"/>
      <c r="K3" s="298"/>
      <c r="L3" s="298"/>
      <c r="M3" s="298"/>
      <c r="N3" s="298"/>
      <c r="O3" s="298"/>
      <c r="P3" s="298"/>
      <c r="Q3" s="298"/>
      <c r="R3" s="298"/>
      <c r="S3" s="298"/>
      <c r="T3" s="298"/>
      <c r="U3" s="298"/>
      <c r="V3" s="298"/>
      <c r="W3" s="298"/>
      <c r="X3" s="298"/>
      <c r="Y3" s="298"/>
      <c r="Z3" s="298"/>
      <c r="AA3" s="298"/>
      <c r="AB3" s="298"/>
    </row>
    <row r="4" spans="1:30" ht="18" customHeight="1">
      <c r="A4" s="297"/>
      <c r="B4" s="297"/>
      <c r="C4" s="297"/>
      <c r="D4" s="297"/>
      <c r="E4" s="297"/>
      <c r="F4" s="297"/>
      <c r="G4" s="297"/>
      <c r="H4" s="298"/>
      <c r="I4" s="298"/>
      <c r="J4" s="298"/>
      <c r="K4" s="298"/>
      <c r="L4" s="298"/>
      <c r="M4" s="298"/>
      <c r="N4" s="298"/>
      <c r="O4" s="298"/>
      <c r="P4" s="298"/>
      <c r="Q4" s="298"/>
      <c r="R4" s="298"/>
      <c r="S4" s="298"/>
      <c r="T4" s="298"/>
      <c r="U4" s="298"/>
      <c r="V4" s="298"/>
      <c r="W4" s="298"/>
      <c r="X4" s="298"/>
      <c r="Y4" s="298"/>
      <c r="Z4" s="298"/>
      <c r="AA4" s="298"/>
      <c r="AB4" s="298"/>
    </row>
    <row r="5" spans="1:30" ht="18" customHeight="1">
      <c r="A5" s="280" t="s">
        <v>2</v>
      </c>
      <c r="B5" s="280"/>
      <c r="C5" s="280"/>
      <c r="D5" s="299" t="s">
        <v>933</v>
      </c>
      <c r="E5" s="299"/>
      <c r="F5" s="299"/>
      <c r="G5" s="299"/>
      <c r="H5" s="280" t="s">
        <v>3</v>
      </c>
      <c r="I5" s="280"/>
      <c r="J5" s="280"/>
      <c r="K5" s="300">
        <v>45970</v>
      </c>
      <c r="L5" s="299"/>
      <c r="M5" s="299"/>
      <c r="N5" s="299"/>
      <c r="O5" s="280" t="s">
        <v>4</v>
      </c>
      <c r="P5" s="280"/>
      <c r="Q5" s="280"/>
      <c r="R5" s="299"/>
      <c r="S5" s="299"/>
      <c r="T5" s="299"/>
      <c r="U5" s="299"/>
      <c r="V5" s="280" t="s">
        <v>5</v>
      </c>
      <c r="W5" s="280"/>
      <c r="X5" s="280"/>
      <c r="Y5" s="281"/>
      <c r="Z5" s="282"/>
      <c r="AA5" s="282"/>
      <c r="AB5" s="283"/>
      <c r="AC5" s="96"/>
      <c r="AD5" s="97"/>
    </row>
    <row r="6" spans="1:30" ht="18" customHeight="1">
      <c r="A6" s="98"/>
      <c r="AB6" s="99"/>
    </row>
    <row r="7" spans="1:30" ht="18" customHeight="1">
      <c r="A7" s="102"/>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4"/>
    </row>
    <row r="8" spans="1:30" ht="18" customHeight="1">
      <c r="A8" s="98"/>
      <c r="AB8" s="99"/>
    </row>
    <row r="9" spans="1:30" ht="18" customHeight="1">
      <c r="A9" s="98"/>
      <c r="B9" s="97" t="s">
        <v>1153</v>
      </c>
      <c r="C9" s="97"/>
      <c r="D9" s="97"/>
      <c r="E9" s="97"/>
      <c r="F9" s="97"/>
      <c r="AB9" s="99"/>
      <c r="AC9" s="188" t="s">
        <v>1242</v>
      </c>
    </row>
    <row r="10" spans="1:30" ht="18" customHeight="1">
      <c r="A10" s="98"/>
      <c r="B10" s="95" t="s">
        <v>6</v>
      </c>
      <c r="AB10" s="99"/>
      <c r="AC10" s="188" t="s">
        <v>1242</v>
      </c>
    </row>
    <row r="11" spans="1:30" ht="18" customHeight="1">
      <c r="A11" s="98"/>
      <c r="B11" s="69" t="s">
        <v>7</v>
      </c>
      <c r="C11" s="301" t="s">
        <v>8</v>
      </c>
      <c r="D11" s="302"/>
      <c r="E11" s="302"/>
      <c r="F11" s="302"/>
      <c r="G11" s="302"/>
      <c r="H11" s="302"/>
      <c r="I11" s="302"/>
      <c r="J11" s="302"/>
      <c r="K11" s="303"/>
      <c r="L11" s="301" t="s">
        <v>759</v>
      </c>
      <c r="M11" s="303"/>
      <c r="N11" s="301" t="s">
        <v>11</v>
      </c>
      <c r="O11" s="302"/>
      <c r="P11" s="303"/>
      <c r="Q11" s="304" t="s">
        <v>12</v>
      </c>
      <c r="R11" s="304"/>
      <c r="S11" s="304" t="s">
        <v>13</v>
      </c>
      <c r="T11" s="304"/>
      <c r="U11" s="304"/>
      <c r="V11" s="304"/>
      <c r="W11" s="304"/>
      <c r="X11" s="304"/>
      <c r="Y11" s="304"/>
      <c r="Z11" s="304"/>
      <c r="AA11" s="304"/>
      <c r="AB11" s="99"/>
      <c r="AC11" s="188" t="s">
        <v>1242</v>
      </c>
    </row>
    <row r="12" spans="1:30" ht="16.5">
      <c r="A12" s="98"/>
      <c r="B12" s="178">
        <v>1</v>
      </c>
      <c r="C12" s="145"/>
      <c r="D12" s="29"/>
      <c r="E12" s="29"/>
      <c r="F12" s="29"/>
      <c r="G12" s="29"/>
      <c r="H12" s="29"/>
      <c r="I12" s="29"/>
      <c r="J12" s="29"/>
      <c r="K12" s="30"/>
      <c r="L12" s="305"/>
      <c r="M12" s="306"/>
      <c r="N12" s="316"/>
      <c r="O12" s="316"/>
      <c r="P12" s="316"/>
      <c r="Q12" s="278"/>
      <c r="R12" s="278"/>
      <c r="S12" s="408"/>
      <c r="T12" s="318"/>
      <c r="U12" s="318"/>
      <c r="V12" s="318"/>
      <c r="W12" s="318"/>
      <c r="X12" s="318"/>
      <c r="Y12" s="318"/>
      <c r="Z12" s="318"/>
      <c r="AA12" s="318"/>
      <c r="AB12" s="99"/>
      <c r="AC12" s="188" t="s">
        <v>1242</v>
      </c>
    </row>
    <row r="13" spans="1:30" ht="16.5">
      <c r="A13" s="98"/>
      <c r="B13" s="190"/>
      <c r="C13" s="97"/>
      <c r="L13" s="96"/>
      <c r="M13" s="96"/>
      <c r="N13" s="190"/>
      <c r="O13" s="190"/>
      <c r="P13" s="190"/>
      <c r="Q13" s="96"/>
      <c r="R13" s="96"/>
      <c r="S13" s="147"/>
      <c r="T13" s="136"/>
      <c r="U13" s="136"/>
      <c r="V13" s="136"/>
      <c r="W13" s="136"/>
      <c r="X13" s="136"/>
      <c r="Y13" s="136"/>
      <c r="Z13" s="136"/>
      <c r="AA13" s="136"/>
      <c r="AB13" s="99"/>
      <c r="AC13" s="188" t="s">
        <v>1242</v>
      </c>
    </row>
    <row r="14" spans="1:30" ht="18" customHeight="1">
      <c r="A14" s="98"/>
      <c r="B14" s="97" t="s">
        <v>1192</v>
      </c>
      <c r="D14" s="97"/>
      <c r="E14" s="97"/>
      <c r="F14" s="97"/>
      <c r="AB14" s="99"/>
      <c r="AC14" s="188" t="s">
        <v>1242</v>
      </c>
    </row>
    <row r="15" spans="1:30" ht="18" customHeight="1">
      <c r="A15" s="98"/>
      <c r="B15" s="97"/>
      <c r="C15" s="136" t="s">
        <v>1060</v>
      </c>
      <c r="D15" s="136"/>
      <c r="E15" s="136"/>
      <c r="F15" s="136"/>
      <c r="G15" s="121"/>
      <c r="H15" s="121"/>
      <c r="I15" s="121"/>
      <c r="J15" s="121"/>
      <c r="AB15" s="99"/>
      <c r="AC15" s="188" t="s">
        <v>1242</v>
      </c>
    </row>
    <row r="16" spans="1:30" ht="18" customHeight="1">
      <c r="A16" s="98"/>
      <c r="B16" s="97"/>
      <c r="C16" s="136"/>
      <c r="D16" s="136" t="s">
        <v>1185</v>
      </c>
      <c r="E16" s="136"/>
      <c r="F16" s="136"/>
      <c r="G16" s="121"/>
      <c r="H16" s="121"/>
      <c r="I16" s="121"/>
      <c r="J16" s="121"/>
      <c r="AB16" s="99"/>
      <c r="AC16" s="188" t="s">
        <v>1242</v>
      </c>
    </row>
    <row r="17" spans="1:29" ht="18" customHeight="1">
      <c r="A17" s="98"/>
      <c r="B17" s="97"/>
      <c r="C17" s="136"/>
      <c r="D17" s="136" t="s">
        <v>1184</v>
      </c>
      <c r="E17" s="136"/>
      <c r="F17" s="136"/>
      <c r="G17" s="121"/>
      <c r="H17" s="121"/>
      <c r="I17" s="121"/>
      <c r="J17" s="121"/>
      <c r="AB17" s="99"/>
      <c r="AC17" s="188" t="s">
        <v>1242</v>
      </c>
    </row>
    <row r="18" spans="1:29" ht="18" customHeight="1">
      <c r="A18" s="98"/>
      <c r="B18" s="97"/>
      <c r="C18" s="136"/>
      <c r="D18" s="97" t="s">
        <v>1188</v>
      </c>
      <c r="E18" s="136"/>
      <c r="F18" s="136"/>
      <c r="G18" s="121"/>
      <c r="H18" s="121"/>
      <c r="I18" s="121"/>
      <c r="J18" s="121"/>
      <c r="AB18" s="99"/>
      <c r="AC18" s="188" t="s">
        <v>1242</v>
      </c>
    </row>
    <row r="19" spans="1:29" ht="18" customHeight="1">
      <c r="A19" s="98"/>
      <c r="B19" s="97"/>
      <c r="C19" s="136" t="s">
        <v>1061</v>
      </c>
      <c r="D19" s="136"/>
      <c r="E19" s="136"/>
      <c r="F19" s="136"/>
      <c r="G19" s="121"/>
      <c r="H19" s="121"/>
      <c r="I19" s="121"/>
      <c r="J19" s="121"/>
      <c r="AB19" s="99"/>
      <c r="AC19" s="188" t="s">
        <v>1242</v>
      </c>
    </row>
    <row r="20" spans="1:29" ht="18" customHeight="1">
      <c r="A20" s="98"/>
      <c r="B20" s="97"/>
      <c r="C20" s="136"/>
      <c r="D20" s="136" t="s">
        <v>1183</v>
      </c>
      <c r="E20" s="136"/>
      <c r="F20" s="136"/>
      <c r="G20" s="121"/>
      <c r="H20" s="121"/>
      <c r="I20" s="121"/>
      <c r="J20" s="121"/>
      <c r="AB20" s="99"/>
      <c r="AC20" s="188" t="s">
        <v>1242</v>
      </c>
    </row>
    <row r="21" spans="1:29" ht="18" customHeight="1">
      <c r="A21" s="98"/>
      <c r="B21" s="97"/>
      <c r="C21" s="136" t="s">
        <v>1066</v>
      </c>
      <c r="D21" s="136"/>
      <c r="E21" s="136"/>
      <c r="F21" s="136"/>
      <c r="G21" s="121"/>
      <c r="H21" s="121"/>
      <c r="I21" s="121"/>
      <c r="J21" s="121"/>
      <c r="AB21" s="99"/>
      <c r="AC21" s="188" t="s">
        <v>1242</v>
      </c>
    </row>
    <row r="22" spans="1:29" ht="18" customHeight="1">
      <c r="A22" s="98"/>
      <c r="B22" s="97"/>
      <c r="C22" s="136"/>
      <c r="D22" s="136" t="s">
        <v>1187</v>
      </c>
      <c r="E22" s="136"/>
      <c r="F22" s="136"/>
      <c r="G22" s="121"/>
      <c r="H22" s="121"/>
      <c r="I22" s="121"/>
      <c r="J22" s="121"/>
      <c r="AB22" s="99"/>
      <c r="AC22" s="188" t="s">
        <v>1242</v>
      </c>
    </row>
    <row r="23" spans="1:29" ht="18" customHeight="1">
      <c r="A23" s="98"/>
      <c r="B23" s="97"/>
      <c r="C23" s="136"/>
      <c r="D23" s="136" t="s">
        <v>1186</v>
      </c>
      <c r="E23" s="136"/>
      <c r="F23" s="136"/>
      <c r="G23" s="121"/>
      <c r="H23" s="121"/>
      <c r="I23" s="121"/>
      <c r="J23" s="121"/>
      <c r="AB23" s="99"/>
      <c r="AC23" s="188" t="s">
        <v>1242</v>
      </c>
    </row>
    <row r="24" spans="1:29" ht="18" customHeight="1">
      <c r="A24" s="98"/>
      <c r="B24" s="97"/>
      <c r="C24" s="136" t="s">
        <v>1081</v>
      </c>
      <c r="D24" s="97"/>
      <c r="E24" s="136"/>
      <c r="F24" s="136"/>
      <c r="G24" s="121"/>
      <c r="H24" s="121"/>
      <c r="I24" s="121"/>
      <c r="J24" s="121"/>
      <c r="AB24" s="99"/>
      <c r="AC24" s="188" t="s">
        <v>1242</v>
      </c>
    </row>
    <row r="25" spans="1:29" ht="18" customHeight="1">
      <c r="A25" s="98"/>
      <c r="B25" s="97"/>
      <c r="C25" s="136"/>
      <c r="D25" s="136" t="s">
        <v>1156</v>
      </c>
      <c r="E25" s="136"/>
      <c r="F25" s="136"/>
      <c r="G25" s="121"/>
      <c r="H25" s="121"/>
      <c r="I25" s="121"/>
      <c r="J25" s="121"/>
      <c r="AB25" s="99"/>
      <c r="AC25" s="188" t="s">
        <v>1242</v>
      </c>
    </row>
    <row r="26" spans="1:29" ht="18" customHeight="1">
      <c r="A26" s="98"/>
      <c r="B26" s="97"/>
      <c r="C26" s="136"/>
      <c r="D26" s="136"/>
      <c r="E26" s="136"/>
      <c r="F26" s="136"/>
      <c r="G26" s="121"/>
      <c r="H26" s="121"/>
      <c r="I26" s="121"/>
      <c r="J26" s="121"/>
      <c r="AB26" s="99"/>
      <c r="AC26" s="188" t="s">
        <v>1242</v>
      </c>
    </row>
    <row r="27" spans="1:29" ht="18" customHeight="1">
      <c r="A27" s="98"/>
      <c r="B27" s="136" t="s">
        <v>1217</v>
      </c>
      <c r="D27" s="136"/>
      <c r="E27" s="136"/>
      <c r="F27" s="136"/>
      <c r="G27" s="121"/>
      <c r="H27" s="121"/>
      <c r="I27" s="121"/>
      <c r="J27" s="121"/>
      <c r="AB27" s="99"/>
      <c r="AC27" s="188" t="s">
        <v>1242</v>
      </c>
    </row>
    <row r="28" spans="1:29" ht="18" customHeight="1">
      <c r="A28" s="98"/>
      <c r="B28" s="97"/>
      <c r="C28" s="310" t="s">
        <v>7</v>
      </c>
      <c r="D28" s="310"/>
      <c r="E28" s="310" t="s">
        <v>9</v>
      </c>
      <c r="F28" s="311"/>
      <c r="G28" s="311"/>
      <c r="H28" s="311"/>
      <c r="I28" s="311"/>
      <c r="J28" s="311"/>
      <c r="K28" s="312"/>
      <c r="L28" s="313" t="s">
        <v>18</v>
      </c>
      <c r="M28" s="314"/>
      <c r="N28" s="314"/>
      <c r="O28" s="314"/>
      <c r="P28" s="314"/>
      <c r="Q28" s="314"/>
      <c r="R28" s="314"/>
      <c r="S28" s="314"/>
      <c r="T28" s="314"/>
      <c r="U28" s="314"/>
      <c r="V28" s="314"/>
      <c r="W28" s="314"/>
      <c r="X28" s="314"/>
      <c r="Y28" s="314"/>
      <c r="Z28" s="314"/>
      <c r="AA28" s="315"/>
      <c r="AB28" s="99"/>
      <c r="AC28" s="188" t="s">
        <v>1242</v>
      </c>
    </row>
    <row r="29" spans="1:29" ht="18" customHeight="1">
      <c r="A29" s="98"/>
      <c r="B29" s="97"/>
      <c r="C29" s="316"/>
      <c r="D29" s="316"/>
      <c r="E29" s="145" t="s">
        <v>1158</v>
      </c>
      <c r="F29" s="133"/>
      <c r="G29" s="133"/>
      <c r="H29" s="133"/>
      <c r="I29" s="133"/>
      <c r="J29" s="133"/>
      <c r="K29" s="133"/>
      <c r="L29" s="145"/>
      <c r="M29" s="133"/>
      <c r="N29" s="133"/>
      <c r="O29" s="133"/>
      <c r="P29" s="133"/>
      <c r="Q29" s="133"/>
      <c r="R29" s="133"/>
      <c r="S29" s="133"/>
      <c r="T29" s="133"/>
      <c r="U29" s="133"/>
      <c r="V29" s="133"/>
      <c r="W29" s="133"/>
      <c r="X29" s="133"/>
      <c r="Y29" s="133"/>
      <c r="Z29" s="133"/>
      <c r="AA29" s="179"/>
      <c r="AB29" s="99"/>
      <c r="AC29" s="188" t="s">
        <v>1242</v>
      </c>
    </row>
    <row r="30" spans="1:29" ht="18" customHeight="1">
      <c r="A30" s="98"/>
      <c r="B30" s="97"/>
      <c r="C30" s="407" t="s">
        <v>1159</v>
      </c>
      <c r="D30" s="407"/>
      <c r="E30" s="145"/>
      <c r="F30" s="133" t="s">
        <v>1168</v>
      </c>
      <c r="G30" s="133"/>
      <c r="H30" s="133"/>
      <c r="I30" s="133"/>
      <c r="J30" s="133"/>
      <c r="K30" s="133"/>
      <c r="L30" s="145"/>
      <c r="M30" s="133"/>
      <c r="N30" s="133"/>
      <c r="O30" s="133"/>
      <c r="P30" s="133"/>
      <c r="Q30" s="133"/>
      <c r="R30" s="133"/>
      <c r="S30" s="133"/>
      <c r="T30" s="133"/>
      <c r="U30" s="133"/>
      <c r="V30" s="133"/>
      <c r="W30" s="133"/>
      <c r="X30" s="133"/>
      <c r="Y30" s="133"/>
      <c r="Z30" s="133"/>
      <c r="AA30" s="179"/>
      <c r="AB30" s="99"/>
      <c r="AC30" s="188" t="s">
        <v>1242</v>
      </c>
    </row>
    <row r="31" spans="1:29" ht="18" customHeight="1">
      <c r="A31" s="98"/>
      <c r="B31" s="97"/>
      <c r="C31" s="407" t="s">
        <v>1160</v>
      </c>
      <c r="D31" s="407"/>
      <c r="E31" s="145"/>
      <c r="F31" s="133" t="s">
        <v>1162</v>
      </c>
      <c r="G31" s="133"/>
      <c r="H31" s="133"/>
      <c r="I31" s="133"/>
      <c r="J31" s="133"/>
      <c r="K31" s="133"/>
      <c r="L31" s="145"/>
      <c r="M31" s="133"/>
      <c r="N31" s="133"/>
      <c r="O31" s="133"/>
      <c r="P31" s="133"/>
      <c r="Q31" s="133"/>
      <c r="R31" s="133"/>
      <c r="S31" s="133"/>
      <c r="T31" s="133"/>
      <c r="U31" s="133"/>
      <c r="V31" s="133"/>
      <c r="W31" s="133"/>
      <c r="X31" s="133"/>
      <c r="Y31" s="133"/>
      <c r="Z31" s="133"/>
      <c r="AA31" s="179"/>
      <c r="AB31" s="99"/>
      <c r="AC31" s="188" t="s">
        <v>1242</v>
      </c>
    </row>
    <row r="32" spans="1:29" ht="18" customHeight="1">
      <c r="A32" s="98"/>
      <c r="B32" s="97"/>
      <c r="C32" s="407" t="s">
        <v>1161</v>
      </c>
      <c r="D32" s="407"/>
      <c r="E32" s="145"/>
      <c r="F32" s="133" t="s">
        <v>1163</v>
      </c>
      <c r="G32" s="133"/>
      <c r="H32" s="133"/>
      <c r="I32" s="133"/>
      <c r="J32" s="133"/>
      <c r="K32" s="133"/>
      <c r="L32" s="145"/>
      <c r="M32" s="133"/>
      <c r="N32" s="133"/>
      <c r="O32" s="133"/>
      <c r="P32" s="133"/>
      <c r="Q32" s="133"/>
      <c r="R32" s="133"/>
      <c r="S32" s="133"/>
      <c r="T32" s="133"/>
      <c r="U32" s="133"/>
      <c r="V32" s="133"/>
      <c r="W32" s="133"/>
      <c r="X32" s="133"/>
      <c r="Y32" s="133"/>
      <c r="Z32" s="133"/>
      <c r="AA32" s="179"/>
      <c r="AB32" s="99"/>
      <c r="AC32" s="188" t="s">
        <v>1242</v>
      </c>
    </row>
    <row r="33" spans="1:29" ht="18" customHeight="1">
      <c r="A33" s="98"/>
      <c r="B33" s="97"/>
      <c r="C33" s="136"/>
      <c r="D33" s="136"/>
      <c r="E33" s="136"/>
      <c r="F33" s="136"/>
      <c r="G33" s="121"/>
      <c r="H33" s="121"/>
      <c r="I33" s="121"/>
      <c r="J33" s="121"/>
      <c r="AB33" s="99"/>
      <c r="AC33" s="188" t="s">
        <v>1242</v>
      </c>
    </row>
    <row r="34" spans="1:29" ht="18" customHeight="1">
      <c r="A34" s="98"/>
      <c r="B34" s="97" t="s">
        <v>1189</v>
      </c>
      <c r="C34" s="136"/>
      <c r="D34" s="136"/>
      <c r="E34" s="136"/>
      <c r="F34" s="136"/>
      <c r="G34" s="121"/>
      <c r="H34" s="121"/>
      <c r="I34" s="121"/>
      <c r="J34" s="121"/>
      <c r="AB34" s="99"/>
      <c r="AC34" s="188" t="s">
        <v>1242</v>
      </c>
    </row>
    <row r="35" spans="1:29" ht="18" customHeight="1">
      <c r="A35" s="98"/>
      <c r="B35" s="95" t="s">
        <v>6</v>
      </c>
      <c r="AB35" s="99"/>
      <c r="AC35" s="188" t="s">
        <v>1242</v>
      </c>
    </row>
    <row r="36" spans="1:29" ht="18" customHeight="1">
      <c r="A36" s="98"/>
      <c r="B36" s="69" t="s">
        <v>7</v>
      </c>
      <c r="C36" s="301" t="s">
        <v>8</v>
      </c>
      <c r="D36" s="302"/>
      <c r="E36" s="302"/>
      <c r="F36" s="302"/>
      <c r="G36" s="302"/>
      <c r="H36" s="302"/>
      <c r="I36" s="302"/>
      <c r="J36" s="302"/>
      <c r="K36" s="303"/>
      <c r="L36" s="301" t="s">
        <v>759</v>
      </c>
      <c r="M36" s="303"/>
      <c r="N36" s="301" t="s">
        <v>11</v>
      </c>
      <c r="O36" s="302"/>
      <c r="P36" s="303"/>
      <c r="Q36" s="304" t="s">
        <v>12</v>
      </c>
      <c r="R36" s="304"/>
      <c r="S36" s="304" t="s">
        <v>13</v>
      </c>
      <c r="T36" s="304"/>
      <c r="U36" s="304"/>
      <c r="V36" s="304"/>
      <c r="W36" s="304"/>
      <c r="X36" s="304"/>
      <c r="Y36" s="304"/>
      <c r="Z36" s="304"/>
      <c r="AA36" s="304"/>
      <c r="AB36" s="99"/>
      <c r="AC36" s="188" t="s">
        <v>1242</v>
      </c>
    </row>
    <row r="37" spans="1:29" ht="34.5" customHeight="1">
      <c r="A37" s="98"/>
      <c r="B37" s="178">
        <v>1</v>
      </c>
      <c r="C37" s="145" t="s">
        <v>1190</v>
      </c>
      <c r="D37" s="29"/>
      <c r="E37" s="29"/>
      <c r="F37" s="29"/>
      <c r="G37" s="29"/>
      <c r="H37" s="29"/>
      <c r="I37" s="29"/>
      <c r="J37" s="29"/>
      <c r="K37" s="30"/>
      <c r="L37" s="305"/>
      <c r="M37" s="306"/>
      <c r="N37" s="316" t="s">
        <v>1157</v>
      </c>
      <c r="O37" s="316"/>
      <c r="P37" s="316"/>
      <c r="Q37" s="278"/>
      <c r="R37" s="278"/>
      <c r="S37" s="408" t="s">
        <v>1191</v>
      </c>
      <c r="T37" s="318"/>
      <c r="U37" s="318"/>
      <c r="V37" s="318"/>
      <c r="W37" s="318"/>
      <c r="X37" s="318"/>
      <c r="Y37" s="318"/>
      <c r="Z37" s="318"/>
      <c r="AA37" s="318"/>
      <c r="AB37" s="99"/>
      <c r="AC37" s="188" t="s">
        <v>1242</v>
      </c>
    </row>
    <row r="38" spans="1:29" ht="18" customHeight="1">
      <c r="A38" s="98"/>
      <c r="B38" s="97"/>
      <c r="C38" s="136"/>
      <c r="D38" s="136"/>
      <c r="E38" s="136"/>
      <c r="F38" s="136"/>
      <c r="G38" s="121"/>
      <c r="H38" s="121"/>
      <c r="I38" s="121"/>
      <c r="J38" s="121"/>
      <c r="AB38" s="99"/>
      <c r="AC38" s="188" t="s">
        <v>1242</v>
      </c>
    </row>
    <row r="39" spans="1:29" ht="18" customHeight="1">
      <c r="A39" s="98"/>
      <c r="B39" s="97" t="s">
        <v>1192</v>
      </c>
      <c r="D39" s="97"/>
      <c r="E39" s="136"/>
      <c r="F39" s="136"/>
      <c r="G39" s="121"/>
      <c r="H39" s="121"/>
      <c r="I39" s="121"/>
      <c r="J39" s="121"/>
      <c r="AB39" s="99"/>
      <c r="AC39" s="188" t="s">
        <v>1242</v>
      </c>
    </row>
    <row r="40" spans="1:29" ht="18" customHeight="1">
      <c r="A40" s="98"/>
      <c r="B40" s="97"/>
      <c r="C40" s="136" t="s">
        <v>1060</v>
      </c>
      <c r="D40" s="136"/>
      <c r="E40" s="136"/>
      <c r="F40" s="136"/>
      <c r="G40" s="121"/>
      <c r="H40" s="121"/>
      <c r="I40" s="121"/>
      <c r="J40" s="121"/>
      <c r="AB40" s="99"/>
      <c r="AC40" s="188" t="s">
        <v>1242</v>
      </c>
    </row>
    <row r="41" spans="1:29" ht="18" customHeight="1">
      <c r="A41" s="98"/>
      <c r="B41" s="97"/>
      <c r="C41" s="136"/>
      <c r="D41" s="136" t="s">
        <v>1075</v>
      </c>
      <c r="E41" s="136"/>
      <c r="F41" s="136"/>
      <c r="G41" s="121"/>
      <c r="H41" s="121"/>
      <c r="I41" s="121"/>
      <c r="J41" s="121"/>
      <c r="AB41" s="99"/>
      <c r="AC41" s="188" t="s">
        <v>1242</v>
      </c>
    </row>
    <row r="42" spans="1:29" ht="18" customHeight="1">
      <c r="A42" s="98"/>
      <c r="B42" s="97"/>
      <c r="C42" s="136"/>
      <c r="D42" s="136" t="s">
        <v>1218</v>
      </c>
      <c r="E42" s="136"/>
      <c r="F42" s="136"/>
      <c r="G42" s="121"/>
      <c r="H42" s="121"/>
      <c r="I42" s="121"/>
      <c r="J42" s="121"/>
      <c r="AB42" s="99"/>
      <c r="AC42" s="188" t="s">
        <v>1242</v>
      </c>
    </row>
    <row r="43" spans="1:29" ht="18" customHeight="1">
      <c r="A43" s="98"/>
      <c r="B43" s="97"/>
      <c r="C43" s="136"/>
      <c r="D43" s="136" t="s">
        <v>1194</v>
      </c>
      <c r="E43" s="136"/>
      <c r="F43" s="136"/>
      <c r="G43" s="121"/>
      <c r="H43" s="121"/>
      <c r="I43" s="121"/>
      <c r="J43" s="121"/>
      <c r="AB43" s="99"/>
      <c r="AC43" s="188" t="s">
        <v>1242</v>
      </c>
    </row>
    <row r="44" spans="1:29" ht="18" customHeight="1">
      <c r="A44" s="98"/>
      <c r="B44" s="97"/>
      <c r="C44" s="136"/>
      <c r="D44" s="97" t="s">
        <v>1182</v>
      </c>
      <c r="E44" s="136"/>
      <c r="F44" s="136"/>
      <c r="G44" s="121"/>
      <c r="H44" s="121"/>
      <c r="I44" s="121"/>
      <c r="J44" s="121"/>
      <c r="AB44" s="99"/>
      <c r="AC44" s="188" t="s">
        <v>1242</v>
      </c>
    </row>
    <row r="45" spans="1:29" ht="18" customHeight="1">
      <c r="A45" s="98"/>
      <c r="B45" s="97"/>
      <c r="C45" s="136" t="s">
        <v>1061</v>
      </c>
      <c r="D45" s="136"/>
      <c r="E45" s="136"/>
      <c r="F45" s="136"/>
      <c r="G45" s="121"/>
      <c r="H45" s="121"/>
      <c r="I45" s="121"/>
      <c r="J45" s="121"/>
      <c r="AB45" s="99"/>
      <c r="AC45" s="188" t="s">
        <v>1242</v>
      </c>
    </row>
    <row r="46" spans="1:29" ht="18" customHeight="1">
      <c r="A46" s="98"/>
      <c r="B46" s="97"/>
      <c r="C46" s="136"/>
      <c r="D46" s="136" t="s">
        <v>1062</v>
      </c>
      <c r="E46" s="136"/>
      <c r="F46" s="136"/>
      <c r="G46" s="121"/>
      <c r="H46" s="121"/>
      <c r="I46" s="121"/>
      <c r="J46" s="121"/>
      <c r="AB46" s="99"/>
      <c r="AC46" s="188" t="s">
        <v>1242</v>
      </c>
    </row>
    <row r="47" spans="1:29" ht="18" customHeight="1">
      <c r="A47" s="98"/>
      <c r="B47" s="97"/>
      <c r="C47" s="136"/>
      <c r="D47" s="136" t="s">
        <v>1063</v>
      </c>
      <c r="E47" s="136"/>
      <c r="F47" s="136"/>
      <c r="G47" s="121"/>
      <c r="H47" s="121"/>
      <c r="I47" s="121"/>
      <c r="J47" s="121"/>
      <c r="AB47" s="99"/>
      <c r="AC47" s="188" t="s">
        <v>1242</v>
      </c>
    </row>
    <row r="48" spans="1:29" ht="18" customHeight="1">
      <c r="A48" s="98"/>
      <c r="B48" s="97"/>
      <c r="C48" s="136"/>
      <c r="E48" s="136" t="s">
        <v>1104</v>
      </c>
      <c r="F48" s="136"/>
      <c r="G48" s="121"/>
      <c r="H48" s="121"/>
      <c r="I48" s="121"/>
      <c r="J48" s="121"/>
      <c r="AB48" s="99"/>
      <c r="AC48" s="188" t="s">
        <v>1242</v>
      </c>
    </row>
    <row r="49" spans="1:29" ht="18" customHeight="1">
      <c r="A49" s="98"/>
      <c r="B49" s="97"/>
      <c r="C49" s="136"/>
      <c r="D49" s="136"/>
      <c r="E49" s="136" t="s">
        <v>1065</v>
      </c>
      <c r="F49" s="136"/>
      <c r="G49" s="121"/>
      <c r="H49" s="121"/>
      <c r="I49" s="121"/>
      <c r="J49" s="121"/>
      <c r="AB49" s="99"/>
      <c r="AC49" s="188" t="s">
        <v>1242</v>
      </c>
    </row>
    <row r="50" spans="1:29" ht="18" customHeight="1">
      <c r="A50" s="98"/>
      <c r="B50" s="97"/>
      <c r="C50" s="136"/>
      <c r="E50" s="136" t="s">
        <v>1198</v>
      </c>
      <c r="F50" s="136"/>
      <c r="G50" s="121"/>
      <c r="H50" s="121"/>
      <c r="I50" s="121"/>
      <c r="J50" s="121"/>
      <c r="AB50" s="99"/>
      <c r="AC50" s="188" t="s">
        <v>1242</v>
      </c>
    </row>
    <row r="51" spans="1:29" ht="18" customHeight="1">
      <c r="A51" s="98"/>
      <c r="B51" s="97"/>
      <c r="C51" s="136"/>
      <c r="D51" s="136" t="s">
        <v>1195</v>
      </c>
      <c r="E51" s="136"/>
      <c r="F51" s="136"/>
      <c r="G51" s="121"/>
      <c r="H51" s="121"/>
      <c r="I51" s="121"/>
      <c r="J51" s="121"/>
      <c r="AB51" s="99"/>
      <c r="AC51" s="188" t="s">
        <v>1242</v>
      </c>
    </row>
    <row r="52" spans="1:29" ht="18" customHeight="1">
      <c r="A52" s="98"/>
      <c r="B52" s="97"/>
      <c r="C52" s="136"/>
      <c r="E52" s="136" t="s">
        <v>1155</v>
      </c>
      <c r="F52" s="136"/>
      <c r="G52" s="121"/>
      <c r="H52" s="121"/>
      <c r="I52" s="121"/>
      <c r="J52" s="121"/>
      <c r="AB52" s="99"/>
      <c r="AC52" s="188" t="s">
        <v>1242</v>
      </c>
    </row>
    <row r="53" spans="1:29" ht="18" customHeight="1">
      <c r="A53" s="98"/>
      <c r="B53" s="97"/>
      <c r="C53" s="136"/>
      <c r="E53" s="136" t="s">
        <v>1197</v>
      </c>
      <c r="F53" s="136"/>
      <c r="G53" s="121"/>
      <c r="H53" s="121"/>
      <c r="I53" s="121"/>
      <c r="J53" s="121"/>
      <c r="AB53" s="99"/>
      <c r="AC53" s="188" t="s">
        <v>1242</v>
      </c>
    </row>
    <row r="54" spans="1:29" ht="18" customHeight="1">
      <c r="A54" s="98"/>
      <c r="B54" s="97"/>
      <c r="C54" s="136"/>
      <c r="D54" s="136"/>
      <c r="E54" s="136" t="s">
        <v>1196</v>
      </c>
      <c r="F54" s="136"/>
      <c r="G54" s="121"/>
      <c r="H54" s="121"/>
      <c r="I54" s="121"/>
      <c r="J54" s="121"/>
      <c r="AB54" s="99"/>
      <c r="AC54" s="188" t="s">
        <v>1242</v>
      </c>
    </row>
    <row r="55" spans="1:29" ht="18" customHeight="1">
      <c r="A55" s="98"/>
      <c r="B55" s="97"/>
      <c r="C55" s="136" t="s">
        <v>1066</v>
      </c>
      <c r="D55" s="136"/>
      <c r="E55" s="136"/>
      <c r="F55" s="136"/>
      <c r="G55" s="121"/>
      <c r="H55" s="121"/>
      <c r="I55" s="121"/>
      <c r="J55" s="121"/>
      <c r="AB55" s="99"/>
      <c r="AC55" s="188" t="s">
        <v>1242</v>
      </c>
    </row>
    <row r="56" spans="1:29" ht="18" customHeight="1">
      <c r="A56" s="98"/>
      <c r="B56" s="97"/>
      <c r="C56" s="136"/>
      <c r="D56" s="136" t="s">
        <v>1067</v>
      </c>
      <c r="E56" s="136"/>
      <c r="F56" s="136"/>
      <c r="G56" s="121"/>
      <c r="H56" s="121"/>
      <c r="I56" s="121"/>
      <c r="J56" s="121"/>
      <c r="AB56" s="99"/>
      <c r="AC56" s="188" t="s">
        <v>1242</v>
      </c>
    </row>
    <row r="57" spans="1:29" ht="18" customHeight="1">
      <c r="A57" s="98"/>
      <c r="B57" s="97"/>
      <c r="C57" s="136"/>
      <c r="D57" s="136" t="s">
        <v>1193</v>
      </c>
      <c r="E57" s="136"/>
      <c r="F57" s="136"/>
      <c r="G57" s="121"/>
      <c r="H57" s="121"/>
      <c r="I57" s="121"/>
      <c r="J57" s="121"/>
      <c r="AB57" s="99"/>
      <c r="AC57" s="188" t="s">
        <v>1242</v>
      </c>
    </row>
    <row r="58" spans="1:29" ht="18" customHeight="1">
      <c r="A58" s="98"/>
      <c r="B58" s="97"/>
      <c r="C58" s="136"/>
      <c r="D58" s="97"/>
      <c r="E58" s="136"/>
      <c r="F58" s="136"/>
      <c r="G58" s="121"/>
      <c r="H58" s="121"/>
      <c r="I58" s="121"/>
      <c r="J58" s="121"/>
      <c r="AB58" s="99"/>
      <c r="AC58" s="188" t="s">
        <v>1242</v>
      </c>
    </row>
    <row r="59" spans="1:29" ht="18" customHeight="1">
      <c r="A59" s="98"/>
      <c r="B59" s="136" t="s">
        <v>1217</v>
      </c>
      <c r="D59" s="136"/>
      <c r="E59" s="136"/>
      <c r="F59" s="136"/>
      <c r="G59" s="121"/>
      <c r="H59" s="121"/>
      <c r="I59" s="121"/>
      <c r="J59" s="121"/>
      <c r="AB59" s="99"/>
      <c r="AC59" s="188" t="s">
        <v>1242</v>
      </c>
    </row>
    <row r="60" spans="1:29" ht="18" customHeight="1">
      <c r="A60" s="98"/>
      <c r="B60" s="97"/>
      <c r="C60" s="310" t="s">
        <v>7</v>
      </c>
      <c r="D60" s="310"/>
      <c r="E60" s="310" t="s">
        <v>9</v>
      </c>
      <c r="F60" s="311"/>
      <c r="G60" s="311"/>
      <c r="H60" s="311"/>
      <c r="I60" s="311"/>
      <c r="J60" s="311"/>
      <c r="K60" s="312"/>
      <c r="L60" s="313" t="s">
        <v>18</v>
      </c>
      <c r="M60" s="314"/>
      <c r="N60" s="314"/>
      <c r="O60" s="314"/>
      <c r="P60" s="314"/>
      <c r="Q60" s="314"/>
      <c r="R60" s="314"/>
      <c r="S60" s="314"/>
      <c r="T60" s="314"/>
      <c r="U60" s="314"/>
      <c r="V60" s="314"/>
      <c r="W60" s="314"/>
      <c r="X60" s="314"/>
      <c r="Y60" s="314"/>
      <c r="Z60" s="314"/>
      <c r="AA60" s="315"/>
      <c r="AB60" s="99"/>
      <c r="AC60" s="188" t="s">
        <v>1242</v>
      </c>
    </row>
    <row r="61" spans="1:29" ht="18" customHeight="1">
      <c r="A61" s="98"/>
      <c r="B61" s="97"/>
      <c r="C61" s="316"/>
      <c r="D61" s="316"/>
      <c r="E61" s="145" t="s">
        <v>1199</v>
      </c>
      <c r="F61" s="133"/>
      <c r="G61" s="133"/>
      <c r="H61" s="133"/>
      <c r="I61" s="133"/>
      <c r="J61" s="133"/>
      <c r="K61" s="133"/>
      <c r="L61" s="145"/>
      <c r="M61" s="133"/>
      <c r="N61" s="133"/>
      <c r="O61" s="133"/>
      <c r="P61" s="133"/>
      <c r="Q61" s="133"/>
      <c r="R61" s="133"/>
      <c r="S61" s="133"/>
      <c r="T61" s="133"/>
      <c r="U61" s="133"/>
      <c r="V61" s="133"/>
      <c r="W61" s="133"/>
      <c r="X61" s="133"/>
      <c r="Y61" s="133"/>
      <c r="Z61" s="133"/>
      <c r="AA61" s="179"/>
      <c r="AB61" s="99"/>
      <c r="AC61" s="188" t="s">
        <v>1242</v>
      </c>
    </row>
    <row r="62" spans="1:29" ht="18" customHeight="1">
      <c r="A62" s="98"/>
      <c r="B62" s="97"/>
      <c r="C62" s="407" t="s">
        <v>1159</v>
      </c>
      <c r="D62" s="407"/>
      <c r="E62" s="145"/>
      <c r="F62" s="133" t="s">
        <v>1185</v>
      </c>
      <c r="G62" s="133"/>
      <c r="H62" s="133"/>
      <c r="I62" s="133"/>
      <c r="J62" s="133"/>
      <c r="K62" s="133"/>
      <c r="L62" s="145"/>
      <c r="M62" s="133"/>
      <c r="N62" s="133"/>
      <c r="O62" s="133"/>
      <c r="P62" s="133"/>
      <c r="Q62" s="133"/>
      <c r="R62" s="133"/>
      <c r="S62" s="133"/>
      <c r="T62" s="133"/>
      <c r="U62" s="133"/>
      <c r="V62" s="133"/>
      <c r="W62" s="133"/>
      <c r="X62" s="133"/>
      <c r="Y62" s="133"/>
      <c r="Z62" s="133"/>
      <c r="AA62" s="179"/>
      <c r="AB62" s="99"/>
      <c r="AC62" s="188" t="s">
        <v>1242</v>
      </c>
    </row>
    <row r="63" spans="1:29" ht="18" customHeight="1">
      <c r="A63" s="98"/>
      <c r="B63" s="97"/>
      <c r="C63" s="407" t="s">
        <v>1160</v>
      </c>
      <c r="D63" s="407"/>
      <c r="E63" s="145"/>
      <c r="F63" s="133" t="s">
        <v>1162</v>
      </c>
      <c r="G63" s="133"/>
      <c r="H63" s="133"/>
      <c r="I63" s="133"/>
      <c r="J63" s="133"/>
      <c r="K63" s="133"/>
      <c r="L63" s="145"/>
      <c r="M63" s="133"/>
      <c r="N63" s="133"/>
      <c r="O63" s="133"/>
      <c r="P63" s="133"/>
      <c r="Q63" s="133"/>
      <c r="R63" s="133"/>
      <c r="S63" s="133"/>
      <c r="T63" s="133"/>
      <c r="U63" s="133"/>
      <c r="V63" s="133"/>
      <c r="W63" s="133"/>
      <c r="X63" s="133"/>
      <c r="Y63" s="133"/>
      <c r="Z63" s="133"/>
      <c r="AA63" s="179"/>
      <c r="AB63" s="99"/>
      <c r="AC63" s="188" t="s">
        <v>1242</v>
      </c>
    </row>
    <row r="64" spans="1:29" ht="18" customHeight="1">
      <c r="A64" s="98"/>
      <c r="B64" s="97"/>
      <c r="C64" s="407" t="s">
        <v>1161</v>
      </c>
      <c r="D64" s="407"/>
      <c r="E64" s="145"/>
      <c r="F64" s="133" t="s">
        <v>1163</v>
      </c>
      <c r="G64" s="133"/>
      <c r="H64" s="133"/>
      <c r="I64" s="133"/>
      <c r="J64" s="133"/>
      <c r="K64" s="133"/>
      <c r="L64" s="145"/>
      <c r="M64" s="133"/>
      <c r="N64" s="133"/>
      <c r="O64" s="133"/>
      <c r="P64" s="133"/>
      <c r="Q64" s="133"/>
      <c r="R64" s="133"/>
      <c r="S64" s="133"/>
      <c r="T64" s="133"/>
      <c r="U64" s="133"/>
      <c r="V64" s="133"/>
      <c r="W64" s="133"/>
      <c r="X64" s="133"/>
      <c r="Y64" s="133"/>
      <c r="Z64" s="133"/>
      <c r="AA64" s="179"/>
      <c r="AB64" s="99"/>
      <c r="AC64" s="188" t="s">
        <v>1242</v>
      </c>
    </row>
    <row r="65" spans="1:28" ht="18" customHeight="1">
      <c r="A65" s="102"/>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c r="AA65" s="103"/>
      <c r="AB65" s="104"/>
    </row>
  </sheetData>
  <mergeCells count="44">
    <mergeCell ref="A1:G2"/>
    <mergeCell ref="H1:AB2"/>
    <mergeCell ref="A3:G4"/>
    <mergeCell ref="H3:AB4"/>
    <mergeCell ref="A5:C5"/>
    <mergeCell ref="D5:G5"/>
    <mergeCell ref="H5:J5"/>
    <mergeCell ref="K5:N5"/>
    <mergeCell ref="O5:Q5"/>
    <mergeCell ref="R5:U5"/>
    <mergeCell ref="V5:X5"/>
    <mergeCell ref="Y5:AB5"/>
    <mergeCell ref="E60:K60"/>
    <mergeCell ref="L60:AA60"/>
    <mergeCell ref="C31:D31"/>
    <mergeCell ref="C32:D32"/>
    <mergeCell ref="C36:K36"/>
    <mergeCell ref="L36:M36"/>
    <mergeCell ref="N36:P36"/>
    <mergeCell ref="Q36:R36"/>
    <mergeCell ref="S36:AA36"/>
    <mergeCell ref="L37:M37"/>
    <mergeCell ref="N37:P37"/>
    <mergeCell ref="Q37:R37"/>
    <mergeCell ref="S37:AA37"/>
    <mergeCell ref="C28:D28"/>
    <mergeCell ref="E28:K28"/>
    <mergeCell ref="L28:AA28"/>
    <mergeCell ref="L11:M11"/>
    <mergeCell ref="N11:P11"/>
    <mergeCell ref="Q11:R11"/>
    <mergeCell ref="S11:AA11"/>
    <mergeCell ref="Q12:R12"/>
    <mergeCell ref="S12:AA12"/>
    <mergeCell ref="C11:K11"/>
    <mergeCell ref="L12:M12"/>
    <mergeCell ref="N12:P12"/>
    <mergeCell ref="C63:D63"/>
    <mergeCell ref="C64:D64"/>
    <mergeCell ref="C29:D29"/>
    <mergeCell ref="C30:D30"/>
    <mergeCell ref="C60:D60"/>
    <mergeCell ref="C61:D61"/>
    <mergeCell ref="C62:D62"/>
  </mergeCells>
  <phoneticPr fontId="3"/>
  <pageMargins left="0.39370078740157499" right="0.39370078740157499" top="0.39370078740157499" bottom="0.39370078740157499" header="0.31496062992126" footer="0.31496062992126"/>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47F4-0176-46D6-AFD9-72753EEAA371}">
  <sheetPr>
    <tabColor rgb="FFFF0000"/>
  </sheetPr>
  <dimension ref="A1:AH114"/>
  <sheetViews>
    <sheetView topLeftCell="A22" workbookViewId="0">
      <selection activeCell="AA12" sqref="AA12:AB12"/>
    </sheetView>
  </sheetViews>
  <sheetFormatPr defaultColWidth="3.25" defaultRowHeight="18" customHeight="1"/>
  <cols>
    <col min="1" max="1" width="3.25" style="27"/>
    <col min="2" max="3" width="3.25" style="27" customWidth="1"/>
    <col min="4" max="5" width="3.25" style="27"/>
    <col min="6" max="6" width="3.25" style="27" customWidth="1"/>
    <col min="7" max="9" width="3.25" style="27"/>
    <col min="10" max="10" width="3.25" style="27" customWidth="1"/>
    <col min="11" max="11" width="3.25" style="27"/>
    <col min="12" max="12" width="3.25" style="27" customWidth="1"/>
    <col min="13" max="28" width="3.25" style="27"/>
    <col min="29" max="29" width="3.25" style="36" customWidth="1"/>
    <col min="30" max="30" width="3.25" style="27" hidden="1" customWidth="1"/>
    <col min="31" max="31" width="3.25" style="36" customWidth="1"/>
    <col min="32" max="32" width="2.875" style="37" customWidth="1"/>
    <col min="33" max="16384" width="3.25" style="27"/>
  </cols>
  <sheetData>
    <row r="1" spans="1:29" ht="18" customHeight="1">
      <c r="A1" s="251" t="s">
        <v>0</v>
      </c>
      <c r="B1" s="251"/>
      <c r="C1" s="251"/>
      <c r="D1" s="251"/>
      <c r="E1" s="251"/>
      <c r="F1" s="251"/>
      <c r="G1" s="251"/>
      <c r="H1" s="251" t="s">
        <v>1164</v>
      </c>
      <c r="I1" s="251"/>
      <c r="J1" s="251"/>
      <c r="K1" s="251"/>
      <c r="L1" s="251"/>
      <c r="M1" s="251"/>
      <c r="N1" s="251"/>
      <c r="O1" s="251"/>
      <c r="P1" s="251"/>
      <c r="Q1" s="251"/>
      <c r="R1" s="251"/>
      <c r="S1" s="251"/>
      <c r="T1" s="251"/>
      <c r="U1" s="251"/>
      <c r="V1" s="251"/>
      <c r="W1" s="251"/>
      <c r="X1" s="251"/>
      <c r="Y1" s="251"/>
      <c r="Z1" s="251"/>
      <c r="AA1" s="251"/>
      <c r="AB1" s="251"/>
    </row>
    <row r="2" spans="1:29" ht="18" customHeight="1">
      <c r="A2" s="251"/>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row>
    <row r="3" spans="1:29" ht="18" customHeight="1">
      <c r="A3" s="252" t="s">
        <v>1</v>
      </c>
      <c r="B3" s="252"/>
      <c r="C3" s="252"/>
      <c r="D3" s="252"/>
      <c r="E3" s="252"/>
      <c r="F3" s="252"/>
      <c r="G3" s="252"/>
      <c r="H3" s="252"/>
      <c r="I3" s="252"/>
      <c r="J3" s="252"/>
      <c r="K3" s="252"/>
      <c r="L3" s="252"/>
      <c r="M3" s="252"/>
      <c r="N3" s="252"/>
      <c r="O3" s="252"/>
      <c r="P3" s="252"/>
      <c r="Q3" s="252"/>
      <c r="R3" s="252"/>
      <c r="S3" s="252"/>
      <c r="T3" s="252"/>
      <c r="U3" s="252"/>
      <c r="V3" s="252"/>
      <c r="W3" s="252"/>
      <c r="X3" s="252"/>
      <c r="Y3" s="252"/>
      <c r="Z3" s="252"/>
      <c r="AA3" s="252"/>
      <c r="AB3" s="252"/>
    </row>
    <row r="4" spans="1:29" ht="18" customHeight="1">
      <c r="A4" s="252"/>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row>
    <row r="5" spans="1:29" ht="18" customHeight="1">
      <c r="A5" s="358" t="s">
        <v>2</v>
      </c>
      <c r="B5" s="358"/>
      <c r="C5" s="358"/>
      <c r="D5" s="358" t="s">
        <v>933</v>
      </c>
      <c r="E5" s="358"/>
      <c r="F5" s="358"/>
      <c r="G5" s="358"/>
      <c r="H5" s="358" t="s">
        <v>3</v>
      </c>
      <c r="I5" s="358"/>
      <c r="J5" s="358"/>
      <c r="K5" s="359">
        <v>45970</v>
      </c>
      <c r="L5" s="358"/>
      <c r="M5" s="358"/>
      <c r="N5" s="358"/>
      <c r="O5" s="358" t="s">
        <v>4</v>
      </c>
      <c r="P5" s="358"/>
      <c r="Q5" s="358"/>
      <c r="R5" s="358"/>
      <c r="S5" s="358"/>
      <c r="T5" s="358"/>
      <c r="U5" s="358"/>
      <c r="V5" s="358" t="s">
        <v>5</v>
      </c>
      <c r="W5" s="358"/>
      <c r="X5" s="358"/>
      <c r="Y5" s="360"/>
      <c r="Z5" s="360"/>
      <c r="AA5" s="358"/>
      <c r="AB5" s="358"/>
      <c r="AC5" s="188" t="s">
        <v>1242</v>
      </c>
    </row>
    <row r="6" spans="1:29" ht="18" customHeight="1">
      <c r="A6" s="98"/>
      <c r="B6" s="95"/>
      <c r="C6" s="95"/>
      <c r="D6" s="95"/>
      <c r="E6" s="95"/>
      <c r="F6" s="95"/>
      <c r="G6" s="95"/>
      <c r="H6" s="95"/>
      <c r="I6" s="95"/>
      <c r="J6" s="95"/>
      <c r="K6" s="95"/>
      <c r="L6" s="95"/>
      <c r="M6" s="95"/>
      <c r="N6" s="95"/>
      <c r="O6" s="95"/>
      <c r="P6" s="95"/>
      <c r="Q6" s="95"/>
      <c r="R6" s="95"/>
      <c r="S6" s="95"/>
      <c r="T6" s="95"/>
      <c r="U6" s="95"/>
      <c r="V6" s="95"/>
      <c r="W6" s="95"/>
      <c r="X6" s="95"/>
      <c r="Y6" s="95"/>
      <c r="Z6" s="95"/>
      <c r="AA6" s="95"/>
      <c r="AB6" s="99"/>
      <c r="AC6" s="188" t="s">
        <v>1242</v>
      </c>
    </row>
    <row r="7" spans="1:29" ht="18" customHeight="1">
      <c r="A7" s="98"/>
      <c r="B7" s="95" t="s">
        <v>942</v>
      </c>
      <c r="C7" s="95"/>
      <c r="D7" s="95"/>
      <c r="E7" s="95"/>
      <c r="F7" s="95"/>
      <c r="G7" s="95"/>
      <c r="H7" s="95"/>
      <c r="I7" s="95"/>
      <c r="J7" s="95"/>
      <c r="K7" s="95"/>
      <c r="L7" s="95"/>
      <c r="M7" s="95"/>
      <c r="N7" s="95"/>
      <c r="O7" s="95"/>
      <c r="P7" s="95"/>
      <c r="Q7" s="95"/>
      <c r="R7" s="95"/>
      <c r="S7" s="95"/>
      <c r="T7" s="95"/>
      <c r="U7" s="95"/>
      <c r="V7" s="95"/>
      <c r="W7" s="95"/>
      <c r="X7" s="95"/>
      <c r="Y7" s="95"/>
      <c r="Z7" s="95"/>
      <c r="AA7" s="95"/>
      <c r="AB7" s="99"/>
      <c r="AC7" s="188" t="s">
        <v>1242</v>
      </c>
    </row>
    <row r="8" spans="1:29" ht="18" customHeight="1">
      <c r="A8" s="26"/>
      <c r="B8" s="69" t="s">
        <v>7</v>
      </c>
      <c r="C8" s="304" t="s">
        <v>8</v>
      </c>
      <c r="D8" s="304"/>
      <c r="E8" s="304"/>
      <c r="F8" s="304"/>
      <c r="G8" s="304"/>
      <c r="H8" s="304"/>
      <c r="I8" s="304"/>
      <c r="J8" s="304"/>
      <c r="K8" s="304"/>
      <c r="L8" s="304" t="s">
        <v>257</v>
      </c>
      <c r="M8" s="304"/>
      <c r="N8" s="387" t="s">
        <v>13</v>
      </c>
      <c r="O8" s="388"/>
      <c r="P8" s="388"/>
      <c r="Q8" s="388"/>
      <c r="R8" s="388"/>
      <c r="S8" s="388"/>
      <c r="T8" s="388"/>
      <c r="U8" s="388"/>
      <c r="V8" s="388"/>
      <c r="W8" s="388"/>
      <c r="X8" s="388"/>
      <c r="Y8" s="388"/>
      <c r="Z8" s="388"/>
      <c r="AA8" s="389"/>
      <c r="AB8" s="28"/>
      <c r="AC8" s="188" t="s">
        <v>1242</v>
      </c>
    </row>
    <row r="9" spans="1:29" ht="18" customHeight="1">
      <c r="A9" s="98"/>
      <c r="B9" s="94">
        <v>1</v>
      </c>
      <c r="C9" s="100" t="s">
        <v>166</v>
      </c>
      <c r="D9" s="29"/>
      <c r="E9" s="29"/>
      <c r="F9" s="29"/>
      <c r="G9" s="29"/>
      <c r="H9" s="29"/>
      <c r="I9" s="29"/>
      <c r="J9" s="29"/>
      <c r="K9" s="30"/>
      <c r="L9" s="278" t="s">
        <v>44</v>
      </c>
      <c r="M9" s="278"/>
      <c r="N9" s="100" t="s">
        <v>273</v>
      </c>
      <c r="O9" s="29"/>
      <c r="P9" s="29"/>
      <c r="Q9" s="29"/>
      <c r="R9" s="29"/>
      <c r="S9" s="29"/>
      <c r="T9" s="29"/>
      <c r="U9" s="29"/>
      <c r="V9" s="29"/>
      <c r="W9" s="29"/>
      <c r="X9" s="29"/>
      <c r="Y9" s="29"/>
      <c r="Z9" s="29"/>
      <c r="AA9" s="30"/>
      <c r="AB9" s="99"/>
      <c r="AC9" s="188" t="s">
        <v>1242</v>
      </c>
    </row>
    <row r="10" spans="1:29" ht="18" customHeight="1">
      <c r="A10" s="98"/>
      <c r="B10" s="94">
        <f>COUNTA($B$8:B9)</f>
        <v>2</v>
      </c>
      <c r="C10" s="100" t="s">
        <v>155</v>
      </c>
      <c r="D10" s="29"/>
      <c r="E10" s="29"/>
      <c r="F10" s="29"/>
      <c r="G10" s="29"/>
      <c r="H10" s="29"/>
      <c r="I10" s="29"/>
      <c r="J10" s="29"/>
      <c r="K10" s="30"/>
      <c r="L10" s="278" t="s">
        <v>44</v>
      </c>
      <c r="M10" s="278"/>
      <c r="N10" s="100" t="s">
        <v>273</v>
      </c>
      <c r="O10" s="29"/>
      <c r="P10" s="29"/>
      <c r="Q10" s="29"/>
      <c r="R10" s="29"/>
      <c r="S10" s="29"/>
      <c r="T10" s="29"/>
      <c r="U10" s="29"/>
      <c r="V10" s="29"/>
      <c r="W10" s="29"/>
      <c r="X10" s="29"/>
      <c r="Y10" s="29"/>
      <c r="Z10" s="29"/>
      <c r="AA10" s="30"/>
      <c r="AB10" s="99"/>
      <c r="AC10" s="188" t="s">
        <v>1242</v>
      </c>
    </row>
    <row r="11" spans="1:29" ht="18" customHeight="1">
      <c r="A11" s="98"/>
      <c r="B11" s="232">
        <f>COUNTA($B$8:B10)</f>
        <v>3</v>
      </c>
      <c r="C11" s="235" t="s">
        <v>1214</v>
      </c>
      <c r="D11" s="234"/>
      <c r="E11" s="234"/>
      <c r="F11" s="234"/>
      <c r="G11" s="234"/>
      <c r="H11" s="234"/>
      <c r="I11" s="234"/>
      <c r="J11" s="234"/>
      <c r="K11" s="236"/>
      <c r="L11" s="390" t="s">
        <v>44</v>
      </c>
      <c r="M11" s="390"/>
      <c r="N11" s="235" t="s">
        <v>273</v>
      </c>
      <c r="O11" s="234"/>
      <c r="P11" s="234"/>
      <c r="Q11" s="234"/>
      <c r="R11" s="234"/>
      <c r="S11" s="234"/>
      <c r="T11" s="234"/>
      <c r="U11" s="234"/>
      <c r="V11" s="234"/>
      <c r="W11" s="234"/>
      <c r="X11" s="234"/>
      <c r="Y11" s="234"/>
      <c r="Z11" s="234"/>
      <c r="AA11" s="236"/>
      <c r="AB11" s="99"/>
      <c r="AC11" s="188" t="s">
        <v>1259</v>
      </c>
    </row>
    <row r="12" spans="1:29" ht="18" customHeight="1">
      <c r="A12" s="102"/>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c r="AA12" s="103"/>
      <c r="AB12" s="104"/>
      <c r="AC12" s="188" t="s">
        <v>1242</v>
      </c>
    </row>
    <row r="13" spans="1:29" ht="18" customHeight="1">
      <c r="A13" s="98"/>
      <c r="B13" s="95" t="s">
        <v>14</v>
      </c>
      <c r="C13" s="95"/>
      <c r="D13" s="95"/>
      <c r="E13" s="95"/>
      <c r="F13" s="95"/>
      <c r="G13" s="95"/>
      <c r="H13" s="95"/>
      <c r="I13" s="95"/>
      <c r="J13" s="95"/>
      <c r="K13" s="95"/>
      <c r="L13" s="95"/>
      <c r="M13" s="95"/>
      <c r="N13" s="95"/>
      <c r="O13" s="95"/>
      <c r="P13" s="95"/>
      <c r="Q13" s="95"/>
      <c r="R13" s="95"/>
      <c r="S13" s="95"/>
      <c r="T13" s="95"/>
      <c r="U13" s="95"/>
      <c r="V13" s="95"/>
      <c r="W13" s="95"/>
      <c r="X13" s="95"/>
      <c r="Y13" s="95"/>
      <c r="Z13" s="95"/>
      <c r="AA13" s="95"/>
      <c r="AB13" s="99"/>
      <c r="AC13" s="188" t="s">
        <v>1259</v>
      </c>
    </row>
    <row r="14" spans="1:29" ht="18" customHeight="1">
      <c r="A14" s="98"/>
      <c r="B14" s="95"/>
      <c r="C14" s="199" t="s">
        <v>1212</v>
      </c>
      <c r="D14" s="95" t="s">
        <v>1276</v>
      </c>
      <c r="E14" s="95"/>
      <c r="F14" s="95"/>
      <c r="G14" s="95"/>
      <c r="H14" s="95"/>
      <c r="I14" s="95"/>
      <c r="J14" s="95"/>
      <c r="K14" s="95"/>
      <c r="L14" s="95"/>
      <c r="M14" s="95"/>
      <c r="N14" s="95"/>
      <c r="O14" s="95"/>
      <c r="P14" s="95"/>
      <c r="Q14" s="95"/>
      <c r="R14" s="95"/>
      <c r="S14" s="95"/>
      <c r="T14" s="95"/>
      <c r="U14" s="95"/>
      <c r="V14" s="95"/>
      <c r="W14" s="95"/>
      <c r="X14" s="95"/>
      <c r="Y14" s="95"/>
      <c r="Z14" s="95"/>
      <c r="AA14" s="95"/>
      <c r="AB14" s="99"/>
      <c r="AC14" s="188" t="s">
        <v>1259</v>
      </c>
    </row>
    <row r="15" spans="1:29" ht="18" customHeight="1">
      <c r="A15" s="98"/>
      <c r="B15" s="95"/>
      <c r="C15" s="199" t="s">
        <v>941</v>
      </c>
      <c r="D15" s="95"/>
      <c r="E15" s="95"/>
      <c r="F15" s="95"/>
      <c r="G15" s="95"/>
      <c r="H15" s="95"/>
      <c r="I15" s="95"/>
      <c r="J15" s="95"/>
      <c r="K15" s="95"/>
      <c r="L15" s="95"/>
      <c r="M15" s="95"/>
      <c r="N15" s="95"/>
      <c r="O15" s="95"/>
      <c r="P15" s="95"/>
      <c r="Q15" s="95"/>
      <c r="R15" s="95"/>
      <c r="S15" s="95"/>
      <c r="T15" s="95"/>
      <c r="U15" s="95"/>
      <c r="V15" s="95"/>
      <c r="W15" s="95"/>
      <c r="X15" s="95"/>
      <c r="Y15" s="95"/>
      <c r="Z15" s="95"/>
      <c r="AA15" s="95"/>
      <c r="AB15" s="99"/>
      <c r="AC15" s="188" t="s">
        <v>1259</v>
      </c>
    </row>
    <row r="16" spans="1:29" ht="18" customHeight="1">
      <c r="A16" s="98"/>
      <c r="B16" s="95"/>
      <c r="C16" s="199" t="s">
        <v>1060</v>
      </c>
      <c r="D16" s="95"/>
      <c r="E16" s="95"/>
      <c r="F16" s="95"/>
      <c r="G16" s="95"/>
      <c r="H16" s="95"/>
      <c r="I16" s="95"/>
      <c r="J16" s="95"/>
      <c r="K16" s="95"/>
      <c r="L16" s="95"/>
      <c r="M16" s="95"/>
      <c r="N16" s="95"/>
      <c r="O16" s="95"/>
      <c r="P16" s="95"/>
      <c r="Q16" s="95"/>
      <c r="R16" s="95"/>
      <c r="S16" s="95"/>
      <c r="T16" s="95"/>
      <c r="U16" s="95"/>
      <c r="V16" s="95"/>
      <c r="W16" s="95"/>
      <c r="X16" s="95"/>
      <c r="Y16" s="95"/>
      <c r="Z16" s="95"/>
      <c r="AA16" s="95"/>
      <c r="AB16" s="99"/>
      <c r="AC16" s="188" t="s">
        <v>1259</v>
      </c>
    </row>
    <row r="17" spans="1:32" ht="18" customHeight="1">
      <c r="A17" s="98"/>
      <c r="B17" s="95"/>
      <c r="C17" s="199"/>
      <c r="D17" s="95" t="s">
        <v>1115</v>
      </c>
      <c r="E17" s="95"/>
      <c r="F17" s="95"/>
      <c r="G17" s="95"/>
      <c r="H17" s="95"/>
      <c r="I17" s="95"/>
      <c r="J17" s="95"/>
      <c r="K17" s="95"/>
      <c r="L17" s="95"/>
      <c r="M17" s="95"/>
      <c r="N17" s="95"/>
      <c r="O17" s="95"/>
      <c r="P17" s="95"/>
      <c r="Q17" s="95"/>
      <c r="R17" s="95"/>
      <c r="S17" s="95"/>
      <c r="T17" s="95"/>
      <c r="U17" s="95"/>
      <c r="V17" s="95"/>
      <c r="W17" s="95"/>
      <c r="X17" s="95"/>
      <c r="Y17" s="95"/>
      <c r="Z17" s="95"/>
      <c r="AA17" s="95"/>
      <c r="AB17" s="99"/>
      <c r="AC17" s="188" t="s">
        <v>1259</v>
      </c>
    </row>
    <row r="18" spans="1:32" ht="18" customHeight="1">
      <c r="A18" s="98"/>
      <c r="B18" s="95"/>
      <c r="C18" s="199"/>
      <c r="D18" s="95" t="s">
        <v>1254</v>
      </c>
      <c r="E18" s="95"/>
      <c r="F18" s="95"/>
      <c r="G18" s="95"/>
      <c r="H18" s="95"/>
      <c r="I18" s="95"/>
      <c r="J18" s="95"/>
      <c r="K18" s="95"/>
      <c r="L18" s="95"/>
      <c r="M18" s="95"/>
      <c r="N18" s="95"/>
      <c r="O18" s="95"/>
      <c r="P18" s="95"/>
      <c r="Q18" s="95"/>
      <c r="R18" s="95"/>
      <c r="S18" s="95"/>
      <c r="T18" s="95"/>
      <c r="U18" s="95"/>
      <c r="V18" s="95"/>
      <c r="W18" s="95"/>
      <c r="X18" s="95"/>
      <c r="Y18" s="95"/>
      <c r="Z18" s="95"/>
      <c r="AA18" s="95"/>
      <c r="AB18" s="99"/>
      <c r="AC18" s="188" t="s">
        <v>1259</v>
      </c>
    </row>
    <row r="19" spans="1:32" ht="18" customHeight="1">
      <c r="A19" s="98"/>
      <c r="B19" s="95"/>
      <c r="C19" s="95"/>
      <c r="D19" s="95" t="s">
        <v>1256</v>
      </c>
      <c r="E19" s="95"/>
      <c r="F19" s="95"/>
      <c r="G19" s="95"/>
      <c r="H19" s="95"/>
      <c r="I19" s="95"/>
      <c r="J19" s="95"/>
      <c r="K19" s="95"/>
      <c r="L19" s="95"/>
      <c r="M19" s="95"/>
      <c r="N19" s="95"/>
      <c r="O19" s="95"/>
      <c r="P19" s="95"/>
      <c r="Q19" s="95"/>
      <c r="R19" s="95"/>
      <c r="S19" s="95"/>
      <c r="T19" s="95"/>
      <c r="U19" s="95"/>
      <c r="V19" s="95"/>
      <c r="W19" s="95"/>
      <c r="X19" s="95"/>
      <c r="Y19" s="95"/>
      <c r="Z19" s="95"/>
      <c r="AA19" s="95"/>
      <c r="AB19" s="99"/>
      <c r="AC19" s="188" t="s">
        <v>1259</v>
      </c>
    </row>
    <row r="20" spans="1:32" s="202" customFormat="1" ht="18" customHeight="1">
      <c r="A20" s="198"/>
      <c r="B20" s="199"/>
      <c r="C20" s="199"/>
      <c r="D20" s="199" t="s">
        <v>1266</v>
      </c>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200"/>
      <c r="AC20" s="188" t="s">
        <v>1259</v>
      </c>
      <c r="AE20" s="201"/>
      <c r="AF20" s="203"/>
    </row>
    <row r="21" spans="1:32" s="202" customFormat="1" ht="18" customHeight="1">
      <c r="A21" s="198"/>
      <c r="B21" s="199"/>
      <c r="C21" s="199"/>
      <c r="D21" s="199" t="s">
        <v>1267</v>
      </c>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200"/>
      <c r="AC21" s="188" t="s">
        <v>1259</v>
      </c>
      <c r="AE21" s="201"/>
      <c r="AF21" s="203"/>
    </row>
    <row r="22" spans="1:32" s="202" customFormat="1" ht="18" customHeight="1">
      <c r="A22" s="198"/>
      <c r="B22" s="199"/>
      <c r="C22" s="199"/>
      <c r="D22" s="199" t="s">
        <v>1268</v>
      </c>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200"/>
      <c r="AC22" s="188" t="s">
        <v>1259</v>
      </c>
      <c r="AE22" s="201"/>
      <c r="AF22" s="203"/>
    </row>
    <row r="23" spans="1:32" s="202" customFormat="1" ht="18" customHeight="1">
      <c r="A23" s="198"/>
      <c r="B23" s="199"/>
      <c r="C23" s="199"/>
      <c r="D23" s="199" t="s">
        <v>1269</v>
      </c>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200"/>
      <c r="AC23" s="188" t="s">
        <v>1259</v>
      </c>
      <c r="AE23" s="201"/>
      <c r="AF23" s="203"/>
    </row>
    <row r="24" spans="1:32" s="202" customFormat="1" ht="18" customHeight="1">
      <c r="A24" s="198"/>
      <c r="B24" s="199"/>
      <c r="C24" s="199"/>
      <c r="D24" s="199" t="s">
        <v>1270</v>
      </c>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200"/>
      <c r="AC24" s="188" t="s">
        <v>1259</v>
      </c>
      <c r="AE24" s="201"/>
      <c r="AF24" s="203"/>
    </row>
    <row r="25" spans="1:32" s="202" customFormat="1" ht="18" customHeight="1">
      <c r="A25" s="198"/>
      <c r="B25" s="199"/>
      <c r="C25" s="199"/>
      <c r="D25" s="199" t="s">
        <v>1271</v>
      </c>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200"/>
      <c r="AC25" s="188" t="s">
        <v>1259</v>
      </c>
      <c r="AE25" s="201"/>
      <c r="AF25" s="203"/>
    </row>
    <row r="26" spans="1:32" s="202" customFormat="1" ht="18" customHeight="1">
      <c r="A26" s="198"/>
      <c r="B26" s="199"/>
      <c r="C26" s="199"/>
      <c r="D26" s="199" t="s">
        <v>1272</v>
      </c>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200"/>
      <c r="AC26" s="188" t="s">
        <v>1259</v>
      </c>
      <c r="AE26" s="201"/>
      <c r="AF26" s="203"/>
    </row>
    <row r="27" spans="1:32" s="202" customFormat="1" ht="18" customHeight="1">
      <c r="A27" s="198"/>
      <c r="B27" s="199"/>
      <c r="C27" s="199"/>
      <c r="D27" s="199" t="s">
        <v>1273</v>
      </c>
      <c r="E27" s="199"/>
      <c r="F27" s="199"/>
      <c r="G27" s="199"/>
      <c r="H27" s="199"/>
      <c r="I27" s="199"/>
      <c r="J27" s="199"/>
      <c r="K27" s="199"/>
      <c r="L27" s="199"/>
      <c r="M27" s="199"/>
      <c r="N27" s="199"/>
      <c r="O27" s="199"/>
      <c r="P27" s="199"/>
      <c r="Q27" s="199"/>
      <c r="R27" s="199"/>
      <c r="S27" s="199"/>
      <c r="T27" s="199"/>
      <c r="U27" s="199"/>
      <c r="V27" s="199"/>
      <c r="W27" s="199"/>
      <c r="X27" s="199"/>
      <c r="Y27" s="199"/>
      <c r="Z27" s="199"/>
      <c r="AA27" s="199"/>
      <c r="AB27" s="200"/>
      <c r="AC27" s="188" t="s">
        <v>1259</v>
      </c>
      <c r="AE27" s="201"/>
      <c r="AF27" s="203"/>
    </row>
    <row r="28" spans="1:32" s="202" customFormat="1" ht="18" customHeight="1">
      <c r="A28" s="198"/>
      <c r="B28" s="199"/>
      <c r="C28" s="199"/>
      <c r="D28" s="199" t="s">
        <v>1274</v>
      </c>
      <c r="E28" s="199"/>
      <c r="F28" s="199"/>
      <c r="G28" s="199"/>
      <c r="H28" s="199"/>
      <c r="I28" s="199"/>
      <c r="J28" s="199"/>
      <c r="K28" s="199"/>
      <c r="L28" s="199"/>
      <c r="M28" s="199"/>
      <c r="N28" s="199"/>
      <c r="O28" s="199"/>
      <c r="P28" s="199"/>
      <c r="Q28" s="199"/>
      <c r="R28" s="199"/>
      <c r="S28" s="199"/>
      <c r="T28" s="199"/>
      <c r="U28" s="199"/>
      <c r="V28" s="199"/>
      <c r="W28" s="199"/>
      <c r="X28" s="199"/>
      <c r="Y28" s="199"/>
      <c r="Z28" s="199"/>
      <c r="AA28" s="199"/>
      <c r="AB28" s="200"/>
      <c r="AC28" s="188" t="s">
        <v>1259</v>
      </c>
      <c r="AE28" s="201"/>
      <c r="AF28" s="203"/>
    </row>
    <row r="29" spans="1:32" ht="18" customHeight="1">
      <c r="A29" s="98"/>
      <c r="B29" s="95"/>
      <c r="C29" s="95" t="s">
        <v>1061</v>
      </c>
      <c r="D29" s="95"/>
      <c r="E29" s="95"/>
      <c r="F29" s="95"/>
      <c r="G29" s="95"/>
      <c r="H29" s="95"/>
      <c r="I29" s="95"/>
      <c r="J29" s="95"/>
      <c r="K29" s="95"/>
      <c r="L29" s="95"/>
      <c r="M29" s="95"/>
      <c r="N29" s="95"/>
      <c r="O29" s="95"/>
      <c r="P29" s="95"/>
      <c r="Q29" s="95"/>
      <c r="R29" s="95"/>
      <c r="S29" s="95"/>
      <c r="T29" s="95"/>
      <c r="U29" s="95"/>
      <c r="V29" s="95"/>
      <c r="W29" s="95"/>
      <c r="X29" s="95"/>
      <c r="Y29" s="95"/>
      <c r="Z29" s="95"/>
      <c r="AA29" s="95"/>
      <c r="AB29" s="99"/>
      <c r="AC29" s="188" t="s">
        <v>1259</v>
      </c>
    </row>
    <row r="30" spans="1:32" ht="18" customHeight="1">
      <c r="A30" s="98"/>
      <c r="B30" s="95"/>
      <c r="C30" s="95"/>
      <c r="D30" s="95" t="s">
        <v>1109</v>
      </c>
      <c r="E30" s="95"/>
      <c r="F30" s="95"/>
      <c r="G30" s="95"/>
      <c r="H30" s="95"/>
      <c r="I30" s="95"/>
      <c r="J30" s="95"/>
      <c r="K30" s="95"/>
      <c r="L30" s="95"/>
      <c r="M30" s="95"/>
      <c r="N30" s="95"/>
      <c r="O30" s="95"/>
      <c r="P30" s="95"/>
      <c r="Q30" s="95"/>
      <c r="R30" s="95"/>
      <c r="S30" s="95"/>
      <c r="T30" s="95"/>
      <c r="U30" s="95"/>
      <c r="V30" s="95"/>
      <c r="W30" s="95"/>
      <c r="X30" s="95"/>
      <c r="Y30" s="95"/>
      <c r="Z30" s="95"/>
      <c r="AA30" s="95"/>
      <c r="AB30" s="99"/>
      <c r="AC30" s="188" t="s">
        <v>1259</v>
      </c>
    </row>
    <row r="31" spans="1:32" ht="18" customHeight="1">
      <c r="A31" s="98"/>
      <c r="B31" s="95"/>
      <c r="C31" s="95"/>
      <c r="D31" s="95" t="s">
        <v>1255</v>
      </c>
      <c r="E31" s="95"/>
      <c r="F31" s="95"/>
      <c r="G31" s="95"/>
      <c r="H31" s="95"/>
      <c r="I31" s="95"/>
      <c r="J31" s="95"/>
      <c r="K31" s="95"/>
      <c r="L31" s="95"/>
      <c r="M31" s="95"/>
      <c r="N31" s="95"/>
      <c r="O31" s="95"/>
      <c r="P31" s="95"/>
      <c r="Q31" s="95"/>
      <c r="R31" s="95"/>
      <c r="S31" s="95"/>
      <c r="T31" s="95"/>
      <c r="U31" s="95"/>
      <c r="V31" s="95"/>
      <c r="W31" s="95"/>
      <c r="X31" s="95"/>
      <c r="Y31" s="95"/>
      <c r="Z31" s="95"/>
      <c r="AA31" s="95"/>
      <c r="AB31" s="99"/>
      <c r="AC31" s="188" t="s">
        <v>1259</v>
      </c>
    </row>
    <row r="32" spans="1:32" ht="18" customHeight="1">
      <c r="A32" s="98"/>
      <c r="B32" s="95"/>
      <c r="C32" s="95"/>
      <c r="D32" s="95"/>
      <c r="E32" s="95" t="s">
        <v>1257</v>
      </c>
      <c r="F32" s="95"/>
      <c r="G32" s="95"/>
      <c r="H32" s="95"/>
      <c r="I32" s="95"/>
      <c r="J32" s="95"/>
      <c r="K32" s="95"/>
      <c r="L32" s="95"/>
      <c r="M32" s="95"/>
      <c r="N32" s="95"/>
      <c r="O32" s="95"/>
      <c r="P32" s="95"/>
      <c r="Q32" s="95"/>
      <c r="R32" s="95"/>
      <c r="S32" s="95"/>
      <c r="T32" s="95"/>
      <c r="U32" s="95"/>
      <c r="V32" s="95"/>
      <c r="W32" s="95"/>
      <c r="X32" s="95"/>
      <c r="Y32" s="95"/>
      <c r="Z32" s="95"/>
      <c r="AA32" s="95"/>
      <c r="AB32" s="99"/>
      <c r="AC32" s="188" t="s">
        <v>1259</v>
      </c>
    </row>
    <row r="33" spans="1:34" ht="18" customHeight="1">
      <c r="A33" s="98"/>
      <c r="B33" s="95"/>
      <c r="C33" s="95"/>
      <c r="D33" s="95"/>
      <c r="E33" s="95" t="s">
        <v>1258</v>
      </c>
      <c r="F33" s="95"/>
      <c r="G33" s="95"/>
      <c r="H33" s="95"/>
      <c r="I33" s="95"/>
      <c r="J33" s="95"/>
      <c r="K33" s="95"/>
      <c r="L33" s="95"/>
      <c r="M33" s="95"/>
      <c r="N33" s="95"/>
      <c r="O33" s="95"/>
      <c r="P33" s="95"/>
      <c r="Q33" s="95"/>
      <c r="R33" s="95"/>
      <c r="S33" s="95"/>
      <c r="T33" s="95"/>
      <c r="U33" s="95"/>
      <c r="V33" s="95"/>
      <c r="W33" s="95"/>
      <c r="X33" s="95"/>
      <c r="Y33" s="95"/>
      <c r="Z33" s="95"/>
      <c r="AA33" s="95"/>
      <c r="AB33" s="99"/>
      <c r="AC33" s="188" t="s">
        <v>1259</v>
      </c>
    </row>
    <row r="34" spans="1:34" ht="18" customHeight="1">
      <c r="A34" s="98"/>
      <c r="B34" s="95"/>
      <c r="C34" s="95"/>
      <c r="D34" s="95" t="s">
        <v>1264</v>
      </c>
      <c r="E34" s="95"/>
      <c r="F34" s="95"/>
      <c r="G34" s="95"/>
      <c r="H34" s="95"/>
      <c r="I34" s="95"/>
      <c r="J34" s="95"/>
      <c r="K34" s="95"/>
      <c r="L34" s="95"/>
      <c r="M34" s="95"/>
      <c r="N34" s="95"/>
      <c r="O34" s="95"/>
      <c r="P34" s="95"/>
      <c r="Q34" s="95"/>
      <c r="R34" s="95"/>
      <c r="S34" s="95"/>
      <c r="T34" s="95"/>
      <c r="U34" s="95"/>
      <c r="V34" s="95"/>
      <c r="W34" s="95"/>
      <c r="X34" s="95"/>
      <c r="Y34" s="95"/>
      <c r="Z34" s="95"/>
      <c r="AA34" s="95"/>
      <c r="AB34" s="99"/>
      <c r="AC34" s="188" t="s">
        <v>1259</v>
      </c>
    </row>
    <row r="35" spans="1:34" ht="18" customHeight="1">
      <c r="A35" s="98"/>
      <c r="B35" s="95"/>
      <c r="C35" s="95"/>
      <c r="D35" s="95"/>
      <c r="E35" s="95" t="s">
        <v>1265</v>
      </c>
      <c r="F35" s="95"/>
      <c r="G35" s="95"/>
      <c r="H35" s="95"/>
      <c r="I35" s="95"/>
      <c r="J35" s="95"/>
      <c r="K35" s="95"/>
      <c r="L35" s="95"/>
      <c r="M35" s="95"/>
      <c r="N35" s="95"/>
      <c r="O35" s="95"/>
      <c r="P35" s="95"/>
      <c r="Q35" s="95"/>
      <c r="R35" s="95"/>
      <c r="S35" s="95"/>
      <c r="T35" s="95"/>
      <c r="U35" s="95"/>
      <c r="V35" s="95"/>
      <c r="W35" s="95"/>
      <c r="X35" s="95"/>
      <c r="Y35" s="95"/>
      <c r="Z35" s="95"/>
      <c r="AA35" s="95"/>
      <c r="AB35" s="99"/>
      <c r="AC35" s="188" t="s">
        <v>1259</v>
      </c>
    </row>
    <row r="36" spans="1:34" ht="18" customHeight="1">
      <c r="A36" s="98"/>
      <c r="B36" s="95"/>
      <c r="C36" s="95"/>
      <c r="D36" s="95"/>
      <c r="E36" s="95" t="s">
        <v>1114</v>
      </c>
      <c r="F36" s="95"/>
      <c r="G36" s="95"/>
      <c r="H36" s="95"/>
      <c r="I36" s="95"/>
      <c r="J36" s="95"/>
      <c r="K36" s="95"/>
      <c r="L36" s="95"/>
      <c r="M36" s="95"/>
      <c r="N36" s="95"/>
      <c r="O36" s="95"/>
      <c r="P36" s="95"/>
      <c r="Q36" s="95"/>
      <c r="R36" s="95"/>
      <c r="S36" s="95"/>
      <c r="T36" s="95"/>
      <c r="U36" s="95"/>
      <c r="V36" s="95"/>
      <c r="W36" s="95"/>
      <c r="X36" s="95"/>
      <c r="Y36" s="95"/>
      <c r="Z36" s="95"/>
      <c r="AA36" s="95"/>
      <c r="AB36" s="99"/>
      <c r="AC36" s="188" t="s">
        <v>1259</v>
      </c>
    </row>
    <row r="37" spans="1:34" s="202" customFormat="1" ht="18" customHeight="1">
      <c r="A37" s="198"/>
      <c r="B37" s="204"/>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0"/>
      <c r="AC37" s="188"/>
      <c r="AE37" s="201"/>
    </row>
    <row r="38" spans="1:34" s="202" customFormat="1" ht="18" customHeight="1">
      <c r="A38" s="198"/>
      <c r="B38" s="204"/>
      <c r="C38" s="205" t="s">
        <v>1275</v>
      </c>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0"/>
      <c r="AC38" s="188" t="s">
        <v>1259</v>
      </c>
      <c r="AE38" s="201"/>
    </row>
    <row r="39" spans="1:34" s="202" customFormat="1" ht="18" customHeight="1">
      <c r="A39" s="198"/>
      <c r="B39" s="204"/>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0"/>
      <c r="AC39" s="188"/>
      <c r="AE39" s="201"/>
    </row>
    <row r="40" spans="1:34" s="202" customFormat="1" ht="18" customHeight="1">
      <c r="A40" s="198"/>
      <c r="B40" s="95"/>
      <c r="C40" s="205" t="s">
        <v>1277</v>
      </c>
      <c r="D40" s="199"/>
      <c r="E40" s="199"/>
      <c r="F40" s="199"/>
      <c r="G40" s="199"/>
      <c r="H40" s="199"/>
      <c r="I40" s="199"/>
      <c r="J40" s="199"/>
      <c r="K40" s="199"/>
      <c r="L40" s="199"/>
      <c r="M40" s="199"/>
      <c r="N40" s="199"/>
      <c r="O40" s="199"/>
      <c r="P40" s="199"/>
      <c r="Q40" s="199"/>
      <c r="R40" s="199"/>
      <c r="S40" s="199"/>
      <c r="T40" s="199"/>
      <c r="U40" s="199"/>
      <c r="V40" s="199"/>
      <c r="W40" s="199"/>
      <c r="X40" s="199"/>
      <c r="Y40" s="199"/>
      <c r="Z40" s="199"/>
      <c r="AA40" s="199"/>
      <c r="AB40" s="200"/>
      <c r="AC40" s="188" t="s">
        <v>1259</v>
      </c>
      <c r="AE40" s="201"/>
      <c r="AF40" s="203"/>
    </row>
    <row r="41" spans="1:34" s="202" customFormat="1" ht="18" customHeight="1">
      <c r="A41" s="198"/>
      <c r="B41" s="204"/>
      <c r="C41" s="205" t="s">
        <v>1280</v>
      </c>
      <c r="D41" s="199"/>
      <c r="E41" s="199"/>
      <c r="F41" s="199"/>
      <c r="G41" s="199"/>
      <c r="H41" s="199"/>
      <c r="I41" s="199"/>
      <c r="J41" s="199"/>
      <c r="K41" s="199"/>
      <c r="L41" s="199"/>
      <c r="M41" s="199"/>
      <c r="N41" s="199"/>
      <c r="O41" s="199"/>
      <c r="P41" s="199"/>
      <c r="Q41" s="199"/>
      <c r="R41" s="199"/>
      <c r="S41" s="199"/>
      <c r="T41" s="199"/>
      <c r="U41" s="199"/>
      <c r="V41" s="199"/>
      <c r="W41" s="199"/>
      <c r="X41" s="199"/>
      <c r="Y41" s="199"/>
      <c r="Z41" s="199"/>
      <c r="AA41" s="199"/>
      <c r="AB41" s="200"/>
      <c r="AC41" s="188" t="s">
        <v>1259</v>
      </c>
      <c r="AE41" s="201"/>
      <c r="AF41" s="203"/>
    </row>
    <row r="42" spans="1:34" s="202" customFormat="1" ht="18" customHeight="1">
      <c r="A42" s="198"/>
      <c r="B42" s="199"/>
      <c r="C42" s="410" t="s">
        <v>417</v>
      </c>
      <c r="D42" s="410"/>
      <c r="E42" s="410"/>
      <c r="F42" s="410"/>
      <c r="G42" s="411" t="s">
        <v>1179</v>
      </c>
      <c r="H42" s="411"/>
      <c r="I42" s="411"/>
      <c r="J42" s="411"/>
      <c r="K42" s="411"/>
      <c r="L42" s="411"/>
      <c r="M42" s="411"/>
      <c r="N42" s="411"/>
      <c r="O42" s="411"/>
      <c r="P42" s="411"/>
      <c r="Q42" s="411"/>
      <c r="R42" s="411"/>
      <c r="S42" s="411"/>
      <c r="T42" s="411"/>
      <c r="U42" s="411"/>
      <c r="V42" s="411"/>
      <c r="W42" s="411"/>
      <c r="X42" s="411"/>
      <c r="Y42" s="411"/>
      <c r="Z42" s="411"/>
      <c r="AA42" s="411"/>
      <c r="AB42" s="200"/>
      <c r="AC42" s="188" t="s">
        <v>1242</v>
      </c>
      <c r="AD42" s="206"/>
      <c r="AE42" s="201"/>
    </row>
    <row r="43" spans="1:34" s="202" customFormat="1" ht="18" customHeight="1">
      <c r="A43" s="198"/>
      <c r="B43" s="199"/>
      <c r="C43" s="410" t="s">
        <v>7</v>
      </c>
      <c r="D43" s="410"/>
      <c r="E43" s="412" t="s">
        <v>9</v>
      </c>
      <c r="F43" s="413"/>
      <c r="G43" s="413"/>
      <c r="H43" s="413"/>
      <c r="I43" s="413"/>
      <c r="J43" s="413"/>
      <c r="K43" s="414"/>
      <c r="L43" s="410" t="s">
        <v>407</v>
      </c>
      <c r="M43" s="410"/>
      <c r="N43" s="410"/>
      <c r="O43" s="410"/>
      <c r="P43" s="410"/>
      <c r="Q43" s="410"/>
      <c r="R43" s="410"/>
      <c r="S43" s="410"/>
      <c r="T43" s="410"/>
      <c r="U43" s="410"/>
      <c r="V43" s="410"/>
      <c r="W43" s="410"/>
      <c r="X43" s="410"/>
      <c r="Y43" s="410"/>
      <c r="Z43" s="410"/>
      <c r="AA43" s="410"/>
      <c r="AB43" s="200"/>
      <c r="AC43" s="188" t="s">
        <v>1242</v>
      </c>
      <c r="AE43" s="201"/>
      <c r="AF43" s="203"/>
    </row>
    <row r="44" spans="1:34" s="201" customFormat="1" ht="18" customHeight="1">
      <c r="A44" s="198"/>
      <c r="B44" s="199"/>
      <c r="C44" s="409">
        <v>1</v>
      </c>
      <c r="D44" s="409"/>
      <c r="E44" s="207" t="s">
        <v>388</v>
      </c>
      <c r="F44" s="208"/>
      <c r="G44" s="208"/>
      <c r="H44" s="208"/>
      <c r="I44" s="208"/>
      <c r="J44" s="208"/>
      <c r="K44" s="208"/>
      <c r="L44" s="209" t="s">
        <v>1206</v>
      </c>
      <c r="M44" s="208"/>
      <c r="N44" s="208"/>
      <c r="O44" s="208"/>
      <c r="P44" s="208"/>
      <c r="Q44" s="208"/>
      <c r="R44" s="208"/>
      <c r="S44" s="208"/>
      <c r="T44" s="208"/>
      <c r="U44" s="208"/>
      <c r="V44" s="208"/>
      <c r="W44" s="208"/>
      <c r="X44" s="208"/>
      <c r="Y44" s="208"/>
      <c r="Z44" s="208"/>
      <c r="AA44" s="210"/>
      <c r="AB44" s="200"/>
      <c r="AC44" s="188" t="s">
        <v>1242</v>
      </c>
      <c r="AD44" s="202" t="e">
        <f>"{"""&amp;#REF!&amp;""":""example"&amp;#REF!&amp;""","</f>
        <v>#REF!</v>
      </c>
      <c r="AF44" s="203"/>
      <c r="AG44" s="202"/>
      <c r="AH44" s="202"/>
    </row>
    <row r="45" spans="1:34" s="201" customFormat="1" ht="18" customHeight="1">
      <c r="A45" s="198"/>
      <c r="B45" s="199"/>
      <c r="C45" s="409">
        <v>2</v>
      </c>
      <c r="D45" s="409"/>
      <c r="E45" s="207" t="s">
        <v>1165</v>
      </c>
      <c r="F45" s="208"/>
      <c r="G45" s="208"/>
      <c r="H45" s="208"/>
      <c r="I45" s="208"/>
      <c r="J45" s="208"/>
      <c r="K45" s="208"/>
      <c r="L45" s="197" t="s">
        <v>1200</v>
      </c>
      <c r="M45" s="208"/>
      <c r="N45" s="208"/>
      <c r="O45" s="208"/>
      <c r="P45" s="208"/>
      <c r="Q45" s="208"/>
      <c r="R45" s="208"/>
      <c r="S45" s="208"/>
      <c r="T45" s="208"/>
      <c r="U45" s="208"/>
      <c r="V45" s="208"/>
      <c r="W45" s="208"/>
      <c r="X45" s="208"/>
      <c r="Y45" s="208"/>
      <c r="Z45" s="208"/>
      <c r="AA45" s="210"/>
      <c r="AB45" s="200"/>
      <c r="AC45" s="188" t="s">
        <v>1242</v>
      </c>
      <c r="AD45" s="202" t="e">
        <f>""""&amp;#REF!&amp;""":""example"&amp;#REF!&amp;""","</f>
        <v>#REF!</v>
      </c>
      <c r="AF45" s="203"/>
      <c r="AG45" s="202"/>
      <c r="AH45" s="202"/>
    </row>
    <row r="46" spans="1:34" s="201" customFormat="1" ht="18" customHeight="1">
      <c r="A46" s="198"/>
      <c r="B46" s="199"/>
      <c r="C46" s="409">
        <v>3</v>
      </c>
      <c r="D46" s="409"/>
      <c r="E46" s="207" t="s">
        <v>1166</v>
      </c>
      <c r="F46" s="208"/>
      <c r="G46" s="208"/>
      <c r="H46" s="208"/>
      <c r="I46" s="208"/>
      <c r="J46" s="208"/>
      <c r="K46" s="208"/>
      <c r="L46" s="211" t="s">
        <v>1201</v>
      </c>
      <c r="M46" s="208"/>
      <c r="N46" s="208"/>
      <c r="O46" s="208"/>
      <c r="P46" s="208"/>
      <c r="Q46" s="208"/>
      <c r="R46" s="208"/>
      <c r="S46" s="208"/>
      <c r="T46" s="208"/>
      <c r="U46" s="208"/>
      <c r="V46" s="208"/>
      <c r="W46" s="208"/>
      <c r="X46" s="208"/>
      <c r="Y46" s="208"/>
      <c r="Z46" s="208"/>
      <c r="AA46" s="210"/>
      <c r="AB46" s="200"/>
      <c r="AC46" s="188" t="s">
        <v>1242</v>
      </c>
      <c r="AD46" s="202" t="e">
        <f>""""&amp;#REF!&amp;""":""example"&amp;#REF!&amp;""","</f>
        <v>#REF!</v>
      </c>
      <c r="AF46" s="203"/>
      <c r="AG46" s="202"/>
      <c r="AH46" s="202"/>
    </row>
    <row r="47" spans="1:34" s="201" customFormat="1" ht="18" customHeight="1">
      <c r="A47" s="198"/>
      <c r="B47" s="199"/>
      <c r="C47" s="409">
        <v>4</v>
      </c>
      <c r="D47" s="409"/>
      <c r="E47" s="207" t="s">
        <v>869</v>
      </c>
      <c r="F47" s="208"/>
      <c r="G47" s="208"/>
      <c r="H47" s="208"/>
      <c r="I47" s="208"/>
      <c r="J47" s="208"/>
      <c r="K47" s="208"/>
      <c r="L47" s="211" t="s">
        <v>1201</v>
      </c>
      <c r="M47" s="208"/>
      <c r="N47" s="208"/>
      <c r="O47" s="208"/>
      <c r="P47" s="208"/>
      <c r="Q47" s="208"/>
      <c r="R47" s="208"/>
      <c r="S47" s="208"/>
      <c r="T47" s="208"/>
      <c r="U47" s="208"/>
      <c r="V47" s="208"/>
      <c r="W47" s="208"/>
      <c r="X47" s="208"/>
      <c r="Y47" s="208"/>
      <c r="Z47" s="208"/>
      <c r="AA47" s="210"/>
      <c r="AB47" s="200"/>
      <c r="AC47" s="188" t="s">
        <v>1242</v>
      </c>
      <c r="AD47" s="202" t="str">
        <f>""""&amp;L46&amp;""":""example"&amp;L46&amp;""","</f>
        <v>""01"":"example"01"",</v>
      </c>
      <c r="AF47" s="203"/>
      <c r="AG47" s="202"/>
      <c r="AH47" s="202"/>
    </row>
    <row r="48" spans="1:34" s="201" customFormat="1" ht="18" customHeight="1">
      <c r="A48" s="198"/>
      <c r="B48" s="199"/>
      <c r="C48" s="409">
        <v>5</v>
      </c>
      <c r="D48" s="409"/>
      <c r="E48" s="207" t="s">
        <v>134</v>
      </c>
      <c r="F48" s="208"/>
      <c r="G48" s="208"/>
      <c r="H48" s="208"/>
      <c r="I48" s="208"/>
      <c r="J48" s="208"/>
      <c r="K48" s="208"/>
      <c r="L48" s="209" t="s">
        <v>1202</v>
      </c>
      <c r="M48" s="208"/>
      <c r="N48" s="208"/>
      <c r="O48" s="208"/>
      <c r="P48" s="208"/>
      <c r="Q48" s="208"/>
      <c r="R48" s="208"/>
      <c r="S48" s="208"/>
      <c r="T48" s="208"/>
      <c r="U48" s="208"/>
      <c r="V48" s="208"/>
      <c r="W48" s="208"/>
      <c r="X48" s="208"/>
      <c r="Y48" s="208"/>
      <c r="Z48" s="208"/>
      <c r="AA48" s="210"/>
      <c r="AB48" s="200"/>
      <c r="AC48" s="188" t="s">
        <v>1242</v>
      </c>
      <c r="AD48" s="202"/>
      <c r="AF48" s="203"/>
      <c r="AG48" s="202"/>
      <c r="AH48" s="202"/>
    </row>
    <row r="49" spans="1:34" s="201" customFormat="1" ht="18" customHeight="1">
      <c r="A49" s="198"/>
      <c r="B49" s="199"/>
      <c r="C49" s="409">
        <v>6</v>
      </c>
      <c r="D49" s="409"/>
      <c r="E49" s="207" t="s">
        <v>373</v>
      </c>
      <c r="F49" s="208"/>
      <c r="G49" s="208"/>
      <c r="H49" s="208"/>
      <c r="I49" s="208"/>
      <c r="J49" s="208"/>
      <c r="K49" s="208"/>
      <c r="L49" s="211" t="s">
        <v>1178</v>
      </c>
      <c r="M49" s="208"/>
      <c r="N49" s="208"/>
      <c r="O49" s="208"/>
      <c r="P49" s="208"/>
      <c r="Q49" s="208"/>
      <c r="R49" s="208"/>
      <c r="S49" s="208"/>
      <c r="T49" s="208"/>
      <c r="U49" s="208"/>
      <c r="V49" s="208"/>
      <c r="W49" s="208"/>
      <c r="X49" s="208"/>
      <c r="Y49" s="208"/>
      <c r="Z49" s="208"/>
      <c r="AA49" s="210"/>
      <c r="AB49" s="200"/>
      <c r="AC49" s="188" t="s">
        <v>1242</v>
      </c>
      <c r="AD49" s="202"/>
      <c r="AF49" s="203"/>
      <c r="AG49" s="202"/>
      <c r="AH49" s="202"/>
    </row>
    <row r="50" spans="1:34" s="201" customFormat="1" ht="18" customHeight="1">
      <c r="A50" s="198"/>
      <c r="B50" s="199"/>
      <c r="C50" s="409">
        <v>7</v>
      </c>
      <c r="D50" s="409"/>
      <c r="E50" s="207" t="s">
        <v>441</v>
      </c>
      <c r="F50" s="208"/>
      <c r="G50" s="208"/>
      <c r="H50" s="208"/>
      <c r="I50" s="208"/>
      <c r="J50" s="208"/>
      <c r="K50" s="208"/>
      <c r="L50" s="209" t="s">
        <v>1206</v>
      </c>
      <c r="M50" s="208"/>
      <c r="N50" s="208"/>
      <c r="O50" s="208"/>
      <c r="P50" s="208"/>
      <c r="Q50" s="208"/>
      <c r="R50" s="208"/>
      <c r="S50" s="208"/>
      <c r="T50" s="208"/>
      <c r="U50" s="208"/>
      <c r="V50" s="208"/>
      <c r="W50" s="208"/>
      <c r="X50" s="208"/>
      <c r="Y50" s="208"/>
      <c r="Z50" s="208"/>
      <c r="AA50" s="210"/>
      <c r="AB50" s="200"/>
      <c r="AC50" s="188" t="s">
        <v>1242</v>
      </c>
      <c r="AD50" s="202"/>
      <c r="AF50" s="203"/>
      <c r="AG50" s="202"/>
      <c r="AH50" s="202"/>
    </row>
    <row r="51" spans="1:34" s="201" customFormat="1" ht="18" customHeight="1">
      <c r="A51" s="198"/>
      <c r="B51" s="199"/>
      <c r="C51" s="409">
        <v>6</v>
      </c>
      <c r="D51" s="409"/>
      <c r="E51" s="207" t="s">
        <v>1167</v>
      </c>
      <c r="F51" s="208"/>
      <c r="G51" s="208"/>
      <c r="H51" s="208"/>
      <c r="I51" s="208"/>
      <c r="J51" s="208"/>
      <c r="K51" s="208"/>
      <c r="L51" s="209" t="s">
        <v>1206</v>
      </c>
      <c r="M51" s="208"/>
      <c r="N51" s="208"/>
      <c r="O51" s="208"/>
      <c r="P51" s="208"/>
      <c r="Q51" s="208"/>
      <c r="R51" s="208"/>
      <c r="S51" s="208"/>
      <c r="T51" s="208"/>
      <c r="U51" s="208"/>
      <c r="V51" s="208"/>
      <c r="W51" s="208"/>
      <c r="X51" s="208"/>
      <c r="Y51" s="208"/>
      <c r="Z51" s="208"/>
      <c r="AA51" s="210"/>
      <c r="AB51" s="200"/>
      <c r="AC51" s="188" t="s">
        <v>1242</v>
      </c>
      <c r="AD51" s="202"/>
      <c r="AF51" s="203"/>
      <c r="AG51" s="202"/>
      <c r="AH51" s="202"/>
    </row>
    <row r="52" spans="1:34" s="201" customFormat="1" ht="18" customHeight="1">
      <c r="A52" s="198"/>
      <c r="B52" s="199"/>
      <c r="C52" s="409">
        <v>7</v>
      </c>
      <c r="D52" s="409"/>
      <c r="E52" s="207" t="s">
        <v>282</v>
      </c>
      <c r="F52" s="208"/>
      <c r="G52" s="208"/>
      <c r="H52" s="208"/>
      <c r="I52" s="208"/>
      <c r="J52" s="208"/>
      <c r="K52" s="208"/>
      <c r="L52" s="209" t="s">
        <v>1206</v>
      </c>
      <c r="M52" s="208"/>
      <c r="N52" s="208"/>
      <c r="O52" s="208"/>
      <c r="P52" s="208"/>
      <c r="Q52" s="208"/>
      <c r="R52" s="208"/>
      <c r="S52" s="208"/>
      <c r="T52" s="208"/>
      <c r="U52" s="208"/>
      <c r="V52" s="208"/>
      <c r="W52" s="208"/>
      <c r="X52" s="208"/>
      <c r="Y52" s="208"/>
      <c r="Z52" s="208"/>
      <c r="AA52" s="210"/>
      <c r="AB52" s="200"/>
      <c r="AC52" s="188" t="s">
        <v>1242</v>
      </c>
      <c r="AD52" s="202" t="e">
        <f>""""&amp;#REF!&amp;""":""example"&amp;#REF!&amp;""","</f>
        <v>#REF!</v>
      </c>
      <c r="AF52" s="203"/>
      <c r="AG52" s="202"/>
      <c r="AH52" s="202"/>
    </row>
    <row r="53" spans="1:34" s="201" customFormat="1" ht="18" customHeight="1">
      <c r="A53" s="198"/>
      <c r="B53" s="199"/>
      <c r="C53" s="409">
        <v>8</v>
      </c>
      <c r="D53" s="409"/>
      <c r="E53" s="207" t="s">
        <v>1185</v>
      </c>
      <c r="F53" s="208"/>
      <c r="G53" s="208"/>
      <c r="H53" s="208"/>
      <c r="I53" s="208"/>
      <c r="J53" s="208"/>
      <c r="K53" s="208"/>
      <c r="L53" s="211" t="s">
        <v>1216</v>
      </c>
      <c r="M53" s="208"/>
      <c r="N53" s="208"/>
      <c r="O53" s="208"/>
      <c r="P53" s="208"/>
      <c r="Q53" s="208"/>
      <c r="R53" s="208"/>
      <c r="S53" s="208"/>
      <c r="T53" s="208"/>
      <c r="U53" s="208"/>
      <c r="V53" s="208"/>
      <c r="W53" s="208"/>
      <c r="X53" s="208"/>
      <c r="Y53" s="208"/>
      <c r="Z53" s="208"/>
      <c r="AA53" s="210"/>
      <c r="AB53" s="200"/>
      <c r="AC53" s="188" t="s">
        <v>1242</v>
      </c>
      <c r="AD53" s="202" t="e">
        <f>""""&amp;#REF!&amp;""":""example"&amp;#REF!&amp;""","</f>
        <v>#REF!</v>
      </c>
      <c r="AF53" s="203"/>
      <c r="AG53" s="202"/>
      <c r="AH53" s="202"/>
    </row>
    <row r="54" spans="1:34" s="201" customFormat="1" ht="18" customHeight="1">
      <c r="A54" s="198"/>
      <c r="B54" s="199"/>
      <c r="C54" s="409">
        <v>9</v>
      </c>
      <c r="D54" s="409"/>
      <c r="E54" s="207" t="s">
        <v>263</v>
      </c>
      <c r="F54" s="208"/>
      <c r="G54" s="208"/>
      <c r="H54" s="208"/>
      <c r="I54" s="208"/>
      <c r="J54" s="208"/>
      <c r="K54" s="208"/>
      <c r="L54" s="209" t="s">
        <v>1206</v>
      </c>
      <c r="M54" s="208"/>
      <c r="N54" s="208"/>
      <c r="O54" s="208"/>
      <c r="P54" s="208"/>
      <c r="Q54" s="208"/>
      <c r="R54" s="208"/>
      <c r="S54" s="208"/>
      <c r="T54" s="208"/>
      <c r="U54" s="208"/>
      <c r="V54" s="208"/>
      <c r="W54" s="208"/>
      <c r="X54" s="208"/>
      <c r="Y54" s="208"/>
      <c r="Z54" s="208"/>
      <c r="AA54" s="210"/>
      <c r="AB54" s="200"/>
      <c r="AC54" s="188" t="s">
        <v>1242</v>
      </c>
      <c r="AD54" s="202" t="e">
        <f>""""&amp;#REF!&amp;""":""example"&amp;#REF!&amp;""","</f>
        <v>#REF!</v>
      </c>
      <c r="AF54" s="203"/>
      <c r="AG54" s="202"/>
      <c r="AH54" s="202"/>
    </row>
    <row r="55" spans="1:34" s="201" customFormat="1" ht="18" customHeight="1">
      <c r="A55" s="198"/>
      <c r="B55" s="199"/>
      <c r="C55" s="409">
        <v>10</v>
      </c>
      <c r="D55" s="409"/>
      <c r="E55" s="207" t="s">
        <v>1169</v>
      </c>
      <c r="F55" s="208"/>
      <c r="G55" s="208"/>
      <c r="H55" s="208"/>
      <c r="I55" s="208"/>
      <c r="J55" s="208"/>
      <c r="K55" s="208"/>
      <c r="L55" s="209" t="s">
        <v>1206</v>
      </c>
      <c r="M55" s="208"/>
      <c r="N55" s="208"/>
      <c r="O55" s="208"/>
      <c r="P55" s="208"/>
      <c r="Q55" s="208"/>
      <c r="R55" s="208"/>
      <c r="S55" s="208"/>
      <c r="T55" s="208"/>
      <c r="U55" s="208"/>
      <c r="V55" s="208"/>
      <c r="W55" s="208"/>
      <c r="X55" s="208"/>
      <c r="Y55" s="208"/>
      <c r="Z55" s="208"/>
      <c r="AA55" s="210"/>
      <c r="AB55" s="200"/>
      <c r="AC55" s="188" t="s">
        <v>1242</v>
      </c>
      <c r="AD55" s="202" t="e">
        <f>""""&amp;#REF!&amp;""":""example"&amp;#REF!&amp;"""},"</f>
        <v>#REF!</v>
      </c>
      <c r="AF55" s="203"/>
      <c r="AG55" s="202"/>
      <c r="AH55" s="202"/>
    </row>
    <row r="56" spans="1:34" s="201" customFormat="1" ht="18" customHeight="1">
      <c r="A56" s="198"/>
      <c r="B56" s="199"/>
      <c r="C56" s="409">
        <v>11</v>
      </c>
      <c r="D56" s="409"/>
      <c r="E56" s="207" t="s">
        <v>1170</v>
      </c>
      <c r="F56" s="208"/>
      <c r="G56" s="208"/>
      <c r="H56" s="208"/>
      <c r="I56" s="208"/>
      <c r="J56" s="208"/>
      <c r="K56" s="208"/>
      <c r="L56" s="209" t="s">
        <v>1206</v>
      </c>
      <c r="M56" s="208"/>
      <c r="N56" s="208"/>
      <c r="O56" s="208"/>
      <c r="P56" s="208"/>
      <c r="Q56" s="208"/>
      <c r="R56" s="208"/>
      <c r="S56" s="208"/>
      <c r="T56" s="208"/>
      <c r="U56" s="208"/>
      <c r="V56" s="208"/>
      <c r="W56" s="208"/>
      <c r="X56" s="208"/>
      <c r="Y56" s="208"/>
      <c r="Z56" s="208"/>
      <c r="AA56" s="210"/>
      <c r="AB56" s="200"/>
      <c r="AC56" s="188" t="s">
        <v>1242</v>
      </c>
      <c r="AD56" s="202" t="e">
        <f>""""&amp;#REF!&amp;""":""example"&amp;#REF!&amp;"""},"</f>
        <v>#REF!</v>
      </c>
      <c r="AF56" s="203"/>
      <c r="AG56" s="202"/>
      <c r="AH56" s="202"/>
    </row>
    <row r="57" spans="1:34" s="201" customFormat="1" ht="18" customHeight="1">
      <c r="A57" s="198"/>
      <c r="B57" s="199"/>
      <c r="C57" s="409">
        <v>12</v>
      </c>
      <c r="D57" s="409"/>
      <c r="E57" s="207" t="s">
        <v>1171</v>
      </c>
      <c r="F57" s="208"/>
      <c r="G57" s="208"/>
      <c r="H57" s="208"/>
      <c r="I57" s="208"/>
      <c r="J57" s="208"/>
      <c r="K57" s="208"/>
      <c r="L57" s="209" t="s">
        <v>1206</v>
      </c>
      <c r="M57" s="208"/>
      <c r="N57" s="208"/>
      <c r="O57" s="208"/>
      <c r="P57" s="208"/>
      <c r="Q57" s="208"/>
      <c r="R57" s="208"/>
      <c r="S57" s="208"/>
      <c r="T57" s="208"/>
      <c r="U57" s="208"/>
      <c r="V57" s="208"/>
      <c r="W57" s="208"/>
      <c r="X57" s="208"/>
      <c r="Y57" s="208"/>
      <c r="Z57" s="208"/>
      <c r="AA57" s="210"/>
      <c r="AB57" s="200"/>
      <c r="AC57" s="188" t="s">
        <v>1242</v>
      </c>
      <c r="AD57" s="202" t="e">
        <f>""""&amp;#REF!&amp;""": ["</f>
        <v>#REF!</v>
      </c>
      <c r="AF57" s="203"/>
      <c r="AG57" s="202"/>
      <c r="AH57" s="202"/>
    </row>
    <row r="58" spans="1:34" s="201" customFormat="1" ht="18" customHeight="1">
      <c r="A58" s="198"/>
      <c r="B58" s="199"/>
      <c r="C58" s="409">
        <v>13</v>
      </c>
      <c r="D58" s="409"/>
      <c r="E58" s="207" t="s">
        <v>1172</v>
      </c>
      <c r="F58" s="208"/>
      <c r="G58" s="208"/>
      <c r="H58" s="208"/>
      <c r="I58" s="208"/>
      <c r="J58" s="208"/>
      <c r="K58" s="208"/>
      <c r="L58" s="209" t="s">
        <v>1206</v>
      </c>
      <c r="M58" s="208"/>
      <c r="N58" s="208"/>
      <c r="O58" s="208"/>
      <c r="P58" s="208"/>
      <c r="Q58" s="208"/>
      <c r="R58" s="208"/>
      <c r="S58" s="208"/>
      <c r="T58" s="208"/>
      <c r="U58" s="208"/>
      <c r="V58" s="208"/>
      <c r="W58" s="208"/>
      <c r="X58" s="208"/>
      <c r="Y58" s="208"/>
      <c r="Z58" s="208"/>
      <c r="AA58" s="210"/>
      <c r="AB58" s="200"/>
      <c r="AC58" s="188" t="s">
        <v>1242</v>
      </c>
      <c r="AD58" s="202" t="e">
        <f>"{"""&amp;#REF!&amp;""":""example"&amp;#REF!&amp;""","</f>
        <v>#REF!</v>
      </c>
      <c r="AF58" s="203"/>
      <c r="AG58" s="202"/>
      <c r="AH58" s="202"/>
    </row>
    <row r="59" spans="1:34" s="201" customFormat="1" ht="18" customHeight="1">
      <c r="A59" s="198"/>
      <c r="B59" s="199"/>
      <c r="C59" s="409">
        <v>14</v>
      </c>
      <c r="D59" s="409"/>
      <c r="E59" s="207" t="s">
        <v>1173</v>
      </c>
      <c r="F59" s="208"/>
      <c r="G59" s="208"/>
      <c r="H59" s="208"/>
      <c r="I59" s="208"/>
      <c r="J59" s="208"/>
      <c r="K59" s="208"/>
      <c r="L59" s="209" t="s">
        <v>1206</v>
      </c>
      <c r="M59" s="208"/>
      <c r="N59" s="208"/>
      <c r="O59" s="208"/>
      <c r="P59" s="208"/>
      <c r="Q59" s="208"/>
      <c r="R59" s="208"/>
      <c r="S59" s="208"/>
      <c r="T59" s="208"/>
      <c r="U59" s="208"/>
      <c r="V59" s="208"/>
      <c r="W59" s="208"/>
      <c r="X59" s="208"/>
      <c r="Y59" s="208"/>
      <c r="Z59" s="208"/>
      <c r="AA59" s="210"/>
      <c r="AB59" s="200"/>
      <c r="AC59" s="188" t="s">
        <v>1242</v>
      </c>
      <c r="AD59" s="202" t="e">
        <f>""""&amp;#REF!&amp;""":""example"&amp;#REF!&amp;""","</f>
        <v>#REF!</v>
      </c>
      <c r="AF59" s="203"/>
      <c r="AG59" s="202"/>
      <c r="AH59" s="202"/>
    </row>
    <row r="60" spans="1:34" s="201" customFormat="1" ht="18" customHeight="1">
      <c r="A60" s="198"/>
      <c r="B60" s="199"/>
      <c r="C60" s="409">
        <v>15</v>
      </c>
      <c r="D60" s="409"/>
      <c r="E60" s="207" t="s">
        <v>1174</v>
      </c>
      <c r="F60" s="208"/>
      <c r="G60" s="208"/>
      <c r="H60" s="208"/>
      <c r="I60" s="208"/>
      <c r="J60" s="208"/>
      <c r="K60" s="208"/>
      <c r="L60" s="209" t="s">
        <v>1206</v>
      </c>
      <c r="M60" s="208"/>
      <c r="N60" s="208"/>
      <c r="O60" s="208"/>
      <c r="P60" s="208"/>
      <c r="Q60" s="208"/>
      <c r="R60" s="208"/>
      <c r="S60" s="208"/>
      <c r="T60" s="208"/>
      <c r="U60" s="208"/>
      <c r="V60" s="208"/>
      <c r="W60" s="208"/>
      <c r="X60" s="208"/>
      <c r="Y60" s="208"/>
      <c r="Z60" s="208"/>
      <c r="AA60" s="210"/>
      <c r="AB60" s="200"/>
      <c r="AC60" s="188" t="s">
        <v>1242</v>
      </c>
      <c r="AD60" s="202" t="e">
        <f>""""&amp;#REF!&amp;""":""example"&amp;#REF!&amp;"""},"</f>
        <v>#REF!</v>
      </c>
      <c r="AF60" s="203"/>
      <c r="AG60" s="202"/>
      <c r="AH60" s="202"/>
    </row>
    <row r="61" spans="1:34" s="201" customFormat="1" ht="18" customHeight="1">
      <c r="A61" s="198"/>
      <c r="B61" s="199"/>
      <c r="C61" s="409">
        <v>16</v>
      </c>
      <c r="D61" s="409"/>
      <c r="E61" s="207" t="s">
        <v>1222</v>
      </c>
      <c r="F61" s="208"/>
      <c r="G61" s="208"/>
      <c r="H61" s="208"/>
      <c r="I61" s="208"/>
      <c r="J61" s="208"/>
      <c r="K61" s="208"/>
      <c r="L61" s="209">
        <v>0</v>
      </c>
      <c r="M61" s="212" t="s">
        <v>1203</v>
      </c>
      <c r="N61" s="208"/>
      <c r="O61" s="208"/>
      <c r="P61" s="208"/>
      <c r="Q61" s="208"/>
      <c r="R61" s="208"/>
      <c r="S61" s="208"/>
      <c r="T61" s="208"/>
      <c r="U61" s="208"/>
      <c r="V61" s="208"/>
      <c r="W61" s="208"/>
      <c r="X61" s="208"/>
      <c r="Y61" s="208"/>
      <c r="Z61" s="208"/>
      <c r="AA61" s="210"/>
      <c r="AB61" s="200"/>
      <c r="AC61" s="188" t="s">
        <v>1242</v>
      </c>
      <c r="AD61" s="202" t="e">
        <f>""""&amp;#REF!&amp;""":""example"&amp;#REF!&amp;""","</f>
        <v>#REF!</v>
      </c>
      <c r="AF61" s="203"/>
      <c r="AG61" s="202"/>
      <c r="AH61" s="202"/>
    </row>
    <row r="62" spans="1:34" s="201" customFormat="1" ht="18" customHeight="1">
      <c r="A62" s="198"/>
      <c r="B62" s="199"/>
      <c r="C62" s="409">
        <v>17</v>
      </c>
      <c r="D62" s="409"/>
      <c r="E62" s="207" t="s">
        <v>1220</v>
      </c>
      <c r="F62" s="208"/>
      <c r="G62" s="208"/>
      <c r="H62" s="208"/>
      <c r="I62" s="208"/>
      <c r="J62" s="208"/>
      <c r="K62" s="208"/>
      <c r="L62" s="209" t="s">
        <v>1221</v>
      </c>
      <c r="M62" s="208"/>
      <c r="N62" s="208"/>
      <c r="O62" s="208"/>
      <c r="P62" s="208"/>
      <c r="Q62" s="208"/>
      <c r="R62" s="208"/>
      <c r="S62" s="208"/>
      <c r="T62" s="208"/>
      <c r="U62" s="208"/>
      <c r="V62" s="208"/>
      <c r="W62" s="208"/>
      <c r="X62" s="208"/>
      <c r="Y62" s="208"/>
      <c r="Z62" s="208"/>
      <c r="AA62" s="210"/>
      <c r="AB62" s="200"/>
      <c r="AC62" s="188" t="s">
        <v>1242</v>
      </c>
      <c r="AD62" s="202" t="e">
        <f>""""&amp;#REF!&amp;""":""example"&amp;#REF!&amp;""","</f>
        <v>#REF!</v>
      </c>
      <c r="AF62" s="203"/>
      <c r="AG62" s="202"/>
      <c r="AH62" s="202"/>
    </row>
    <row r="63" spans="1:34" s="201" customFormat="1" ht="18" customHeight="1">
      <c r="A63" s="198"/>
      <c r="B63" s="199"/>
      <c r="C63" s="409">
        <v>18</v>
      </c>
      <c r="D63" s="409"/>
      <c r="E63" s="207" t="s">
        <v>1175</v>
      </c>
      <c r="F63" s="208"/>
      <c r="G63" s="208"/>
      <c r="H63" s="208"/>
      <c r="I63" s="208"/>
      <c r="J63" s="208"/>
      <c r="K63" s="208"/>
      <c r="L63" s="209">
        <v>0</v>
      </c>
      <c r="M63" s="212" t="s">
        <v>1203</v>
      </c>
      <c r="N63" s="208"/>
      <c r="O63" s="208"/>
      <c r="P63" s="208"/>
      <c r="Q63" s="208"/>
      <c r="R63" s="208"/>
      <c r="S63" s="208"/>
      <c r="T63" s="208"/>
      <c r="U63" s="208"/>
      <c r="V63" s="208"/>
      <c r="W63" s="208"/>
      <c r="X63" s="208"/>
      <c r="Y63" s="208"/>
      <c r="Z63" s="208"/>
      <c r="AA63" s="210"/>
      <c r="AB63" s="200"/>
      <c r="AC63" s="188" t="s">
        <v>1242</v>
      </c>
      <c r="AD63" s="202" t="e">
        <f>""""&amp;#REF!&amp;""":""example"&amp;#REF!&amp;""","</f>
        <v>#REF!</v>
      </c>
      <c r="AF63" s="203"/>
      <c r="AG63" s="202"/>
      <c r="AH63" s="202"/>
    </row>
    <row r="64" spans="1:34" s="201" customFormat="1" ht="18" customHeight="1">
      <c r="A64" s="198"/>
      <c r="B64" s="199"/>
      <c r="C64" s="409">
        <v>19</v>
      </c>
      <c r="D64" s="409"/>
      <c r="E64" s="207" t="s">
        <v>1231</v>
      </c>
      <c r="F64" s="208"/>
      <c r="G64" s="208"/>
      <c r="H64" s="208"/>
      <c r="I64" s="208"/>
      <c r="J64" s="208"/>
      <c r="K64" s="208"/>
      <c r="L64" s="209">
        <v>0</v>
      </c>
      <c r="M64" s="212" t="s">
        <v>1203</v>
      </c>
      <c r="N64" s="208"/>
      <c r="O64" s="208"/>
      <c r="P64" s="208"/>
      <c r="Q64" s="208"/>
      <c r="R64" s="208"/>
      <c r="S64" s="208"/>
      <c r="T64" s="208"/>
      <c r="U64" s="208"/>
      <c r="V64" s="208"/>
      <c r="W64" s="208"/>
      <c r="X64" s="208"/>
      <c r="Y64" s="208"/>
      <c r="Z64" s="208"/>
      <c r="AA64" s="210"/>
      <c r="AB64" s="200"/>
      <c r="AC64" s="188" t="s">
        <v>1242</v>
      </c>
      <c r="AD64" s="202" t="e">
        <f>""""&amp;#REF!&amp;""":""example"&amp;#REF!&amp;"""},"</f>
        <v>#REF!</v>
      </c>
      <c r="AF64" s="203"/>
      <c r="AG64" s="202"/>
      <c r="AH64" s="202"/>
    </row>
    <row r="65" spans="1:34" s="201" customFormat="1" ht="18" customHeight="1">
      <c r="A65" s="198"/>
      <c r="B65" s="199"/>
      <c r="C65" s="409">
        <v>20</v>
      </c>
      <c r="D65" s="409"/>
      <c r="E65" s="207" t="s">
        <v>1176</v>
      </c>
      <c r="F65" s="208"/>
      <c r="G65" s="208"/>
      <c r="H65" s="208"/>
      <c r="I65" s="208"/>
      <c r="J65" s="208"/>
      <c r="K65" s="208"/>
      <c r="L65" s="209" t="s">
        <v>1204</v>
      </c>
      <c r="M65" s="208"/>
      <c r="N65" s="208"/>
      <c r="O65" s="208"/>
      <c r="P65" s="208"/>
      <c r="Q65" s="208"/>
      <c r="R65" s="208"/>
      <c r="S65" s="208"/>
      <c r="T65" s="208"/>
      <c r="U65" s="208"/>
      <c r="V65" s="208"/>
      <c r="W65" s="208"/>
      <c r="X65" s="208"/>
      <c r="Y65" s="208"/>
      <c r="Z65" s="208"/>
      <c r="AA65" s="210"/>
      <c r="AB65" s="200"/>
      <c r="AC65" s="188" t="s">
        <v>1242</v>
      </c>
      <c r="AD65" s="202" t="e">
        <f>""""&amp;#REF!&amp;""":""example"&amp;#REF!&amp;"""},"</f>
        <v>#REF!</v>
      </c>
      <c r="AF65" s="203"/>
      <c r="AG65" s="202"/>
      <c r="AH65" s="202"/>
    </row>
    <row r="66" spans="1:34" s="201" customFormat="1" ht="18" customHeight="1">
      <c r="A66" s="213"/>
      <c r="B66" s="214"/>
      <c r="C66" s="415">
        <v>21</v>
      </c>
      <c r="D66" s="415"/>
      <c r="E66" s="207" t="s">
        <v>1177</v>
      </c>
      <c r="F66" s="215"/>
      <c r="G66" s="215"/>
      <c r="H66" s="215"/>
      <c r="I66" s="215"/>
      <c r="J66" s="215"/>
      <c r="K66" s="215"/>
      <c r="L66" s="216" t="s">
        <v>1205</v>
      </c>
      <c r="M66" s="215"/>
      <c r="N66" s="215"/>
      <c r="O66" s="215"/>
      <c r="P66" s="215"/>
      <c r="Q66" s="215"/>
      <c r="R66" s="215"/>
      <c r="S66" s="215"/>
      <c r="T66" s="215"/>
      <c r="U66" s="215"/>
      <c r="V66" s="215"/>
      <c r="W66" s="215"/>
      <c r="X66" s="215"/>
      <c r="Y66" s="215"/>
      <c r="Z66" s="215"/>
      <c r="AA66" s="217"/>
      <c r="AB66" s="218"/>
      <c r="AC66" s="188" t="s">
        <v>1242</v>
      </c>
      <c r="AD66" s="201" t="e">
        <f>""""&amp;#REF!&amp;""":""example"&amp;#REF!&amp;"""},"</f>
        <v>#REF!</v>
      </c>
    </row>
    <row r="67" spans="1:34" s="201" customFormat="1" ht="18" customHeight="1">
      <c r="A67" s="198"/>
      <c r="B67" s="199"/>
      <c r="C67" s="409">
        <v>22</v>
      </c>
      <c r="D67" s="409"/>
      <c r="E67" s="207" t="s">
        <v>386</v>
      </c>
      <c r="F67" s="208"/>
      <c r="G67" s="208"/>
      <c r="H67" s="208"/>
      <c r="I67" s="208"/>
      <c r="J67" s="208"/>
      <c r="K67" s="208"/>
      <c r="L67" s="209" t="s">
        <v>1206</v>
      </c>
      <c r="M67" s="208"/>
      <c r="N67" s="208"/>
      <c r="O67" s="208"/>
      <c r="P67" s="208"/>
      <c r="Q67" s="208"/>
      <c r="R67" s="208"/>
      <c r="S67" s="208"/>
      <c r="T67" s="208"/>
      <c r="U67" s="208"/>
      <c r="V67" s="208"/>
      <c r="W67" s="208"/>
      <c r="X67" s="208"/>
      <c r="Y67" s="208"/>
      <c r="Z67" s="208"/>
      <c r="AA67" s="210"/>
      <c r="AB67" s="200"/>
      <c r="AC67" s="188" t="s">
        <v>1242</v>
      </c>
      <c r="AD67" s="202" t="e">
        <f>""""&amp;#REF!&amp;""":""example"&amp;#REF!&amp;"""},"</f>
        <v>#REF!</v>
      </c>
      <c r="AF67" s="203"/>
      <c r="AG67" s="202"/>
      <c r="AH67" s="202"/>
    </row>
    <row r="68" spans="1:34" s="202" customFormat="1" ht="18" customHeight="1">
      <c r="A68" s="198"/>
      <c r="B68" s="199"/>
      <c r="C68" s="219"/>
      <c r="D68" s="21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200"/>
      <c r="AC68" s="188" t="s">
        <v>1242</v>
      </c>
      <c r="AE68" s="201"/>
      <c r="AF68" s="203"/>
    </row>
    <row r="69" spans="1:34" s="202" customFormat="1" ht="18" customHeight="1">
      <c r="A69" s="198"/>
      <c r="B69" s="199"/>
      <c r="C69" s="205" t="s">
        <v>1278</v>
      </c>
      <c r="D69" s="199"/>
      <c r="E69" s="199"/>
      <c r="F69" s="199"/>
      <c r="G69" s="199"/>
      <c r="H69" s="199"/>
      <c r="I69" s="199"/>
      <c r="J69" s="199"/>
      <c r="K69" s="199"/>
      <c r="L69" s="199"/>
      <c r="M69" s="199"/>
      <c r="N69" s="199"/>
      <c r="O69" s="199"/>
      <c r="P69" s="199"/>
      <c r="Q69" s="199"/>
      <c r="R69" s="199"/>
      <c r="S69" s="199"/>
      <c r="T69" s="199"/>
      <c r="U69" s="199"/>
      <c r="V69" s="199"/>
      <c r="W69" s="199"/>
      <c r="X69" s="199"/>
      <c r="Y69" s="199"/>
      <c r="Z69" s="199"/>
      <c r="AA69" s="199"/>
      <c r="AB69" s="200"/>
      <c r="AC69" s="188" t="s">
        <v>1242</v>
      </c>
      <c r="AE69" s="201"/>
      <c r="AF69" s="203"/>
    </row>
    <row r="70" spans="1:34" s="202" customFormat="1" ht="18" customHeight="1">
      <c r="A70" s="198"/>
      <c r="B70" s="199"/>
      <c r="C70" s="205" t="s">
        <v>1281</v>
      </c>
      <c r="D70" s="199"/>
      <c r="E70" s="199"/>
      <c r="F70" s="199"/>
      <c r="G70" s="199"/>
      <c r="H70" s="199"/>
      <c r="I70" s="199"/>
      <c r="J70" s="199"/>
      <c r="K70" s="199"/>
      <c r="L70" s="199"/>
      <c r="M70" s="199"/>
      <c r="N70" s="199"/>
      <c r="O70" s="199"/>
      <c r="P70" s="199"/>
      <c r="Q70" s="199"/>
      <c r="R70" s="199"/>
      <c r="S70" s="199"/>
      <c r="T70" s="199"/>
      <c r="U70" s="199"/>
      <c r="V70" s="199"/>
      <c r="W70" s="199"/>
      <c r="X70" s="199"/>
      <c r="Y70" s="199"/>
      <c r="Z70" s="199"/>
      <c r="AA70" s="199"/>
      <c r="AB70" s="200"/>
      <c r="AC70" s="188" t="s">
        <v>1259</v>
      </c>
      <c r="AE70" s="201"/>
      <c r="AF70" s="203"/>
    </row>
    <row r="71" spans="1:34" s="220" customFormat="1" ht="20.100000000000001" customHeight="1">
      <c r="A71" s="199"/>
      <c r="B71" s="205"/>
      <c r="C71" s="410" t="s">
        <v>653</v>
      </c>
      <c r="D71" s="410"/>
      <c r="E71" s="410"/>
      <c r="F71" s="410"/>
      <c r="G71" s="411" t="s">
        <v>656</v>
      </c>
      <c r="H71" s="411"/>
      <c r="I71" s="411"/>
      <c r="J71" s="411"/>
      <c r="K71" s="411"/>
      <c r="L71" s="411"/>
      <c r="M71" s="411"/>
      <c r="N71" s="411"/>
      <c r="O71" s="411"/>
      <c r="P71" s="411"/>
      <c r="Q71" s="411"/>
      <c r="R71" s="411"/>
      <c r="S71" s="411"/>
      <c r="T71" s="411"/>
      <c r="U71" s="411"/>
      <c r="V71" s="411"/>
      <c r="W71" s="411"/>
      <c r="X71" s="411"/>
      <c r="Y71" s="411"/>
      <c r="Z71" s="411"/>
      <c r="AA71" s="411"/>
      <c r="AB71" s="200"/>
      <c r="AC71" s="188" t="s">
        <v>1242</v>
      </c>
      <c r="AE71" s="221"/>
    </row>
    <row r="72" spans="1:34" s="202" customFormat="1" ht="18" customHeight="1">
      <c r="A72" s="198"/>
      <c r="B72" s="199"/>
      <c r="C72" s="410" t="s">
        <v>417</v>
      </c>
      <c r="D72" s="410"/>
      <c r="E72" s="410"/>
      <c r="F72" s="410"/>
      <c r="G72" s="411" t="s">
        <v>1180</v>
      </c>
      <c r="H72" s="411"/>
      <c r="I72" s="411"/>
      <c r="J72" s="411"/>
      <c r="K72" s="411"/>
      <c r="L72" s="411"/>
      <c r="M72" s="411"/>
      <c r="N72" s="411"/>
      <c r="O72" s="411"/>
      <c r="P72" s="411"/>
      <c r="Q72" s="411"/>
      <c r="R72" s="411"/>
      <c r="S72" s="411"/>
      <c r="T72" s="411"/>
      <c r="U72" s="411"/>
      <c r="V72" s="411"/>
      <c r="W72" s="411"/>
      <c r="X72" s="411"/>
      <c r="Y72" s="411"/>
      <c r="Z72" s="411"/>
      <c r="AA72" s="411"/>
      <c r="AB72" s="200"/>
      <c r="AC72" s="188" t="s">
        <v>1242</v>
      </c>
      <c r="AD72" s="206"/>
      <c r="AE72" s="201"/>
    </row>
    <row r="73" spans="1:34" s="202" customFormat="1" ht="18" customHeight="1">
      <c r="A73" s="198"/>
      <c r="B73" s="199"/>
      <c r="C73" s="410" t="s">
        <v>7</v>
      </c>
      <c r="D73" s="410"/>
      <c r="E73" s="412" t="s">
        <v>9</v>
      </c>
      <c r="F73" s="413"/>
      <c r="G73" s="413"/>
      <c r="H73" s="413"/>
      <c r="I73" s="413"/>
      <c r="J73" s="413"/>
      <c r="K73" s="414"/>
      <c r="L73" s="410" t="s">
        <v>407</v>
      </c>
      <c r="M73" s="410"/>
      <c r="N73" s="410"/>
      <c r="O73" s="410"/>
      <c r="P73" s="410"/>
      <c r="Q73" s="410"/>
      <c r="R73" s="410"/>
      <c r="S73" s="410"/>
      <c r="T73" s="410"/>
      <c r="U73" s="410"/>
      <c r="V73" s="410"/>
      <c r="W73" s="410"/>
      <c r="X73" s="410"/>
      <c r="Y73" s="410"/>
      <c r="Z73" s="410"/>
      <c r="AA73" s="410"/>
      <c r="AB73" s="200"/>
      <c r="AC73" s="188" t="s">
        <v>1242</v>
      </c>
      <c r="AE73" s="201"/>
      <c r="AF73" s="203"/>
    </row>
    <row r="74" spans="1:34" s="201" customFormat="1" ht="18" customHeight="1">
      <c r="A74" s="198"/>
      <c r="B74" s="199"/>
      <c r="C74" s="409">
        <v>1</v>
      </c>
      <c r="D74" s="409"/>
      <c r="E74" s="207" t="s">
        <v>1181</v>
      </c>
      <c r="F74" s="208"/>
      <c r="G74" s="208"/>
      <c r="H74" s="208"/>
      <c r="I74" s="208"/>
      <c r="J74" s="208"/>
      <c r="K74" s="208"/>
      <c r="L74" s="209" t="s">
        <v>1206</v>
      </c>
      <c r="M74" s="208"/>
      <c r="N74" s="208"/>
      <c r="O74" s="208"/>
      <c r="P74" s="208"/>
      <c r="Q74" s="208"/>
      <c r="R74" s="208"/>
      <c r="S74" s="208"/>
      <c r="T74" s="208"/>
      <c r="U74" s="208"/>
      <c r="V74" s="208"/>
      <c r="W74" s="208"/>
      <c r="X74" s="208"/>
      <c r="Y74" s="208"/>
      <c r="Z74" s="208"/>
      <c r="AA74" s="210"/>
      <c r="AB74" s="200"/>
      <c r="AC74" s="188" t="s">
        <v>1242</v>
      </c>
      <c r="AD74" s="202" t="e">
        <f>"{"""&amp;#REF!&amp;""":""example"&amp;#REF!&amp;""","</f>
        <v>#REF!</v>
      </c>
      <c r="AF74" s="203"/>
      <c r="AG74" s="202"/>
      <c r="AH74" s="202"/>
    </row>
    <row r="75" spans="1:34" s="201" customFormat="1" ht="18" customHeight="1">
      <c r="A75" s="198"/>
      <c r="B75" s="199"/>
      <c r="C75" s="409">
        <v>2</v>
      </c>
      <c r="D75" s="409"/>
      <c r="E75" s="207" t="s">
        <v>388</v>
      </c>
      <c r="F75" s="208"/>
      <c r="G75" s="208"/>
      <c r="H75" s="208"/>
      <c r="I75" s="208"/>
      <c r="J75" s="208"/>
      <c r="K75" s="208"/>
      <c r="L75" s="197" t="s">
        <v>1207</v>
      </c>
      <c r="M75" s="208"/>
      <c r="N75" s="208"/>
      <c r="O75" s="208"/>
      <c r="P75" s="208"/>
      <c r="Q75" s="208"/>
      <c r="R75" s="208"/>
      <c r="S75" s="208"/>
      <c r="T75" s="208"/>
      <c r="U75" s="208"/>
      <c r="V75" s="208"/>
      <c r="W75" s="208"/>
      <c r="X75" s="208"/>
      <c r="Y75" s="208"/>
      <c r="Z75" s="208"/>
      <c r="AA75" s="210"/>
      <c r="AB75" s="200"/>
      <c r="AC75" s="188" t="s">
        <v>1242</v>
      </c>
      <c r="AD75" s="202" t="e">
        <f>""""&amp;#REF!&amp;""":""example"&amp;#REF!&amp;""","</f>
        <v>#REF!</v>
      </c>
      <c r="AF75" s="203"/>
      <c r="AG75" s="202"/>
      <c r="AH75" s="202"/>
    </row>
    <row r="76" spans="1:34" s="201" customFormat="1" ht="18" customHeight="1">
      <c r="A76" s="198"/>
      <c r="B76" s="199"/>
      <c r="C76" s="409">
        <v>3</v>
      </c>
      <c r="D76" s="409"/>
      <c r="E76" s="207" t="s">
        <v>374</v>
      </c>
      <c r="F76" s="208"/>
      <c r="G76" s="208"/>
      <c r="H76" s="208"/>
      <c r="I76" s="208"/>
      <c r="J76" s="208"/>
      <c r="K76" s="208"/>
      <c r="L76" s="197" t="s">
        <v>1219</v>
      </c>
      <c r="M76" s="208"/>
      <c r="N76" s="208"/>
      <c r="O76" s="208"/>
      <c r="P76" s="208"/>
      <c r="Q76" s="208"/>
      <c r="R76" s="208"/>
      <c r="S76" s="208"/>
      <c r="T76" s="208"/>
      <c r="U76" s="208"/>
      <c r="V76" s="208"/>
      <c r="W76" s="208"/>
      <c r="X76" s="208"/>
      <c r="Y76" s="208"/>
      <c r="Z76" s="208"/>
      <c r="AA76" s="210"/>
      <c r="AB76" s="200"/>
      <c r="AC76" s="188" t="s">
        <v>1242</v>
      </c>
      <c r="AD76" s="202" t="e">
        <f>""""&amp;#REF!&amp;""":""example"&amp;#REF!&amp;""","</f>
        <v>#REF!</v>
      </c>
      <c r="AF76" s="203"/>
      <c r="AG76" s="202"/>
      <c r="AH76" s="202"/>
    </row>
    <row r="77" spans="1:34" s="201" customFormat="1" ht="18" customHeight="1">
      <c r="A77" s="198"/>
      <c r="B77" s="199"/>
      <c r="C77" s="409">
        <v>4</v>
      </c>
      <c r="D77" s="409"/>
      <c r="E77" s="207" t="s">
        <v>1076</v>
      </c>
      <c r="F77" s="208"/>
      <c r="G77" s="208"/>
      <c r="H77" s="208"/>
      <c r="I77" s="208"/>
      <c r="J77" s="208"/>
      <c r="K77" s="208"/>
      <c r="L77" s="197" t="s">
        <v>1215</v>
      </c>
      <c r="M77" s="208"/>
      <c r="N77" s="208"/>
      <c r="O77" s="208"/>
      <c r="P77" s="208"/>
      <c r="Q77" s="208"/>
      <c r="R77" s="208"/>
      <c r="S77" s="208"/>
      <c r="T77" s="208"/>
      <c r="U77" s="208"/>
      <c r="V77" s="208"/>
      <c r="W77" s="208"/>
      <c r="X77" s="208"/>
      <c r="Y77" s="208"/>
      <c r="Z77" s="208"/>
      <c r="AA77" s="210"/>
      <c r="AB77" s="200"/>
      <c r="AC77" s="188" t="s">
        <v>1242</v>
      </c>
      <c r="AD77" s="202" t="e">
        <f>""""&amp;#REF!&amp;""":""example"&amp;#REF!&amp;""","</f>
        <v>#REF!</v>
      </c>
      <c r="AF77" s="203"/>
      <c r="AG77" s="202"/>
      <c r="AH77" s="202"/>
    </row>
    <row r="78" spans="1:34" s="201" customFormat="1" ht="18" customHeight="1">
      <c r="A78" s="198"/>
      <c r="B78" s="199"/>
      <c r="C78" s="409">
        <v>5</v>
      </c>
      <c r="D78" s="409"/>
      <c r="E78" s="207" t="s">
        <v>377</v>
      </c>
      <c r="F78" s="208"/>
      <c r="G78" s="208"/>
      <c r="H78" s="208"/>
      <c r="I78" s="208"/>
      <c r="J78" s="208"/>
      <c r="K78" s="208"/>
      <c r="L78" s="197" t="s">
        <v>1215</v>
      </c>
      <c r="M78" s="208"/>
      <c r="N78" s="208"/>
      <c r="O78" s="208"/>
      <c r="P78" s="208"/>
      <c r="Q78" s="208"/>
      <c r="R78" s="208"/>
      <c r="S78" s="208"/>
      <c r="T78" s="208"/>
      <c r="U78" s="208"/>
      <c r="V78" s="208"/>
      <c r="W78" s="208"/>
      <c r="X78" s="208"/>
      <c r="Y78" s="208"/>
      <c r="Z78" s="208"/>
      <c r="AA78" s="210"/>
      <c r="AB78" s="200"/>
      <c r="AC78" s="188" t="s">
        <v>1242</v>
      </c>
      <c r="AD78" s="202" t="e">
        <f>""""&amp;#REF!&amp;""":""example"&amp;#REF!&amp;""","</f>
        <v>#REF!</v>
      </c>
      <c r="AF78" s="203"/>
      <c r="AG78" s="202"/>
      <c r="AH78" s="202"/>
    </row>
    <row r="79" spans="1:34" s="201" customFormat="1" ht="18" customHeight="1">
      <c r="A79" s="198"/>
      <c r="B79" s="199"/>
      <c r="C79" s="409">
        <v>6</v>
      </c>
      <c r="D79" s="409"/>
      <c r="E79" s="207" t="s">
        <v>378</v>
      </c>
      <c r="F79" s="208"/>
      <c r="G79" s="208"/>
      <c r="H79" s="208"/>
      <c r="I79" s="208"/>
      <c r="J79" s="208"/>
      <c r="K79" s="208"/>
      <c r="L79" s="197" t="s">
        <v>1215</v>
      </c>
      <c r="M79" s="208"/>
      <c r="N79" s="208"/>
      <c r="O79" s="208"/>
      <c r="P79" s="208"/>
      <c r="Q79" s="208"/>
      <c r="R79" s="208"/>
      <c r="S79" s="208"/>
      <c r="T79" s="208"/>
      <c r="U79" s="208"/>
      <c r="V79" s="208"/>
      <c r="W79" s="208"/>
      <c r="X79" s="208"/>
      <c r="Y79" s="208"/>
      <c r="Z79" s="208"/>
      <c r="AA79" s="210"/>
      <c r="AB79" s="200"/>
      <c r="AC79" s="188" t="s">
        <v>1242</v>
      </c>
      <c r="AD79" s="202" t="e">
        <f>""""&amp;#REF!&amp;""":""example"&amp;#REF!&amp;""","</f>
        <v>#REF!</v>
      </c>
      <c r="AF79" s="203"/>
      <c r="AG79" s="202"/>
      <c r="AH79" s="202"/>
    </row>
    <row r="80" spans="1:34" s="201" customFormat="1" ht="18" customHeight="1">
      <c r="A80" s="198"/>
      <c r="B80" s="199"/>
      <c r="C80" s="409">
        <v>7</v>
      </c>
      <c r="D80" s="409"/>
      <c r="E80" s="207" t="s">
        <v>1142</v>
      </c>
      <c r="F80" s="208"/>
      <c r="G80" s="208"/>
      <c r="H80" s="208"/>
      <c r="I80" s="208"/>
      <c r="J80" s="208"/>
      <c r="K80" s="208"/>
      <c r="L80" s="197" t="s">
        <v>1215</v>
      </c>
      <c r="M80" s="208"/>
      <c r="N80" s="208"/>
      <c r="O80" s="208"/>
      <c r="P80" s="208"/>
      <c r="Q80" s="208"/>
      <c r="R80" s="208"/>
      <c r="S80" s="208"/>
      <c r="T80" s="208"/>
      <c r="U80" s="208"/>
      <c r="V80" s="208"/>
      <c r="W80" s="208"/>
      <c r="X80" s="208"/>
      <c r="Y80" s="208"/>
      <c r="Z80" s="208"/>
      <c r="AA80" s="210"/>
      <c r="AB80" s="200"/>
      <c r="AC80" s="188" t="s">
        <v>1242</v>
      </c>
      <c r="AD80" s="202" t="e">
        <f>""""&amp;#REF!&amp;""":""example"&amp;#REF!&amp;""","</f>
        <v>#REF!</v>
      </c>
      <c r="AF80" s="203"/>
      <c r="AG80" s="202"/>
      <c r="AH80" s="202"/>
    </row>
    <row r="81" spans="1:34" s="201" customFormat="1" ht="18" customHeight="1">
      <c r="A81" s="198"/>
      <c r="B81" s="199"/>
      <c r="C81" s="409">
        <v>8</v>
      </c>
      <c r="D81" s="409"/>
      <c r="E81" s="207" t="s">
        <v>1208</v>
      </c>
      <c r="F81" s="208"/>
      <c r="G81" s="208"/>
      <c r="H81" s="208"/>
      <c r="I81" s="208"/>
      <c r="J81" s="208"/>
      <c r="K81" s="208"/>
      <c r="L81" s="197" t="s">
        <v>1215</v>
      </c>
      <c r="M81" s="208"/>
      <c r="N81" s="208"/>
      <c r="O81" s="208"/>
      <c r="P81" s="208"/>
      <c r="Q81" s="208"/>
      <c r="R81" s="208"/>
      <c r="S81" s="208"/>
      <c r="T81" s="208"/>
      <c r="U81" s="208"/>
      <c r="V81" s="208"/>
      <c r="W81" s="208"/>
      <c r="X81" s="208"/>
      <c r="Y81" s="208"/>
      <c r="Z81" s="208"/>
      <c r="AA81" s="210"/>
      <c r="AB81" s="200"/>
      <c r="AC81" s="188" t="s">
        <v>1242</v>
      </c>
      <c r="AD81" s="202" t="e">
        <f>""""&amp;#REF!&amp;""":""example"&amp;#REF!&amp;""","</f>
        <v>#REF!</v>
      </c>
      <c r="AF81" s="203"/>
      <c r="AG81" s="202"/>
      <c r="AH81" s="202"/>
    </row>
    <row r="82" spans="1:34" s="201" customFormat="1" ht="18" customHeight="1">
      <c r="A82" s="198"/>
      <c r="B82" s="199"/>
      <c r="C82" s="409">
        <v>9</v>
      </c>
      <c r="D82" s="409"/>
      <c r="E82" s="207" t="s">
        <v>435</v>
      </c>
      <c r="F82" s="208"/>
      <c r="G82" s="208"/>
      <c r="H82" s="208"/>
      <c r="I82" s="208"/>
      <c r="J82" s="208"/>
      <c r="K82" s="208"/>
      <c r="L82" s="197" t="s">
        <v>1215</v>
      </c>
      <c r="M82" s="208"/>
      <c r="N82" s="208"/>
      <c r="O82" s="208"/>
      <c r="P82" s="208"/>
      <c r="Q82" s="208"/>
      <c r="R82" s="208"/>
      <c r="S82" s="208"/>
      <c r="T82" s="208"/>
      <c r="U82" s="208"/>
      <c r="V82" s="208"/>
      <c r="W82" s="208"/>
      <c r="X82" s="208"/>
      <c r="Y82" s="208"/>
      <c r="Z82" s="208"/>
      <c r="AA82" s="210"/>
      <c r="AB82" s="200"/>
      <c r="AC82" s="188" t="s">
        <v>1242</v>
      </c>
      <c r="AD82" s="202" t="e">
        <f>""""&amp;#REF!&amp;""":""example"&amp;#REF!&amp;""","</f>
        <v>#REF!</v>
      </c>
      <c r="AF82" s="203"/>
      <c r="AG82" s="202"/>
      <c r="AH82" s="202"/>
    </row>
    <row r="83" spans="1:34" s="201" customFormat="1" ht="18" customHeight="1">
      <c r="A83" s="198"/>
      <c r="B83" s="199"/>
      <c r="C83" s="409">
        <v>10</v>
      </c>
      <c r="D83" s="409"/>
      <c r="E83" s="207" t="s">
        <v>1209</v>
      </c>
      <c r="F83" s="208"/>
      <c r="G83" s="208"/>
      <c r="H83" s="208"/>
      <c r="I83" s="208"/>
      <c r="J83" s="208"/>
      <c r="K83" s="208"/>
      <c r="L83" s="197" t="s">
        <v>1215</v>
      </c>
      <c r="M83" s="208"/>
      <c r="N83" s="208"/>
      <c r="O83" s="208"/>
      <c r="P83" s="208"/>
      <c r="Q83" s="208"/>
      <c r="R83" s="208"/>
      <c r="S83" s="208"/>
      <c r="T83" s="208"/>
      <c r="U83" s="208"/>
      <c r="V83" s="208"/>
      <c r="W83" s="208"/>
      <c r="X83" s="208"/>
      <c r="Y83" s="208"/>
      <c r="Z83" s="208"/>
      <c r="AA83" s="210"/>
      <c r="AB83" s="200"/>
      <c r="AC83" s="188" t="s">
        <v>1242</v>
      </c>
      <c r="AD83" s="202" t="e">
        <f>""""&amp;#REF!&amp;""":""example"&amp;#REF!&amp;""","</f>
        <v>#REF!</v>
      </c>
      <c r="AF83" s="203"/>
      <c r="AG83" s="202"/>
      <c r="AH83" s="202"/>
    </row>
    <row r="84" spans="1:34" s="201" customFormat="1" ht="18" customHeight="1">
      <c r="A84" s="198"/>
      <c r="B84" s="199"/>
      <c r="C84" s="409">
        <v>11</v>
      </c>
      <c r="D84" s="409"/>
      <c r="E84" s="207" t="s">
        <v>1210</v>
      </c>
      <c r="F84" s="208"/>
      <c r="G84" s="208"/>
      <c r="H84" s="208"/>
      <c r="I84" s="208"/>
      <c r="J84" s="208"/>
      <c r="K84" s="208"/>
      <c r="L84" s="197" t="s">
        <v>1215</v>
      </c>
      <c r="M84" s="208"/>
      <c r="N84" s="208"/>
      <c r="O84" s="208"/>
      <c r="P84" s="208"/>
      <c r="Q84" s="208"/>
      <c r="R84" s="208"/>
      <c r="S84" s="208"/>
      <c r="T84" s="208"/>
      <c r="U84" s="208"/>
      <c r="V84" s="208"/>
      <c r="W84" s="208"/>
      <c r="X84" s="208"/>
      <c r="Y84" s="208"/>
      <c r="Z84" s="208"/>
      <c r="AA84" s="210"/>
      <c r="AB84" s="200"/>
      <c r="AC84" s="188" t="s">
        <v>1242</v>
      </c>
      <c r="AD84" s="202" t="e">
        <f>""""&amp;#REF!&amp;""":""example"&amp;#REF!&amp;""","</f>
        <v>#REF!</v>
      </c>
      <c r="AF84" s="203"/>
      <c r="AG84" s="202"/>
      <c r="AH84" s="202"/>
    </row>
    <row r="85" spans="1:34" s="201" customFormat="1" ht="18" customHeight="1">
      <c r="A85" s="198"/>
      <c r="B85" s="199"/>
      <c r="C85" s="409">
        <v>12</v>
      </c>
      <c r="D85" s="409"/>
      <c r="E85" s="207" t="s">
        <v>13</v>
      </c>
      <c r="F85" s="208"/>
      <c r="G85" s="208"/>
      <c r="H85" s="208"/>
      <c r="I85" s="208"/>
      <c r="J85" s="208"/>
      <c r="K85" s="208"/>
      <c r="L85" s="197" t="s">
        <v>1211</v>
      </c>
      <c r="M85" s="208"/>
      <c r="N85" s="208"/>
      <c r="O85" s="208"/>
      <c r="P85" s="208"/>
      <c r="Q85" s="208"/>
      <c r="R85" s="208"/>
      <c r="S85" s="208"/>
      <c r="T85" s="208"/>
      <c r="U85" s="208"/>
      <c r="V85" s="208"/>
      <c r="W85" s="208"/>
      <c r="X85" s="208"/>
      <c r="Y85" s="208"/>
      <c r="Z85" s="208"/>
      <c r="AA85" s="210"/>
      <c r="AB85" s="200"/>
      <c r="AC85" s="188" t="s">
        <v>1242</v>
      </c>
      <c r="AD85" s="202" t="e">
        <f>""""&amp;#REF!&amp;""":""example"&amp;#REF!&amp;""","</f>
        <v>#REF!</v>
      </c>
      <c r="AF85" s="203"/>
      <c r="AG85" s="202"/>
      <c r="AH85" s="202"/>
    </row>
    <row r="86" spans="1:34" s="202" customFormat="1" ht="18" customHeight="1">
      <c r="A86" s="198"/>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0"/>
      <c r="AC86" s="188" t="s">
        <v>1242</v>
      </c>
      <c r="AE86" s="201"/>
    </row>
    <row r="87" spans="1:34" s="202" customFormat="1" ht="18" customHeight="1">
      <c r="A87" s="198"/>
      <c r="B87" s="204"/>
      <c r="C87" s="204" t="s">
        <v>1223</v>
      </c>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0"/>
      <c r="AC87" s="188" t="s">
        <v>1242</v>
      </c>
      <c r="AE87" s="201"/>
    </row>
    <row r="88" spans="1:34" s="202" customFormat="1" ht="18" customHeight="1">
      <c r="A88" s="198"/>
      <c r="B88" s="204"/>
      <c r="C88" s="204"/>
      <c r="D88" s="204" t="s">
        <v>1224</v>
      </c>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0"/>
      <c r="AC88" s="188" t="s">
        <v>1242</v>
      </c>
      <c r="AE88" s="201"/>
    </row>
    <row r="89" spans="1:34" s="202" customFormat="1" ht="18" customHeight="1">
      <c r="A89" s="198"/>
      <c r="B89" s="204"/>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0"/>
      <c r="AC89" s="188" t="s">
        <v>1242</v>
      </c>
      <c r="AE89" s="201"/>
    </row>
    <row r="90" spans="1:34" s="202" customFormat="1" ht="18" customHeight="1">
      <c r="A90" s="198"/>
      <c r="B90" s="204"/>
      <c r="C90" s="204"/>
      <c r="D90" s="204" t="s">
        <v>1225</v>
      </c>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0"/>
      <c r="AC90" s="188" t="s">
        <v>1242</v>
      </c>
      <c r="AE90" s="201"/>
    </row>
    <row r="91" spans="1:34" s="202" customFormat="1" ht="18" customHeight="1">
      <c r="A91" s="198"/>
      <c r="B91" s="204"/>
      <c r="C91" s="204"/>
      <c r="D91" s="204"/>
      <c r="E91" s="199" t="s">
        <v>941</v>
      </c>
      <c r="F91" s="95"/>
      <c r="G91" s="204"/>
      <c r="H91" s="204"/>
      <c r="I91" s="204"/>
      <c r="J91" s="204"/>
      <c r="K91" s="204"/>
      <c r="L91" s="204"/>
      <c r="M91" s="204"/>
      <c r="N91" s="204"/>
      <c r="O91" s="204"/>
      <c r="P91" s="204"/>
      <c r="Q91" s="204"/>
      <c r="R91" s="204"/>
      <c r="S91" s="204"/>
      <c r="T91" s="204"/>
      <c r="U91" s="204"/>
      <c r="V91" s="204"/>
      <c r="W91" s="204"/>
      <c r="X91" s="204"/>
      <c r="Y91" s="204"/>
      <c r="Z91" s="204"/>
      <c r="AA91" s="204"/>
      <c r="AB91" s="200"/>
      <c r="AC91" s="188" t="s">
        <v>1242</v>
      </c>
      <c r="AE91" s="201"/>
    </row>
    <row r="92" spans="1:34" s="202" customFormat="1" ht="18" customHeight="1">
      <c r="A92" s="198"/>
      <c r="B92" s="204"/>
      <c r="C92" s="204"/>
      <c r="D92" s="204"/>
      <c r="E92" s="199" t="s">
        <v>1060</v>
      </c>
      <c r="F92" s="95"/>
      <c r="G92" s="204"/>
      <c r="H92" s="204"/>
      <c r="I92" s="204"/>
      <c r="J92" s="204"/>
      <c r="K92" s="204"/>
      <c r="L92" s="204"/>
      <c r="M92" s="204"/>
      <c r="N92" s="204"/>
      <c r="O92" s="204"/>
      <c r="P92" s="204"/>
      <c r="Q92" s="204"/>
      <c r="R92" s="204"/>
      <c r="S92" s="204"/>
      <c r="T92" s="204"/>
      <c r="U92" s="204"/>
      <c r="V92" s="204"/>
      <c r="W92" s="204"/>
      <c r="X92" s="204"/>
      <c r="Y92" s="204"/>
      <c r="Z92" s="204"/>
      <c r="AA92" s="204"/>
      <c r="AB92" s="200"/>
      <c r="AC92" s="188" t="s">
        <v>1242</v>
      </c>
      <c r="AE92" s="201"/>
    </row>
    <row r="93" spans="1:34" s="202" customFormat="1" ht="18" customHeight="1">
      <c r="A93" s="198"/>
      <c r="B93" s="204"/>
      <c r="C93" s="204"/>
      <c r="D93" s="204"/>
      <c r="E93" s="95"/>
      <c r="F93" s="95" t="s">
        <v>1227</v>
      </c>
      <c r="G93" s="204"/>
      <c r="H93" s="204"/>
      <c r="I93" s="204"/>
      <c r="J93" s="204"/>
      <c r="K93" s="204"/>
      <c r="L93" s="204"/>
      <c r="M93" s="204"/>
      <c r="N93" s="204"/>
      <c r="O93" s="204"/>
      <c r="P93" s="204"/>
      <c r="Q93" s="204"/>
      <c r="R93" s="204"/>
      <c r="S93" s="204"/>
      <c r="T93" s="204"/>
      <c r="U93" s="204"/>
      <c r="V93" s="204"/>
      <c r="W93" s="204"/>
      <c r="X93" s="204"/>
      <c r="Y93" s="204"/>
      <c r="Z93" s="204"/>
      <c r="AA93" s="204"/>
      <c r="AB93" s="200"/>
      <c r="AC93" s="188" t="s">
        <v>1242</v>
      </c>
      <c r="AE93" s="201"/>
    </row>
    <row r="94" spans="1:34" s="202" customFormat="1" ht="18" customHeight="1">
      <c r="A94" s="198"/>
      <c r="B94" s="204"/>
      <c r="C94" s="204"/>
      <c r="D94" s="204"/>
      <c r="E94" s="95"/>
      <c r="F94" s="95" t="s">
        <v>1228</v>
      </c>
      <c r="G94" s="204"/>
      <c r="H94" s="204"/>
      <c r="I94" s="204"/>
      <c r="J94" s="204"/>
      <c r="K94" s="204"/>
      <c r="L94" s="204"/>
      <c r="M94" s="204"/>
      <c r="N94" s="204"/>
      <c r="O94" s="204"/>
      <c r="P94" s="204"/>
      <c r="Q94" s="204"/>
      <c r="R94" s="204"/>
      <c r="S94" s="204"/>
      <c r="T94" s="204"/>
      <c r="U94" s="204"/>
      <c r="V94" s="204"/>
      <c r="W94" s="204"/>
      <c r="X94" s="204"/>
      <c r="Y94" s="204"/>
      <c r="Z94" s="204"/>
      <c r="AA94" s="204"/>
      <c r="AB94" s="200"/>
      <c r="AC94" s="188" t="s">
        <v>1242</v>
      </c>
      <c r="AE94" s="201"/>
    </row>
    <row r="95" spans="1:34" s="202" customFormat="1" ht="18" customHeight="1">
      <c r="A95" s="198"/>
      <c r="B95" s="204"/>
      <c r="C95" s="204"/>
      <c r="D95" s="204"/>
      <c r="E95" s="95" t="s">
        <v>1061</v>
      </c>
      <c r="F95" s="95"/>
      <c r="G95" s="204"/>
      <c r="H95" s="204"/>
      <c r="I95" s="204"/>
      <c r="J95" s="204"/>
      <c r="K95" s="204"/>
      <c r="L95" s="204"/>
      <c r="M95" s="204"/>
      <c r="N95" s="204"/>
      <c r="O95" s="204"/>
      <c r="P95" s="204"/>
      <c r="Q95" s="204"/>
      <c r="R95" s="204"/>
      <c r="S95" s="204"/>
      <c r="T95" s="204"/>
      <c r="U95" s="204"/>
      <c r="V95" s="204"/>
      <c r="W95" s="204"/>
      <c r="X95" s="204"/>
      <c r="Y95" s="204"/>
      <c r="Z95" s="204"/>
      <c r="AA95" s="204"/>
      <c r="AB95" s="200"/>
      <c r="AC95" s="188" t="s">
        <v>1242</v>
      </c>
      <c r="AE95" s="201"/>
    </row>
    <row r="96" spans="1:34" s="202" customFormat="1" ht="18" customHeight="1">
      <c r="A96" s="198"/>
      <c r="B96" s="204"/>
      <c r="C96" s="204"/>
      <c r="D96" s="204"/>
      <c r="E96" s="95"/>
      <c r="F96" s="95" t="s">
        <v>1226</v>
      </c>
      <c r="G96" s="204"/>
      <c r="H96" s="204"/>
      <c r="I96" s="204"/>
      <c r="J96" s="204"/>
      <c r="K96" s="204"/>
      <c r="L96" s="204"/>
      <c r="M96" s="204"/>
      <c r="N96" s="204"/>
      <c r="O96" s="204"/>
      <c r="P96" s="204"/>
      <c r="Q96" s="204"/>
      <c r="R96" s="204"/>
      <c r="S96" s="204"/>
      <c r="T96" s="204"/>
      <c r="U96" s="204"/>
      <c r="V96" s="204"/>
      <c r="W96" s="204"/>
      <c r="X96" s="204"/>
      <c r="Y96" s="204"/>
      <c r="Z96" s="204"/>
      <c r="AA96" s="204"/>
      <c r="AB96" s="200"/>
      <c r="AC96" s="188" t="s">
        <v>1242</v>
      </c>
      <c r="AE96" s="201"/>
    </row>
    <row r="97" spans="1:34" s="202" customFormat="1" ht="18" customHeight="1">
      <c r="A97" s="198"/>
      <c r="B97" s="204"/>
      <c r="C97" s="204"/>
      <c r="D97" s="204"/>
      <c r="E97" s="95" t="s">
        <v>1066</v>
      </c>
      <c r="F97" s="95"/>
      <c r="G97" s="204"/>
      <c r="H97" s="204"/>
      <c r="I97" s="204"/>
      <c r="J97" s="204"/>
      <c r="K97" s="204"/>
      <c r="L97" s="204"/>
      <c r="M97" s="204"/>
      <c r="N97" s="204"/>
      <c r="O97" s="204"/>
      <c r="P97" s="204"/>
      <c r="Q97" s="204"/>
      <c r="R97" s="204"/>
      <c r="S97" s="204"/>
      <c r="T97" s="204"/>
      <c r="U97" s="204"/>
      <c r="V97" s="204"/>
      <c r="W97" s="204"/>
      <c r="X97" s="204"/>
      <c r="Y97" s="204"/>
      <c r="Z97" s="204"/>
      <c r="AA97" s="204"/>
      <c r="AB97" s="200"/>
      <c r="AC97" s="188" t="s">
        <v>1242</v>
      </c>
      <c r="AE97" s="201"/>
    </row>
    <row r="98" spans="1:34" s="202" customFormat="1" ht="18" customHeight="1">
      <c r="A98" s="198"/>
      <c r="B98" s="204"/>
      <c r="C98" s="204"/>
      <c r="D98" s="204"/>
      <c r="E98" s="95"/>
      <c r="F98" s="199" t="s">
        <v>1213</v>
      </c>
      <c r="G98" s="204"/>
      <c r="H98" s="204"/>
      <c r="I98" s="204"/>
      <c r="J98" s="204"/>
      <c r="K98" s="204"/>
      <c r="L98" s="204"/>
      <c r="M98" s="204"/>
      <c r="N98" s="204"/>
      <c r="O98" s="204"/>
      <c r="P98" s="204"/>
      <c r="Q98" s="204"/>
      <c r="R98" s="204"/>
      <c r="S98" s="204"/>
      <c r="T98" s="204"/>
      <c r="U98" s="204"/>
      <c r="V98" s="204"/>
      <c r="W98" s="204"/>
      <c r="X98" s="204"/>
      <c r="Y98" s="204"/>
      <c r="Z98" s="204"/>
      <c r="AA98" s="204"/>
      <c r="AB98" s="200"/>
      <c r="AC98" s="188" t="s">
        <v>1242</v>
      </c>
      <c r="AE98" s="201"/>
    </row>
    <row r="99" spans="1:34" s="202" customFormat="1" ht="18" customHeight="1">
      <c r="A99" s="198"/>
      <c r="B99" s="204"/>
      <c r="C99" s="204"/>
      <c r="D99" s="204"/>
      <c r="E99" s="95"/>
      <c r="F99" s="199" t="s">
        <v>1229</v>
      </c>
      <c r="G99" s="204"/>
      <c r="H99" s="204"/>
      <c r="I99" s="204"/>
      <c r="J99" s="204"/>
      <c r="K99" s="204"/>
      <c r="L99" s="204"/>
      <c r="M99" s="204"/>
      <c r="N99" s="204"/>
      <c r="O99" s="204"/>
      <c r="P99" s="204"/>
      <c r="Q99" s="204"/>
      <c r="R99" s="204"/>
      <c r="S99" s="204"/>
      <c r="T99" s="204"/>
      <c r="U99" s="204"/>
      <c r="V99" s="204"/>
      <c r="W99" s="204"/>
      <c r="X99" s="204"/>
      <c r="Y99" s="204"/>
      <c r="Z99" s="204"/>
      <c r="AA99" s="204"/>
      <c r="AB99" s="200"/>
      <c r="AC99" s="188" t="s">
        <v>1242</v>
      </c>
      <c r="AE99" s="201"/>
    </row>
    <row r="100" spans="1:34" s="202" customFormat="1" ht="18" customHeight="1">
      <c r="A100" s="198"/>
      <c r="B100" s="204"/>
      <c r="C100" s="204"/>
      <c r="D100" s="204"/>
      <c r="E100" s="95"/>
      <c r="F100" s="199" t="s">
        <v>1233</v>
      </c>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0"/>
      <c r="AC100" s="188" t="s">
        <v>1242</v>
      </c>
      <c r="AE100" s="201"/>
    </row>
    <row r="101" spans="1:34" s="202" customFormat="1" ht="18" customHeight="1">
      <c r="A101" s="198"/>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0"/>
      <c r="AC101" s="188" t="s">
        <v>1242</v>
      </c>
      <c r="AE101" s="201"/>
    </row>
    <row r="102" spans="1:34" s="202" customFormat="1" ht="18" customHeight="1">
      <c r="A102" s="198"/>
      <c r="B102" s="204"/>
      <c r="C102" s="204"/>
      <c r="D102" s="204" t="s">
        <v>1230</v>
      </c>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0"/>
      <c r="AC102" s="188" t="s">
        <v>1242</v>
      </c>
      <c r="AE102" s="201"/>
    </row>
    <row r="103" spans="1:34" s="202" customFormat="1" ht="18" customHeight="1">
      <c r="A103" s="198"/>
      <c r="B103" s="204"/>
      <c r="C103" s="204"/>
      <c r="D103" s="204"/>
      <c r="E103" s="204" t="s">
        <v>1232</v>
      </c>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0"/>
      <c r="AC103" s="188" t="s">
        <v>1242</v>
      </c>
      <c r="AE103" s="201"/>
    </row>
    <row r="104" spans="1:34" s="202" customFormat="1" ht="18" customHeight="1">
      <c r="A104" s="198"/>
      <c r="B104" s="204"/>
      <c r="C104" s="204"/>
      <c r="D104" s="204"/>
      <c r="E104" s="204" t="s">
        <v>1279</v>
      </c>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0"/>
      <c r="AC104" s="188" t="s">
        <v>1259</v>
      </c>
      <c r="AE104" s="201"/>
    </row>
    <row r="105" spans="1:34" s="202" customFormat="1" ht="18" customHeight="1">
      <c r="A105" s="198"/>
      <c r="B105" s="204"/>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0"/>
      <c r="AC105" s="188" t="s">
        <v>1242</v>
      </c>
      <c r="AE105" s="201"/>
    </row>
    <row r="106" spans="1:34" s="202" customFormat="1" ht="18" customHeight="1">
      <c r="A106" s="198"/>
      <c r="B106" s="204"/>
      <c r="C106" s="204" t="s">
        <v>1234</v>
      </c>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0"/>
      <c r="AC106" s="188" t="s">
        <v>1242</v>
      </c>
      <c r="AE106" s="201"/>
    </row>
    <row r="107" spans="1:34" s="202" customFormat="1" ht="18" customHeight="1">
      <c r="A107" s="198"/>
      <c r="B107" s="199"/>
      <c r="C107" s="410" t="s">
        <v>417</v>
      </c>
      <c r="D107" s="410"/>
      <c r="E107" s="410"/>
      <c r="F107" s="410"/>
      <c r="G107" s="411" t="s">
        <v>1179</v>
      </c>
      <c r="H107" s="411"/>
      <c r="I107" s="411"/>
      <c r="J107" s="411"/>
      <c r="K107" s="411"/>
      <c r="L107" s="411"/>
      <c r="M107" s="411"/>
      <c r="N107" s="411"/>
      <c r="O107" s="411"/>
      <c r="P107" s="411"/>
      <c r="Q107" s="411"/>
      <c r="R107" s="411"/>
      <c r="S107" s="411"/>
      <c r="T107" s="411"/>
      <c r="U107" s="411"/>
      <c r="V107" s="411"/>
      <c r="W107" s="411"/>
      <c r="X107" s="411"/>
      <c r="Y107" s="411"/>
      <c r="Z107" s="411"/>
      <c r="AA107" s="411"/>
      <c r="AB107" s="200"/>
      <c r="AC107" s="188" t="s">
        <v>1242</v>
      </c>
      <c r="AD107" s="206"/>
      <c r="AE107" s="201"/>
    </row>
    <row r="108" spans="1:34" s="202" customFormat="1" ht="18" customHeight="1">
      <c r="A108" s="198"/>
      <c r="B108" s="199"/>
      <c r="C108" s="410" t="s">
        <v>1235</v>
      </c>
      <c r="D108" s="410"/>
      <c r="E108" s="410"/>
      <c r="F108" s="410"/>
      <c r="G108" s="411" t="s">
        <v>1236</v>
      </c>
      <c r="H108" s="411"/>
      <c r="I108" s="411"/>
      <c r="J108" s="411"/>
      <c r="K108" s="411"/>
      <c r="L108" s="411"/>
      <c r="M108" s="411"/>
      <c r="N108" s="411"/>
      <c r="O108" s="411"/>
      <c r="P108" s="411"/>
      <c r="Q108" s="411"/>
      <c r="R108" s="411"/>
      <c r="S108" s="411"/>
      <c r="T108" s="411"/>
      <c r="U108" s="411"/>
      <c r="V108" s="411"/>
      <c r="W108" s="411"/>
      <c r="X108" s="411"/>
      <c r="Y108" s="411"/>
      <c r="Z108" s="411"/>
      <c r="AA108" s="411"/>
      <c r="AB108" s="200"/>
      <c r="AC108" s="188" t="s">
        <v>1242</v>
      </c>
      <c r="AD108" s="206"/>
      <c r="AE108" s="201"/>
    </row>
    <row r="109" spans="1:34" s="202" customFormat="1" ht="18" customHeight="1">
      <c r="A109" s="198"/>
      <c r="B109" s="199"/>
      <c r="C109" s="410" t="s">
        <v>7</v>
      </c>
      <c r="D109" s="410"/>
      <c r="E109" s="412" t="s">
        <v>9</v>
      </c>
      <c r="F109" s="413"/>
      <c r="G109" s="413"/>
      <c r="H109" s="413"/>
      <c r="I109" s="413"/>
      <c r="J109" s="413"/>
      <c r="K109" s="414"/>
      <c r="L109" s="410" t="s">
        <v>407</v>
      </c>
      <c r="M109" s="410"/>
      <c r="N109" s="410"/>
      <c r="O109" s="410"/>
      <c r="P109" s="410"/>
      <c r="Q109" s="410"/>
      <c r="R109" s="410"/>
      <c r="S109" s="410"/>
      <c r="T109" s="410"/>
      <c r="U109" s="410"/>
      <c r="V109" s="410"/>
      <c r="W109" s="410"/>
      <c r="X109" s="410"/>
      <c r="Y109" s="410"/>
      <c r="Z109" s="410"/>
      <c r="AA109" s="410"/>
      <c r="AB109" s="200"/>
      <c r="AC109" s="188" t="s">
        <v>1242</v>
      </c>
      <c r="AE109" s="201"/>
      <c r="AF109" s="203"/>
    </row>
    <row r="110" spans="1:34" s="201" customFormat="1" ht="18" customHeight="1">
      <c r="A110" s="198"/>
      <c r="B110" s="199"/>
      <c r="C110" s="409">
        <v>16</v>
      </c>
      <c r="D110" s="409"/>
      <c r="E110" s="207" t="s">
        <v>1222</v>
      </c>
      <c r="F110" s="208"/>
      <c r="G110" s="208"/>
      <c r="H110" s="208"/>
      <c r="I110" s="208"/>
      <c r="J110" s="208"/>
      <c r="K110" s="208"/>
      <c r="L110" s="209" t="s">
        <v>1238</v>
      </c>
      <c r="M110" s="212"/>
      <c r="N110" s="208"/>
      <c r="O110" s="208"/>
      <c r="P110" s="208"/>
      <c r="Q110" s="208"/>
      <c r="R110" s="208"/>
      <c r="S110" s="208"/>
      <c r="T110" s="208"/>
      <c r="U110" s="208"/>
      <c r="V110" s="208"/>
      <c r="W110" s="208"/>
      <c r="X110" s="208"/>
      <c r="Y110" s="208"/>
      <c r="Z110" s="208"/>
      <c r="AA110" s="210"/>
      <c r="AB110" s="200"/>
      <c r="AC110" s="188" t="s">
        <v>1242</v>
      </c>
      <c r="AD110" s="202" t="e">
        <f>""""&amp;#REF!&amp;""":""example"&amp;#REF!&amp;""","</f>
        <v>#REF!</v>
      </c>
      <c r="AF110" s="203"/>
      <c r="AG110" s="202"/>
      <c r="AH110" s="202"/>
    </row>
    <row r="111" spans="1:34" s="201" customFormat="1" ht="18" customHeight="1">
      <c r="A111" s="198"/>
      <c r="B111" s="199"/>
      <c r="C111" s="409">
        <v>18</v>
      </c>
      <c r="D111" s="409"/>
      <c r="E111" s="207" t="s">
        <v>1227</v>
      </c>
      <c r="F111" s="208"/>
      <c r="G111" s="208"/>
      <c r="H111" s="208"/>
      <c r="I111" s="208"/>
      <c r="J111" s="208"/>
      <c r="K111" s="208"/>
      <c r="L111" s="209" t="s">
        <v>1237</v>
      </c>
      <c r="M111" s="212"/>
      <c r="N111" s="208"/>
      <c r="O111" s="208"/>
      <c r="P111" s="208"/>
      <c r="Q111" s="208"/>
      <c r="R111" s="208"/>
      <c r="S111" s="208"/>
      <c r="T111" s="208"/>
      <c r="U111" s="208"/>
      <c r="V111" s="208"/>
      <c r="W111" s="208"/>
      <c r="X111" s="208"/>
      <c r="Y111" s="208"/>
      <c r="Z111" s="208"/>
      <c r="AA111" s="210"/>
      <c r="AB111" s="200"/>
      <c r="AC111" s="188" t="s">
        <v>1242</v>
      </c>
      <c r="AD111" s="202" t="e">
        <f>""""&amp;#REF!&amp;""":""example"&amp;#REF!&amp;""","</f>
        <v>#REF!</v>
      </c>
      <c r="AF111" s="203"/>
      <c r="AG111" s="202"/>
      <c r="AH111" s="202"/>
    </row>
    <row r="112" spans="1:34" s="201" customFormat="1" ht="18" customHeight="1">
      <c r="A112" s="198"/>
      <c r="B112" s="199"/>
      <c r="C112" s="409">
        <v>19</v>
      </c>
      <c r="D112" s="409"/>
      <c r="E112" s="207" t="s">
        <v>1231</v>
      </c>
      <c r="F112" s="208"/>
      <c r="G112" s="208"/>
      <c r="H112" s="208"/>
      <c r="I112" s="208"/>
      <c r="J112" s="208"/>
      <c r="K112" s="208"/>
      <c r="L112" s="209" t="s">
        <v>1239</v>
      </c>
      <c r="M112" s="212"/>
      <c r="N112" s="208"/>
      <c r="O112" s="208"/>
      <c r="P112" s="208"/>
      <c r="Q112" s="208"/>
      <c r="R112" s="208"/>
      <c r="S112" s="208"/>
      <c r="T112" s="208"/>
      <c r="U112" s="208"/>
      <c r="V112" s="208"/>
      <c r="W112" s="208"/>
      <c r="X112" s="208"/>
      <c r="Y112" s="208"/>
      <c r="Z112" s="208"/>
      <c r="AA112" s="210"/>
      <c r="AB112" s="200"/>
      <c r="AC112" s="188" t="s">
        <v>1242</v>
      </c>
      <c r="AD112" s="202" t="e">
        <f>""""&amp;#REF!&amp;""":""example"&amp;#REF!&amp;"""},"</f>
        <v>#REF!</v>
      </c>
      <c r="AF112" s="203"/>
      <c r="AG112" s="202"/>
      <c r="AH112" s="202"/>
    </row>
    <row r="113" spans="1:34" s="202" customFormat="1" ht="18" customHeight="1">
      <c r="A113" s="198"/>
      <c r="B113" s="204"/>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0"/>
      <c r="AC113" s="201"/>
      <c r="AE113" s="201"/>
    </row>
    <row r="114" spans="1:34" s="36" customFormat="1" ht="18" customHeight="1">
      <c r="A114" s="102"/>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4"/>
      <c r="AD114" s="27"/>
      <c r="AF114" s="37"/>
      <c r="AG114" s="27"/>
      <c r="AH114" s="27"/>
    </row>
  </sheetData>
  <mergeCells count="76">
    <mergeCell ref="A1:G2"/>
    <mergeCell ref="H1:AB2"/>
    <mergeCell ref="A3:G4"/>
    <mergeCell ref="H3:AB4"/>
    <mergeCell ref="A5:C5"/>
    <mergeCell ref="D5:G5"/>
    <mergeCell ref="H5:J5"/>
    <mergeCell ref="K5:N5"/>
    <mergeCell ref="O5:Q5"/>
    <mergeCell ref="R5:U5"/>
    <mergeCell ref="C71:F71"/>
    <mergeCell ref="G71:AA71"/>
    <mergeCell ref="L10:M10"/>
    <mergeCell ref="L11:M11"/>
    <mergeCell ref="V5:X5"/>
    <mergeCell ref="Y5:AB5"/>
    <mergeCell ref="C8:K8"/>
    <mergeCell ref="L8:M8"/>
    <mergeCell ref="N8:AA8"/>
    <mergeCell ref="L9:M9"/>
    <mergeCell ref="C42:F42"/>
    <mergeCell ref="G42:AA42"/>
    <mergeCell ref="C43:D43"/>
    <mergeCell ref="E43:K43"/>
    <mergeCell ref="L43:AA43"/>
    <mergeCell ref="C55:D55"/>
    <mergeCell ref="C78:D78"/>
    <mergeCell ref="C79:D79"/>
    <mergeCell ref="C72:F72"/>
    <mergeCell ref="G72:AA72"/>
    <mergeCell ref="C74:D74"/>
    <mergeCell ref="C73:D73"/>
    <mergeCell ref="E73:K73"/>
    <mergeCell ref="L73:AA73"/>
    <mergeCell ref="C76:D76"/>
    <mergeCell ref="C77:D77"/>
    <mergeCell ref="C75:D75"/>
    <mergeCell ref="C44:D44"/>
    <mergeCell ref="C45:D45"/>
    <mergeCell ref="C46:D46"/>
    <mergeCell ref="C47:D47"/>
    <mergeCell ref="C48:D48"/>
    <mergeCell ref="C49:D49"/>
    <mergeCell ref="C50:D50"/>
    <mergeCell ref="C51:D51"/>
    <mergeCell ref="C52:D52"/>
    <mergeCell ref="C53:D53"/>
    <mergeCell ref="C54:D54"/>
    <mergeCell ref="C67:D67"/>
    <mergeCell ref="C56:D56"/>
    <mergeCell ref="C57:D57"/>
    <mergeCell ref="C58:D58"/>
    <mergeCell ref="C59:D59"/>
    <mergeCell ref="C60:D60"/>
    <mergeCell ref="C61:D61"/>
    <mergeCell ref="C62:D62"/>
    <mergeCell ref="C63:D63"/>
    <mergeCell ref="C64:D64"/>
    <mergeCell ref="C65:D65"/>
    <mergeCell ref="C66:D66"/>
    <mergeCell ref="C112:D112"/>
    <mergeCell ref="C108:F108"/>
    <mergeCell ref="G108:AA108"/>
    <mergeCell ref="C80:D80"/>
    <mergeCell ref="C81:D81"/>
    <mergeCell ref="C82:D82"/>
    <mergeCell ref="C83:D83"/>
    <mergeCell ref="C84:D84"/>
    <mergeCell ref="C85:D85"/>
    <mergeCell ref="C109:D109"/>
    <mergeCell ref="C110:D110"/>
    <mergeCell ref="C107:F107"/>
    <mergeCell ref="G107:AA107"/>
    <mergeCell ref="E109:K109"/>
    <mergeCell ref="L109:AA109"/>
    <mergeCell ref="C111:D111"/>
  </mergeCells>
  <phoneticPr fontId="3"/>
  <pageMargins left="0.39370078740157499" right="0.39370078740157499" top="0.39370078740157499" bottom="0.39370078740157499" header="0.31496062992126" footer="0.31496062992126"/>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4476E-9882-4343-A8E6-AB4D4A2BA92D}">
  <sheetPr>
    <tabColor rgb="FFFF0000"/>
  </sheetPr>
  <dimension ref="A1:AF47"/>
  <sheetViews>
    <sheetView topLeftCell="A25" zoomScaleNormal="100" workbookViewId="0">
      <selection activeCell="H3" sqref="H3:AB4"/>
    </sheetView>
  </sheetViews>
  <sheetFormatPr defaultColWidth="3.25" defaultRowHeight="16.5"/>
  <cols>
    <col min="1" max="27" width="3.25" style="27"/>
    <col min="28" max="28" width="3.375" style="27" customWidth="1"/>
    <col min="29" max="29" width="2.375" style="27" customWidth="1"/>
    <col min="30" max="30" width="2" style="27" customWidth="1"/>
    <col min="31" max="16384" width="3.25" style="27"/>
  </cols>
  <sheetData>
    <row r="1" spans="1:32" ht="18" customHeight="1">
      <c r="A1" s="251" t="s">
        <v>0</v>
      </c>
      <c r="B1" s="251"/>
      <c r="C1" s="251"/>
      <c r="D1" s="251"/>
      <c r="E1" s="251"/>
      <c r="F1" s="251"/>
      <c r="G1" s="251"/>
      <c r="H1" s="251" t="s">
        <v>1304</v>
      </c>
      <c r="I1" s="251"/>
      <c r="J1" s="251"/>
      <c r="K1" s="251"/>
      <c r="L1" s="251"/>
      <c r="M1" s="251"/>
      <c r="N1" s="251"/>
      <c r="O1" s="251"/>
      <c r="P1" s="251"/>
      <c r="Q1" s="251"/>
      <c r="R1" s="251"/>
      <c r="S1" s="251"/>
      <c r="T1" s="251"/>
      <c r="U1" s="251"/>
      <c r="V1" s="251"/>
      <c r="W1" s="251"/>
      <c r="X1" s="251"/>
      <c r="Y1" s="251"/>
      <c r="Z1" s="251"/>
      <c r="AA1" s="251"/>
      <c r="AB1" s="251"/>
      <c r="AC1" s="36"/>
      <c r="AE1" s="36"/>
      <c r="AF1" s="37"/>
    </row>
    <row r="2" spans="1:32" ht="18" customHeight="1">
      <c r="A2" s="251"/>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36"/>
      <c r="AE2" s="36"/>
      <c r="AF2" s="37"/>
    </row>
    <row r="3" spans="1:32" ht="18" customHeight="1">
      <c r="A3" s="252" t="s">
        <v>1</v>
      </c>
      <c r="B3" s="252"/>
      <c r="C3" s="252"/>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36"/>
      <c r="AE3" s="36"/>
      <c r="AF3" s="37"/>
    </row>
    <row r="4" spans="1:32" ht="18" customHeight="1">
      <c r="A4" s="252"/>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36"/>
      <c r="AE4" s="36"/>
      <c r="AF4" s="37"/>
    </row>
    <row r="5" spans="1:32" ht="18" customHeight="1">
      <c r="A5" s="358" t="s">
        <v>2</v>
      </c>
      <c r="B5" s="358"/>
      <c r="C5" s="358"/>
      <c r="D5" s="358" t="s">
        <v>933</v>
      </c>
      <c r="E5" s="358"/>
      <c r="F5" s="358"/>
      <c r="G5" s="358"/>
      <c r="H5" s="358" t="s">
        <v>3</v>
      </c>
      <c r="I5" s="358"/>
      <c r="J5" s="358"/>
      <c r="K5" s="359">
        <v>45972</v>
      </c>
      <c r="L5" s="358"/>
      <c r="M5" s="358"/>
      <c r="N5" s="358"/>
      <c r="O5" s="358" t="s">
        <v>4</v>
      </c>
      <c r="P5" s="358"/>
      <c r="Q5" s="358"/>
      <c r="R5" s="358"/>
      <c r="S5" s="358"/>
      <c r="T5" s="358"/>
      <c r="U5" s="358"/>
      <c r="V5" s="358" t="s">
        <v>5</v>
      </c>
      <c r="W5" s="358"/>
      <c r="X5" s="358"/>
      <c r="Y5" s="360"/>
      <c r="Z5" s="360"/>
      <c r="AA5" s="358"/>
      <c r="AB5" s="358"/>
      <c r="AC5" s="188" t="s">
        <v>1242</v>
      </c>
      <c r="AE5" s="36"/>
      <c r="AF5" s="37"/>
    </row>
    <row r="6" spans="1:32" ht="18" customHeight="1">
      <c r="A6" s="98"/>
      <c r="B6" s="95"/>
      <c r="C6" s="95"/>
      <c r="D6" s="95"/>
      <c r="E6" s="95"/>
      <c r="F6" s="95"/>
      <c r="G6" s="95"/>
      <c r="H6" s="95"/>
      <c r="I6" s="95"/>
      <c r="J6" s="95"/>
      <c r="K6" s="95"/>
      <c r="L6" s="95"/>
      <c r="M6" s="95"/>
      <c r="N6" s="95"/>
      <c r="O6" s="95"/>
      <c r="P6" s="95"/>
      <c r="Q6" s="95"/>
      <c r="R6" s="95"/>
      <c r="S6" s="95"/>
      <c r="T6" s="95"/>
      <c r="U6" s="95"/>
      <c r="V6" s="95"/>
      <c r="W6" s="95"/>
      <c r="X6" s="95"/>
      <c r="Y6" s="95"/>
      <c r="Z6" s="95"/>
      <c r="AA6" s="95"/>
      <c r="AB6" s="99"/>
      <c r="AC6" s="188" t="s">
        <v>1242</v>
      </c>
      <c r="AE6" s="36"/>
      <c r="AF6" s="37"/>
    </row>
    <row r="7" spans="1:32" ht="18" customHeight="1">
      <c r="A7" s="98"/>
      <c r="B7" s="95" t="s">
        <v>942</v>
      </c>
      <c r="C7" s="95"/>
      <c r="D7" s="95"/>
      <c r="E7" s="95"/>
      <c r="F7" s="95"/>
      <c r="G7" s="95"/>
      <c r="H7" s="95"/>
      <c r="I7" s="95"/>
      <c r="J7" s="95"/>
      <c r="K7" s="95"/>
      <c r="L7" s="95"/>
      <c r="M7" s="95"/>
      <c r="N7" s="95"/>
      <c r="O7" s="95"/>
      <c r="P7" s="95"/>
      <c r="Q7" s="95"/>
      <c r="R7" s="95"/>
      <c r="S7" s="95"/>
      <c r="T7" s="95"/>
      <c r="U7" s="95"/>
      <c r="V7" s="95"/>
      <c r="W7" s="95"/>
      <c r="X7" s="95"/>
      <c r="Y7" s="95"/>
      <c r="Z7" s="95"/>
      <c r="AA7" s="95"/>
      <c r="AB7" s="99"/>
      <c r="AC7" s="188" t="s">
        <v>1242</v>
      </c>
      <c r="AE7" s="36"/>
      <c r="AF7" s="37"/>
    </row>
    <row r="8" spans="1:32" ht="18" customHeight="1">
      <c r="A8" s="26"/>
      <c r="B8" s="69" t="s">
        <v>7</v>
      </c>
      <c r="C8" s="304" t="s">
        <v>8</v>
      </c>
      <c r="D8" s="304"/>
      <c r="E8" s="304"/>
      <c r="F8" s="304"/>
      <c r="G8" s="304"/>
      <c r="H8" s="304"/>
      <c r="I8" s="304"/>
      <c r="J8" s="304"/>
      <c r="K8" s="304"/>
      <c r="L8" s="304" t="s">
        <v>257</v>
      </c>
      <c r="M8" s="304"/>
      <c r="N8" s="387" t="s">
        <v>13</v>
      </c>
      <c r="O8" s="388"/>
      <c r="P8" s="388"/>
      <c r="Q8" s="388"/>
      <c r="R8" s="388"/>
      <c r="S8" s="388"/>
      <c r="T8" s="388"/>
      <c r="U8" s="388"/>
      <c r="V8" s="388"/>
      <c r="W8" s="388"/>
      <c r="X8" s="388"/>
      <c r="Y8" s="388"/>
      <c r="Z8" s="388"/>
      <c r="AA8" s="389"/>
      <c r="AB8" s="28"/>
      <c r="AC8" s="188" t="s">
        <v>1242</v>
      </c>
      <c r="AE8" s="36"/>
      <c r="AF8" s="37"/>
    </row>
    <row r="9" spans="1:32" ht="18" customHeight="1">
      <c r="A9" s="98"/>
      <c r="B9" s="94">
        <v>1</v>
      </c>
      <c r="C9" s="100" t="s">
        <v>166</v>
      </c>
      <c r="D9" s="29"/>
      <c r="E9" s="29"/>
      <c r="F9" s="29"/>
      <c r="G9" s="29"/>
      <c r="H9" s="29"/>
      <c r="I9" s="29"/>
      <c r="J9" s="29"/>
      <c r="K9" s="30"/>
      <c r="L9" s="278" t="s">
        <v>44</v>
      </c>
      <c r="M9" s="278"/>
      <c r="N9" s="100" t="s">
        <v>273</v>
      </c>
      <c r="O9" s="29"/>
      <c r="P9" s="29"/>
      <c r="Q9" s="29"/>
      <c r="R9" s="29"/>
      <c r="S9" s="29"/>
      <c r="T9" s="29"/>
      <c r="U9" s="29"/>
      <c r="V9" s="29"/>
      <c r="W9" s="29"/>
      <c r="X9" s="29"/>
      <c r="Y9" s="29"/>
      <c r="Z9" s="29"/>
      <c r="AA9" s="30"/>
      <c r="AB9" s="99"/>
      <c r="AC9" s="188" t="s">
        <v>1242</v>
      </c>
      <c r="AE9" s="36"/>
      <c r="AF9" s="37"/>
    </row>
    <row r="10" spans="1:32" ht="18" customHeight="1">
      <c r="A10" s="98"/>
      <c r="B10" s="94">
        <f>COUNTA($B$8:B9)</f>
        <v>2</v>
      </c>
      <c r="C10" s="100" t="s">
        <v>1282</v>
      </c>
      <c r="D10" s="29"/>
      <c r="E10" s="29"/>
      <c r="F10" s="29"/>
      <c r="G10" s="29"/>
      <c r="H10" s="29"/>
      <c r="I10" s="29"/>
      <c r="J10" s="29"/>
      <c r="K10" s="30"/>
      <c r="L10" s="278" t="s">
        <v>44</v>
      </c>
      <c r="M10" s="278"/>
      <c r="N10" s="100" t="s">
        <v>1283</v>
      </c>
      <c r="O10" s="29"/>
      <c r="P10" s="29"/>
      <c r="Q10" s="29"/>
      <c r="R10" s="29"/>
      <c r="S10" s="29"/>
      <c r="T10" s="29"/>
      <c r="U10" s="29"/>
      <c r="V10" s="29"/>
      <c r="W10" s="29"/>
      <c r="X10" s="29"/>
      <c r="Y10" s="29"/>
      <c r="Z10" s="29"/>
      <c r="AA10" s="30"/>
      <c r="AB10" s="99"/>
      <c r="AC10" s="188" t="s">
        <v>1242</v>
      </c>
      <c r="AE10" s="36"/>
      <c r="AF10" s="37"/>
    </row>
    <row r="11" spans="1:32">
      <c r="A11" s="102"/>
      <c r="B11" s="103"/>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Z11" s="103"/>
      <c r="AA11" s="103"/>
      <c r="AB11" s="104"/>
      <c r="AC11" s="188" t="s">
        <v>1242</v>
      </c>
    </row>
    <row r="12" spans="1:32" ht="18" customHeight="1">
      <c r="A12" s="106"/>
      <c r="B12" s="95" t="s">
        <v>14</v>
      </c>
      <c r="C12" s="95"/>
      <c r="D12" s="95"/>
      <c r="E12" s="95"/>
      <c r="F12" s="95"/>
      <c r="G12" s="95"/>
      <c r="H12" s="95"/>
      <c r="I12" s="95"/>
      <c r="J12" s="95"/>
      <c r="K12" s="95"/>
      <c r="L12" s="95"/>
      <c r="M12" s="95"/>
      <c r="N12" s="95"/>
      <c r="O12" s="95"/>
      <c r="P12" s="95"/>
      <c r="Q12" s="95"/>
      <c r="R12" s="95"/>
      <c r="S12" s="95"/>
      <c r="T12" s="95"/>
      <c r="U12" s="95"/>
      <c r="V12" s="95"/>
      <c r="W12" s="95"/>
      <c r="X12" s="95"/>
      <c r="Y12" s="95"/>
      <c r="Z12" s="95"/>
      <c r="AA12" s="95"/>
      <c r="AB12" s="99"/>
      <c r="AC12" s="188" t="s">
        <v>1259</v>
      </c>
      <c r="AE12" s="36"/>
      <c r="AF12" s="37"/>
    </row>
    <row r="13" spans="1:32" ht="18" customHeight="1">
      <c r="A13" s="98"/>
      <c r="B13" s="95"/>
      <c r="C13" s="199" t="s">
        <v>1212</v>
      </c>
      <c r="D13" s="95" t="s">
        <v>1276</v>
      </c>
      <c r="E13" s="95"/>
      <c r="F13" s="95"/>
      <c r="G13" s="95"/>
      <c r="H13" s="95"/>
      <c r="I13" s="95"/>
      <c r="J13" s="95"/>
      <c r="K13" s="95"/>
      <c r="L13" s="95"/>
      <c r="M13" s="95"/>
      <c r="N13" s="95"/>
      <c r="O13" s="95"/>
      <c r="P13" s="95"/>
      <c r="Q13" s="95"/>
      <c r="R13" s="95"/>
      <c r="S13" s="95"/>
      <c r="T13" s="95"/>
      <c r="U13" s="95"/>
      <c r="V13" s="95"/>
      <c r="W13" s="95"/>
      <c r="X13" s="95"/>
      <c r="Y13" s="95"/>
      <c r="Z13" s="95"/>
      <c r="AA13" s="95"/>
      <c r="AB13" s="99"/>
      <c r="AC13" s="188" t="s">
        <v>1259</v>
      </c>
      <c r="AE13" s="36"/>
      <c r="AF13" s="37"/>
    </row>
    <row r="14" spans="1:32" ht="18" customHeight="1">
      <c r="A14" s="98"/>
      <c r="B14" s="95"/>
      <c r="C14" s="199" t="s">
        <v>941</v>
      </c>
      <c r="D14" s="95"/>
      <c r="E14" s="95"/>
      <c r="F14" s="95"/>
      <c r="G14" s="95"/>
      <c r="H14" s="95"/>
      <c r="I14" s="95"/>
      <c r="J14" s="95"/>
      <c r="K14" s="95"/>
      <c r="L14" s="95"/>
      <c r="M14" s="95"/>
      <c r="N14" s="95"/>
      <c r="O14" s="95"/>
      <c r="P14" s="95"/>
      <c r="Q14" s="95"/>
      <c r="R14" s="95"/>
      <c r="S14" s="95"/>
      <c r="T14" s="95"/>
      <c r="U14" s="95"/>
      <c r="V14" s="95"/>
      <c r="W14" s="95"/>
      <c r="X14" s="95"/>
      <c r="Y14" s="95"/>
      <c r="Z14" s="95"/>
      <c r="AA14" s="95"/>
      <c r="AB14" s="99"/>
      <c r="AC14" s="188" t="s">
        <v>1259</v>
      </c>
      <c r="AE14" s="36"/>
      <c r="AF14" s="37"/>
    </row>
    <row r="15" spans="1:32" ht="18" customHeight="1">
      <c r="A15" s="98"/>
      <c r="B15" s="95"/>
      <c r="C15" s="199" t="s">
        <v>1060</v>
      </c>
      <c r="D15" s="95"/>
      <c r="E15" s="95"/>
      <c r="F15" s="95"/>
      <c r="G15" s="95"/>
      <c r="H15" s="95"/>
      <c r="I15" s="95"/>
      <c r="J15" s="95"/>
      <c r="K15" s="95"/>
      <c r="L15" s="95"/>
      <c r="M15" s="95"/>
      <c r="N15" s="95"/>
      <c r="O15" s="95"/>
      <c r="P15" s="95"/>
      <c r="Q15" s="95"/>
      <c r="R15" s="95"/>
      <c r="S15" s="95"/>
      <c r="T15" s="95"/>
      <c r="U15" s="95"/>
      <c r="V15" s="95"/>
      <c r="W15" s="95"/>
      <c r="X15" s="95"/>
      <c r="Y15" s="95"/>
      <c r="Z15" s="95"/>
      <c r="AA15" s="95"/>
      <c r="AB15" s="99"/>
      <c r="AC15" s="188" t="s">
        <v>1259</v>
      </c>
      <c r="AE15" s="36"/>
      <c r="AF15" s="37"/>
    </row>
    <row r="16" spans="1:32" s="202" customFormat="1" ht="18" customHeight="1">
      <c r="A16" s="198"/>
      <c r="B16" s="199"/>
      <c r="C16" s="199"/>
      <c r="D16" s="199" t="s">
        <v>1287</v>
      </c>
      <c r="E16" s="199"/>
      <c r="F16" s="199"/>
      <c r="G16" s="199"/>
      <c r="H16" s="199"/>
      <c r="I16" s="199"/>
      <c r="J16" s="199"/>
      <c r="K16" s="199"/>
      <c r="L16" s="199"/>
      <c r="M16" s="199"/>
      <c r="N16" s="199"/>
      <c r="O16" s="199"/>
      <c r="P16" s="199"/>
      <c r="Q16" s="199"/>
      <c r="R16" s="199"/>
      <c r="S16" s="199"/>
      <c r="T16" s="199"/>
      <c r="U16" s="199"/>
      <c r="V16" s="199"/>
      <c r="W16" s="199"/>
      <c r="X16" s="199"/>
      <c r="Y16" s="199"/>
      <c r="Z16" s="199"/>
      <c r="AA16" s="199"/>
      <c r="AB16" s="200"/>
      <c r="AC16" s="188" t="s">
        <v>1259</v>
      </c>
      <c r="AE16" s="201"/>
      <c r="AF16" s="203"/>
    </row>
    <row r="17" spans="1:32" s="202" customFormat="1" ht="18" customHeight="1">
      <c r="A17" s="198"/>
      <c r="B17" s="199"/>
      <c r="C17" s="199"/>
      <c r="D17" s="199" t="s">
        <v>1297</v>
      </c>
      <c r="E17" s="199"/>
      <c r="F17" s="199"/>
      <c r="G17" s="199"/>
      <c r="H17" s="199"/>
      <c r="I17" s="199"/>
      <c r="J17" s="199"/>
      <c r="K17" s="199"/>
      <c r="L17" s="199"/>
      <c r="M17" s="199"/>
      <c r="N17" s="199"/>
      <c r="O17" s="199"/>
      <c r="P17" s="199"/>
      <c r="Q17" s="199"/>
      <c r="R17" s="199"/>
      <c r="S17" s="199"/>
      <c r="T17" s="199"/>
      <c r="U17" s="199"/>
      <c r="V17" s="199"/>
      <c r="W17" s="199"/>
      <c r="X17" s="199"/>
      <c r="Y17" s="199"/>
      <c r="Z17" s="199"/>
      <c r="AA17" s="199"/>
      <c r="AB17" s="200"/>
      <c r="AC17" s="188" t="s">
        <v>1259</v>
      </c>
      <c r="AE17" s="201"/>
      <c r="AF17" s="203"/>
    </row>
    <row r="18" spans="1:32" s="202" customFormat="1" ht="18" customHeight="1">
      <c r="A18" s="198"/>
      <c r="B18" s="199"/>
      <c r="C18" s="199"/>
      <c r="D18" s="199" t="s">
        <v>1300</v>
      </c>
      <c r="E18" s="199"/>
      <c r="F18" s="199"/>
      <c r="G18" s="199"/>
      <c r="H18" s="199"/>
      <c r="I18" s="199"/>
      <c r="J18" s="199"/>
      <c r="K18" s="199"/>
      <c r="L18" s="199"/>
      <c r="M18" s="199"/>
      <c r="N18" s="199"/>
      <c r="O18" s="199"/>
      <c r="P18" s="199"/>
      <c r="Q18" s="199"/>
      <c r="R18" s="199"/>
      <c r="S18" s="199"/>
      <c r="T18" s="199"/>
      <c r="U18" s="199"/>
      <c r="V18" s="199"/>
      <c r="W18" s="199"/>
      <c r="X18" s="199"/>
      <c r="Y18" s="199"/>
      <c r="Z18" s="199"/>
      <c r="AA18" s="199"/>
      <c r="AB18" s="200"/>
      <c r="AC18" s="188" t="s">
        <v>1259</v>
      </c>
      <c r="AE18" s="201"/>
      <c r="AF18" s="203"/>
    </row>
    <row r="19" spans="1:32" s="202" customFormat="1" ht="18" customHeight="1">
      <c r="A19" s="198"/>
      <c r="B19" s="199"/>
      <c r="C19" s="199"/>
      <c r="D19" s="199" t="s">
        <v>1303</v>
      </c>
      <c r="E19" s="199"/>
      <c r="F19" s="199"/>
      <c r="G19" s="199"/>
      <c r="H19" s="199"/>
      <c r="I19" s="199"/>
      <c r="J19" s="199"/>
      <c r="K19" s="199"/>
      <c r="L19" s="199"/>
      <c r="M19" s="199"/>
      <c r="N19" s="199"/>
      <c r="O19" s="199"/>
      <c r="P19" s="199"/>
      <c r="Q19" s="199"/>
      <c r="R19" s="199"/>
      <c r="S19" s="199"/>
      <c r="T19" s="199"/>
      <c r="U19" s="199"/>
      <c r="V19" s="199"/>
      <c r="W19" s="199"/>
      <c r="X19" s="199"/>
      <c r="Y19" s="199"/>
      <c r="Z19" s="199"/>
      <c r="AA19" s="199"/>
      <c r="AB19" s="200"/>
      <c r="AC19" s="188" t="s">
        <v>1259</v>
      </c>
      <c r="AE19" s="201"/>
      <c r="AF19" s="203"/>
    </row>
    <row r="20" spans="1:32" s="202" customFormat="1" ht="18" customHeight="1">
      <c r="A20" s="198"/>
      <c r="B20" s="199"/>
      <c r="C20" s="199"/>
      <c r="D20" s="199" t="s">
        <v>1299</v>
      </c>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200"/>
      <c r="AC20" s="188" t="s">
        <v>1259</v>
      </c>
      <c r="AE20" s="201"/>
      <c r="AF20" s="203"/>
    </row>
    <row r="21" spans="1:32" ht="18" customHeight="1">
      <c r="A21" s="98"/>
      <c r="B21" s="95"/>
      <c r="C21" s="95" t="s">
        <v>1061</v>
      </c>
      <c r="D21" s="95"/>
      <c r="E21" s="95"/>
      <c r="F21" s="95"/>
      <c r="G21" s="95"/>
      <c r="H21" s="95"/>
      <c r="I21" s="95"/>
      <c r="J21" s="95"/>
      <c r="K21" s="95"/>
      <c r="L21" s="95"/>
      <c r="M21" s="95"/>
      <c r="N21" s="95"/>
      <c r="O21" s="95"/>
      <c r="P21" s="95"/>
      <c r="Q21" s="95"/>
      <c r="R21" s="95"/>
      <c r="S21" s="95"/>
      <c r="T21" s="95"/>
      <c r="U21" s="95"/>
      <c r="V21" s="95"/>
      <c r="W21" s="95"/>
      <c r="X21" s="95"/>
      <c r="Y21" s="95"/>
      <c r="Z21" s="95"/>
      <c r="AA21" s="95"/>
      <c r="AB21" s="99"/>
      <c r="AC21" s="188" t="s">
        <v>1259</v>
      </c>
      <c r="AE21" s="36"/>
      <c r="AF21" s="37"/>
    </row>
    <row r="22" spans="1:32" ht="18" customHeight="1">
      <c r="A22" s="98"/>
      <c r="B22" s="95"/>
      <c r="C22" s="95"/>
      <c r="D22" s="95" t="s">
        <v>1109</v>
      </c>
      <c r="E22" s="95"/>
      <c r="F22" s="95"/>
      <c r="G22" s="95"/>
      <c r="H22" s="95"/>
      <c r="I22" s="95"/>
      <c r="J22" s="95"/>
      <c r="K22" s="95"/>
      <c r="L22" s="95"/>
      <c r="M22" s="95"/>
      <c r="N22" s="95"/>
      <c r="O22" s="95"/>
      <c r="P22" s="95"/>
      <c r="Q22" s="95"/>
      <c r="R22" s="95"/>
      <c r="S22" s="95"/>
      <c r="T22" s="95"/>
      <c r="U22" s="95"/>
      <c r="V22" s="95"/>
      <c r="W22" s="95"/>
      <c r="X22" s="95"/>
      <c r="Y22" s="95"/>
      <c r="Z22" s="95"/>
      <c r="AA22" s="95"/>
      <c r="AB22" s="99"/>
      <c r="AC22" s="188" t="s">
        <v>1259</v>
      </c>
      <c r="AE22" s="36"/>
      <c r="AF22" s="37"/>
    </row>
    <row r="23" spans="1:32" ht="18" customHeight="1">
      <c r="A23" s="98"/>
      <c r="B23" s="95"/>
      <c r="C23" s="95"/>
      <c r="D23" s="95" t="s">
        <v>1264</v>
      </c>
      <c r="E23" s="95"/>
      <c r="F23" s="95"/>
      <c r="G23" s="95"/>
      <c r="H23" s="95"/>
      <c r="I23" s="95"/>
      <c r="J23" s="95"/>
      <c r="K23" s="95"/>
      <c r="L23" s="95"/>
      <c r="M23" s="95"/>
      <c r="N23" s="95"/>
      <c r="O23" s="95"/>
      <c r="P23" s="95"/>
      <c r="Q23" s="95"/>
      <c r="R23" s="95"/>
      <c r="S23" s="95"/>
      <c r="T23" s="95"/>
      <c r="U23" s="95"/>
      <c r="V23" s="95"/>
      <c r="W23" s="95"/>
      <c r="X23" s="95"/>
      <c r="Y23" s="95"/>
      <c r="Z23" s="95"/>
      <c r="AA23" s="95"/>
      <c r="AB23" s="99"/>
      <c r="AC23" s="188" t="s">
        <v>1259</v>
      </c>
      <c r="AE23" s="36"/>
      <c r="AF23" s="37"/>
    </row>
    <row r="24" spans="1:32" ht="18" customHeight="1">
      <c r="A24" s="98"/>
      <c r="B24" s="95"/>
      <c r="C24" s="95"/>
      <c r="D24" s="95"/>
      <c r="E24" s="95" t="s">
        <v>1265</v>
      </c>
      <c r="F24" s="95"/>
      <c r="G24" s="95"/>
      <c r="H24" s="95"/>
      <c r="I24" s="95"/>
      <c r="J24" s="95"/>
      <c r="K24" s="95"/>
      <c r="L24" s="95"/>
      <c r="M24" s="95"/>
      <c r="N24" s="95"/>
      <c r="O24" s="95"/>
      <c r="P24" s="95"/>
      <c r="Q24" s="95"/>
      <c r="R24" s="95"/>
      <c r="S24" s="95"/>
      <c r="T24" s="95"/>
      <c r="U24" s="95"/>
      <c r="V24" s="95"/>
      <c r="W24" s="95"/>
      <c r="X24" s="95"/>
      <c r="Y24" s="95"/>
      <c r="Z24" s="95"/>
      <c r="AA24" s="95"/>
      <c r="AB24" s="99"/>
      <c r="AC24" s="188" t="s">
        <v>1259</v>
      </c>
      <c r="AE24" s="36"/>
      <c r="AF24" s="37"/>
    </row>
    <row r="25" spans="1:32" ht="18" customHeight="1">
      <c r="A25" s="98"/>
      <c r="B25" s="95"/>
      <c r="C25" s="95"/>
      <c r="D25" s="95"/>
      <c r="E25" s="95" t="s">
        <v>1114</v>
      </c>
      <c r="F25" s="95"/>
      <c r="G25" s="95"/>
      <c r="H25" s="95"/>
      <c r="I25" s="95"/>
      <c r="J25" s="95"/>
      <c r="K25" s="95"/>
      <c r="L25" s="95"/>
      <c r="M25" s="95"/>
      <c r="N25" s="95"/>
      <c r="O25" s="95"/>
      <c r="P25" s="95"/>
      <c r="Q25" s="95"/>
      <c r="R25" s="95"/>
      <c r="S25" s="95"/>
      <c r="T25" s="95"/>
      <c r="U25" s="95"/>
      <c r="V25" s="95"/>
      <c r="W25" s="95"/>
      <c r="X25" s="95"/>
      <c r="Y25" s="95"/>
      <c r="Z25" s="95"/>
      <c r="AA25" s="95"/>
      <c r="AB25" s="99"/>
      <c r="AC25" s="188" t="s">
        <v>1259</v>
      </c>
      <c r="AE25" s="36"/>
      <c r="AF25" s="37"/>
    </row>
    <row r="26" spans="1:32" ht="18" customHeight="1">
      <c r="A26" s="98"/>
      <c r="B26" s="95"/>
      <c r="C26" s="95"/>
      <c r="D26" s="95" t="s">
        <v>1063</v>
      </c>
      <c r="E26" s="95"/>
      <c r="F26" s="95"/>
      <c r="G26" s="95"/>
      <c r="H26" s="95"/>
      <c r="I26" s="95"/>
      <c r="J26" s="95"/>
      <c r="K26" s="95"/>
      <c r="L26" s="95"/>
      <c r="M26" s="95"/>
      <c r="N26" s="95"/>
      <c r="O26" s="95"/>
      <c r="P26" s="95"/>
      <c r="Q26" s="95"/>
      <c r="R26" s="95"/>
      <c r="S26" s="95"/>
      <c r="T26" s="95"/>
      <c r="U26" s="95"/>
      <c r="V26" s="95"/>
      <c r="W26" s="95"/>
      <c r="X26" s="95"/>
      <c r="Y26" s="95"/>
      <c r="Z26" s="95"/>
      <c r="AA26" s="95"/>
      <c r="AB26" s="99"/>
      <c r="AC26" s="188" t="s">
        <v>1259</v>
      </c>
      <c r="AE26" s="36"/>
      <c r="AF26" s="37"/>
    </row>
    <row r="27" spans="1:32" ht="18" customHeight="1">
      <c r="A27" s="98"/>
      <c r="B27" s="95"/>
      <c r="C27" s="95"/>
      <c r="D27" s="95"/>
      <c r="E27" s="95" t="s">
        <v>1294</v>
      </c>
      <c r="F27" s="95"/>
      <c r="G27" s="95"/>
      <c r="H27" s="95"/>
      <c r="I27" s="95"/>
      <c r="J27" s="95"/>
      <c r="K27" s="95"/>
      <c r="L27" s="95"/>
      <c r="M27" s="95"/>
      <c r="N27" s="95"/>
      <c r="O27" s="95"/>
      <c r="P27" s="95"/>
      <c r="Q27" s="95"/>
      <c r="R27" s="95"/>
      <c r="S27" s="95"/>
      <c r="T27" s="95"/>
      <c r="U27" s="95"/>
      <c r="V27" s="95"/>
      <c r="W27" s="95"/>
      <c r="X27" s="95"/>
      <c r="Y27" s="95"/>
      <c r="Z27" s="95"/>
      <c r="AA27" s="95"/>
      <c r="AB27" s="99"/>
      <c r="AC27" s="188" t="s">
        <v>1259</v>
      </c>
      <c r="AE27" s="36"/>
      <c r="AF27" s="37"/>
    </row>
    <row r="28" spans="1:32" ht="18" customHeight="1">
      <c r="A28" s="98"/>
      <c r="B28" s="95"/>
      <c r="C28" s="95"/>
      <c r="D28" s="95"/>
      <c r="E28" s="95" t="s">
        <v>1295</v>
      </c>
      <c r="F28" s="95"/>
      <c r="G28" s="95"/>
      <c r="H28" s="95"/>
      <c r="I28" s="95"/>
      <c r="J28" s="95"/>
      <c r="K28" s="95"/>
      <c r="L28" s="95"/>
      <c r="M28" s="95"/>
      <c r="N28" s="95"/>
      <c r="O28" s="95"/>
      <c r="P28" s="95"/>
      <c r="Q28" s="95"/>
      <c r="R28" s="95"/>
      <c r="S28" s="95"/>
      <c r="T28" s="95"/>
      <c r="U28" s="95"/>
      <c r="V28" s="95"/>
      <c r="W28" s="95"/>
      <c r="X28" s="95"/>
      <c r="Y28" s="95"/>
      <c r="Z28" s="95"/>
      <c r="AA28" s="95"/>
      <c r="AB28" s="99"/>
      <c r="AC28" s="188" t="s">
        <v>1259</v>
      </c>
      <c r="AE28" s="36"/>
      <c r="AF28" s="37"/>
    </row>
    <row r="29" spans="1:32" ht="18" customHeight="1">
      <c r="A29" s="98"/>
      <c r="B29" s="95"/>
      <c r="C29" s="95"/>
      <c r="D29" s="95" t="s">
        <v>1090</v>
      </c>
      <c r="E29" s="95"/>
      <c r="F29" s="95"/>
      <c r="G29" s="95"/>
      <c r="H29" s="95"/>
      <c r="I29" s="95"/>
      <c r="J29" s="95"/>
      <c r="K29" s="95"/>
      <c r="L29" s="95"/>
      <c r="M29" s="95"/>
      <c r="N29" s="95"/>
      <c r="O29" s="95"/>
      <c r="P29" s="95"/>
      <c r="Q29" s="95"/>
      <c r="R29" s="95"/>
      <c r="S29" s="95"/>
      <c r="T29" s="95"/>
      <c r="U29" s="95"/>
      <c r="V29" s="95"/>
      <c r="W29" s="95"/>
      <c r="X29" s="95"/>
      <c r="Y29" s="95"/>
      <c r="Z29" s="95"/>
      <c r="AA29" s="95"/>
      <c r="AB29" s="99"/>
      <c r="AC29" s="188" t="s">
        <v>1259</v>
      </c>
      <c r="AE29" s="36"/>
      <c r="AF29" s="37"/>
    </row>
    <row r="30" spans="1:32" ht="18" customHeight="1">
      <c r="A30" s="98"/>
      <c r="B30" s="95"/>
      <c r="C30" s="95"/>
      <c r="D30" s="95"/>
      <c r="E30" s="95" t="s">
        <v>1284</v>
      </c>
      <c r="F30" s="95"/>
      <c r="G30" s="95"/>
      <c r="H30" s="95"/>
      <c r="I30" s="95"/>
      <c r="J30" s="95"/>
      <c r="K30" s="95"/>
      <c r="L30" s="95"/>
      <c r="M30" s="95"/>
      <c r="N30" s="95"/>
      <c r="O30" s="95"/>
      <c r="P30" s="95"/>
      <c r="Q30" s="95"/>
      <c r="R30" s="95"/>
      <c r="S30" s="95"/>
      <c r="T30" s="95"/>
      <c r="U30" s="95"/>
      <c r="V30" s="95"/>
      <c r="W30" s="95"/>
      <c r="X30" s="95"/>
      <c r="Y30" s="95"/>
      <c r="Z30" s="95"/>
      <c r="AA30" s="95"/>
      <c r="AB30" s="99"/>
      <c r="AC30" s="188" t="s">
        <v>1259</v>
      </c>
      <c r="AE30" s="36"/>
      <c r="AF30" s="37"/>
    </row>
    <row r="31" spans="1:32" ht="18" customHeight="1">
      <c r="A31" s="98"/>
      <c r="B31" s="95"/>
      <c r="C31" s="95"/>
      <c r="D31" s="95"/>
      <c r="E31" s="95" t="s">
        <v>1285</v>
      </c>
      <c r="F31" s="95"/>
      <c r="G31" s="95"/>
      <c r="H31" s="95"/>
      <c r="I31" s="95"/>
      <c r="J31" s="95"/>
      <c r="K31" s="95"/>
      <c r="L31" s="95"/>
      <c r="M31" s="95"/>
      <c r="N31" s="95"/>
      <c r="O31" s="95"/>
      <c r="P31" s="95"/>
      <c r="Q31" s="95"/>
      <c r="R31" s="95"/>
      <c r="S31" s="95"/>
      <c r="T31" s="95"/>
      <c r="U31" s="95"/>
      <c r="V31" s="95"/>
      <c r="W31" s="95"/>
      <c r="X31" s="95"/>
      <c r="Y31" s="95"/>
      <c r="Z31" s="95"/>
      <c r="AA31" s="95"/>
      <c r="AB31" s="99"/>
      <c r="AC31" s="188" t="s">
        <v>1259</v>
      </c>
      <c r="AE31" s="36"/>
      <c r="AF31" s="37"/>
    </row>
    <row r="32" spans="1:32" ht="18" customHeight="1">
      <c r="A32" s="98"/>
      <c r="B32" s="95"/>
      <c r="C32" s="95"/>
      <c r="D32" s="95" t="s">
        <v>1288</v>
      </c>
      <c r="F32" s="95"/>
      <c r="G32" s="95"/>
      <c r="H32" s="95"/>
      <c r="I32" s="95"/>
      <c r="J32" s="95"/>
      <c r="K32" s="95"/>
      <c r="L32" s="95"/>
      <c r="M32" s="95"/>
      <c r="N32" s="95"/>
      <c r="O32" s="95"/>
      <c r="P32" s="95"/>
      <c r="Q32" s="95"/>
      <c r="R32" s="95"/>
      <c r="S32" s="95"/>
      <c r="T32" s="95"/>
      <c r="U32" s="95"/>
      <c r="V32" s="95"/>
      <c r="W32" s="95"/>
      <c r="X32" s="95"/>
      <c r="Y32" s="95"/>
      <c r="Z32" s="95"/>
      <c r="AA32" s="95"/>
      <c r="AB32" s="99"/>
      <c r="AC32" s="188" t="s">
        <v>1259</v>
      </c>
      <c r="AE32" s="36"/>
      <c r="AF32" s="37"/>
    </row>
    <row r="33" spans="1:32" ht="18" customHeight="1">
      <c r="A33" s="98"/>
      <c r="B33" s="95"/>
      <c r="C33" s="95"/>
      <c r="D33" s="95"/>
      <c r="E33" s="95" t="s">
        <v>1289</v>
      </c>
      <c r="F33" s="95"/>
      <c r="G33" s="95"/>
      <c r="H33" s="95"/>
      <c r="I33" s="95"/>
      <c r="J33" s="95"/>
      <c r="K33" s="95"/>
      <c r="L33" s="95"/>
      <c r="M33" s="95"/>
      <c r="N33" s="95"/>
      <c r="O33" s="95"/>
      <c r="P33" s="95"/>
      <c r="Q33" s="95"/>
      <c r="R33" s="95"/>
      <c r="S33" s="95"/>
      <c r="T33" s="95"/>
      <c r="U33" s="95"/>
      <c r="V33" s="95"/>
      <c r="W33" s="95"/>
      <c r="X33" s="95"/>
      <c r="Y33" s="95"/>
      <c r="Z33" s="95"/>
      <c r="AA33" s="95"/>
      <c r="AB33" s="99"/>
      <c r="AC33" s="188" t="s">
        <v>1259</v>
      </c>
      <c r="AE33" s="36"/>
      <c r="AF33" s="37"/>
    </row>
    <row r="34" spans="1:32" ht="18" customHeight="1">
      <c r="A34" s="98"/>
      <c r="B34" s="95"/>
      <c r="C34" s="95"/>
      <c r="D34" s="95"/>
      <c r="E34" s="95" t="s">
        <v>1290</v>
      </c>
      <c r="F34" s="95"/>
      <c r="G34" s="95"/>
      <c r="H34" s="95"/>
      <c r="I34" s="95"/>
      <c r="J34" s="95"/>
      <c r="K34" s="95"/>
      <c r="L34" s="95"/>
      <c r="M34" s="95"/>
      <c r="N34" s="95"/>
      <c r="O34" s="95"/>
      <c r="P34" s="95"/>
      <c r="Q34" s="95"/>
      <c r="R34" s="95"/>
      <c r="S34" s="95"/>
      <c r="T34" s="95"/>
      <c r="U34" s="95"/>
      <c r="V34" s="95"/>
      <c r="W34" s="95"/>
      <c r="X34" s="95"/>
      <c r="Y34" s="95"/>
      <c r="Z34" s="95"/>
      <c r="AA34" s="95"/>
      <c r="AB34" s="99"/>
      <c r="AC34" s="188" t="s">
        <v>1259</v>
      </c>
      <c r="AE34" s="36"/>
      <c r="AF34" s="37"/>
    </row>
    <row r="35" spans="1:32" ht="18" customHeight="1">
      <c r="A35" s="98"/>
      <c r="B35" s="95"/>
      <c r="C35" s="95" t="s">
        <v>1066</v>
      </c>
      <c r="D35" s="95"/>
      <c r="E35" s="95"/>
      <c r="F35" s="95"/>
      <c r="G35" s="95"/>
      <c r="H35" s="95"/>
      <c r="I35" s="95"/>
      <c r="J35" s="95"/>
      <c r="K35" s="95"/>
      <c r="L35" s="95"/>
      <c r="M35" s="95"/>
      <c r="N35" s="95"/>
      <c r="O35" s="95"/>
      <c r="P35" s="95"/>
      <c r="Q35" s="95"/>
      <c r="R35" s="95"/>
      <c r="S35" s="95"/>
      <c r="T35" s="95"/>
      <c r="U35" s="95"/>
      <c r="V35" s="95"/>
      <c r="W35" s="95"/>
      <c r="X35" s="95"/>
      <c r="Y35" s="95"/>
      <c r="Z35" s="95"/>
      <c r="AA35" s="95"/>
      <c r="AB35" s="99"/>
      <c r="AC35" s="188" t="s">
        <v>1259</v>
      </c>
      <c r="AE35" s="36"/>
      <c r="AF35" s="37"/>
    </row>
    <row r="36" spans="1:32" ht="18" customHeight="1">
      <c r="A36" s="98"/>
      <c r="B36" s="95"/>
      <c r="C36" s="95"/>
      <c r="D36" s="95" t="s">
        <v>1292</v>
      </c>
      <c r="E36" s="95"/>
      <c r="F36" s="95"/>
      <c r="G36" s="95"/>
      <c r="H36" s="95"/>
      <c r="I36" s="95"/>
      <c r="J36" s="95"/>
      <c r="K36" s="95"/>
      <c r="L36" s="95"/>
      <c r="M36" s="95"/>
      <c r="N36" s="95"/>
      <c r="O36" s="95"/>
      <c r="P36" s="95"/>
      <c r="Q36" s="95"/>
      <c r="R36" s="95"/>
      <c r="S36" s="95"/>
      <c r="T36" s="95"/>
      <c r="U36" s="95"/>
      <c r="V36" s="95"/>
      <c r="W36" s="95"/>
      <c r="X36" s="95"/>
      <c r="Y36" s="95"/>
      <c r="Z36" s="95"/>
      <c r="AA36" s="95"/>
      <c r="AB36" s="99"/>
      <c r="AC36" s="188" t="s">
        <v>1259</v>
      </c>
      <c r="AE36" s="36"/>
      <c r="AF36" s="37"/>
    </row>
    <row r="37" spans="1:32" ht="18" customHeight="1">
      <c r="A37" s="98"/>
      <c r="B37" s="95"/>
      <c r="C37" s="95"/>
      <c r="D37" s="95" t="s">
        <v>1293</v>
      </c>
      <c r="E37" s="95"/>
      <c r="F37" s="95"/>
      <c r="G37" s="95"/>
      <c r="H37" s="95"/>
      <c r="I37" s="95"/>
      <c r="J37" s="95"/>
      <c r="K37" s="95"/>
      <c r="L37" s="95"/>
      <c r="M37" s="95"/>
      <c r="N37" s="95"/>
      <c r="O37" s="95"/>
      <c r="P37" s="95"/>
      <c r="Q37" s="95"/>
      <c r="R37" s="95"/>
      <c r="S37" s="95"/>
      <c r="T37" s="95"/>
      <c r="U37" s="95"/>
      <c r="V37" s="95"/>
      <c r="W37" s="95"/>
      <c r="X37" s="95"/>
      <c r="Y37" s="95"/>
      <c r="Z37" s="95"/>
      <c r="AA37" s="95"/>
      <c r="AB37" s="99"/>
      <c r="AC37" s="188" t="s">
        <v>1259</v>
      </c>
      <c r="AE37" s="36"/>
      <c r="AF37" s="37"/>
    </row>
    <row r="38" spans="1:32" ht="18" customHeight="1">
      <c r="A38" s="98"/>
      <c r="B38" s="95"/>
      <c r="C38" s="95"/>
      <c r="D38" s="95" t="s">
        <v>1291</v>
      </c>
      <c r="E38" s="95"/>
      <c r="F38" s="95"/>
      <c r="G38" s="95"/>
      <c r="H38" s="95"/>
      <c r="I38" s="95"/>
      <c r="J38" s="95"/>
      <c r="K38" s="95"/>
      <c r="L38" s="95"/>
      <c r="M38" s="95"/>
      <c r="N38" s="95"/>
      <c r="O38" s="95"/>
      <c r="P38" s="95"/>
      <c r="Q38" s="95"/>
      <c r="R38" s="95"/>
      <c r="S38" s="95"/>
      <c r="T38" s="95"/>
      <c r="U38" s="95"/>
      <c r="V38" s="95"/>
      <c r="W38" s="95"/>
      <c r="X38" s="95"/>
      <c r="Y38" s="95"/>
      <c r="Z38" s="95"/>
      <c r="AA38" s="95"/>
      <c r="AB38" s="99"/>
      <c r="AC38" s="188" t="s">
        <v>1259</v>
      </c>
      <c r="AE38" s="36"/>
      <c r="AF38" s="37"/>
    </row>
    <row r="39" spans="1:32" ht="18" customHeight="1">
      <c r="A39" s="98"/>
      <c r="B39" s="95"/>
      <c r="C39" s="95" t="s">
        <v>1298</v>
      </c>
      <c r="D39" s="95"/>
      <c r="E39" s="95"/>
      <c r="F39" s="95"/>
      <c r="G39" s="95"/>
      <c r="H39" s="95"/>
      <c r="I39" s="95"/>
      <c r="J39" s="95"/>
      <c r="K39" s="95"/>
      <c r="L39" s="95"/>
      <c r="M39" s="95"/>
      <c r="N39" s="95"/>
      <c r="O39" s="95"/>
      <c r="P39" s="95"/>
      <c r="Q39" s="95"/>
      <c r="R39" s="95"/>
      <c r="S39" s="95"/>
      <c r="T39" s="95"/>
      <c r="U39" s="95"/>
      <c r="V39" s="95"/>
      <c r="W39" s="95"/>
      <c r="X39" s="95"/>
      <c r="Y39" s="95"/>
      <c r="Z39" s="95"/>
      <c r="AA39" s="95"/>
      <c r="AB39" s="99"/>
      <c r="AC39" s="188" t="s">
        <v>1259</v>
      </c>
      <c r="AE39" s="36"/>
      <c r="AF39" s="37"/>
    </row>
    <row r="40" spans="1:32" ht="18" customHeight="1">
      <c r="A40" s="98"/>
      <c r="B40" s="95"/>
      <c r="C40" s="95"/>
      <c r="D40" s="95" t="s">
        <v>1286</v>
      </c>
      <c r="E40" s="95"/>
      <c r="F40" s="95"/>
      <c r="G40" s="95"/>
      <c r="H40" s="95"/>
      <c r="I40" s="95"/>
      <c r="J40" s="95"/>
      <c r="K40" s="95"/>
      <c r="L40" s="95"/>
      <c r="M40" s="95"/>
      <c r="N40" s="95"/>
      <c r="O40" s="95"/>
      <c r="P40" s="95"/>
      <c r="Q40" s="95"/>
      <c r="R40" s="95"/>
      <c r="S40" s="95"/>
      <c r="T40" s="95"/>
      <c r="U40" s="95"/>
      <c r="V40" s="95"/>
      <c r="W40" s="95"/>
      <c r="X40" s="95"/>
      <c r="Y40" s="95"/>
      <c r="Z40" s="95"/>
      <c r="AA40" s="95"/>
      <c r="AB40" s="99"/>
      <c r="AC40" s="188" t="s">
        <v>1259</v>
      </c>
      <c r="AE40" s="36"/>
      <c r="AF40" s="37"/>
    </row>
    <row r="41" spans="1:32" ht="18" customHeight="1">
      <c r="A41" s="98"/>
      <c r="B41" s="95"/>
      <c r="C41" s="95"/>
      <c r="D41" s="95" t="s">
        <v>1296</v>
      </c>
      <c r="E41" s="95"/>
      <c r="F41" s="95"/>
      <c r="G41" s="95"/>
      <c r="H41" s="95"/>
      <c r="I41" s="95"/>
      <c r="J41" s="95"/>
      <c r="K41" s="95"/>
      <c r="L41" s="95"/>
      <c r="M41" s="95"/>
      <c r="N41" s="95"/>
      <c r="O41" s="95"/>
      <c r="P41" s="95"/>
      <c r="Q41" s="95"/>
      <c r="R41" s="95"/>
      <c r="S41" s="95"/>
      <c r="T41" s="95"/>
      <c r="U41" s="95"/>
      <c r="V41" s="95"/>
      <c r="W41" s="95"/>
      <c r="X41" s="95"/>
      <c r="Y41" s="95"/>
      <c r="Z41" s="95"/>
      <c r="AA41" s="95"/>
      <c r="AB41" s="99"/>
      <c r="AC41" s="188" t="s">
        <v>1259</v>
      </c>
      <c r="AE41" s="36"/>
      <c r="AF41" s="37"/>
    </row>
    <row r="42" spans="1:32" ht="18" customHeight="1">
      <c r="A42" s="98"/>
      <c r="B42" s="95"/>
      <c r="C42" s="95"/>
      <c r="D42" s="199" t="s">
        <v>1300</v>
      </c>
      <c r="E42" s="95"/>
      <c r="F42" s="95"/>
      <c r="G42" s="95"/>
      <c r="H42" s="95"/>
      <c r="I42" s="95"/>
      <c r="J42" s="95"/>
      <c r="K42" s="95"/>
      <c r="L42" s="95"/>
      <c r="M42" s="95"/>
      <c r="N42" s="95"/>
      <c r="O42" s="95"/>
      <c r="P42" s="95"/>
      <c r="Q42" s="95"/>
      <c r="R42" s="95"/>
      <c r="S42" s="95"/>
      <c r="T42" s="95"/>
      <c r="U42" s="95"/>
      <c r="V42" s="95"/>
      <c r="W42" s="95"/>
      <c r="X42" s="95"/>
      <c r="Y42" s="95"/>
      <c r="Z42" s="95"/>
      <c r="AA42" s="95"/>
      <c r="AB42" s="99"/>
      <c r="AC42" s="188" t="s">
        <v>1259</v>
      </c>
      <c r="AE42" s="36"/>
      <c r="AF42" s="37"/>
    </row>
    <row r="43" spans="1:32" s="202" customFormat="1" ht="18" customHeight="1">
      <c r="A43" s="198"/>
      <c r="B43" s="199"/>
      <c r="C43" s="199"/>
      <c r="D43" s="199" t="s">
        <v>1303</v>
      </c>
      <c r="E43" s="199"/>
      <c r="F43" s="199"/>
      <c r="G43" s="199"/>
      <c r="H43" s="199"/>
      <c r="I43" s="199"/>
      <c r="J43" s="199"/>
      <c r="K43" s="199"/>
      <c r="L43" s="199"/>
      <c r="M43" s="199"/>
      <c r="N43" s="199"/>
      <c r="O43" s="199"/>
      <c r="P43" s="199"/>
      <c r="Q43" s="199"/>
      <c r="R43" s="199"/>
      <c r="S43" s="199"/>
      <c r="T43" s="199"/>
      <c r="U43" s="199"/>
      <c r="V43" s="199"/>
      <c r="W43" s="199"/>
      <c r="X43" s="199"/>
      <c r="Y43" s="199"/>
      <c r="Z43" s="199"/>
      <c r="AA43" s="199"/>
      <c r="AB43" s="200"/>
      <c r="AC43" s="188"/>
      <c r="AE43" s="201"/>
      <c r="AF43" s="203"/>
    </row>
    <row r="44" spans="1:32" ht="18" customHeight="1">
      <c r="A44" s="98"/>
      <c r="B44" s="95"/>
      <c r="C44" s="95" t="s">
        <v>1081</v>
      </c>
      <c r="D44" s="95"/>
      <c r="E44" s="95"/>
      <c r="F44" s="95"/>
      <c r="G44" s="95"/>
      <c r="H44" s="95"/>
      <c r="I44" s="95"/>
      <c r="J44" s="95"/>
      <c r="K44" s="95"/>
      <c r="L44" s="95"/>
      <c r="M44" s="95"/>
      <c r="N44" s="95"/>
      <c r="O44" s="95"/>
      <c r="P44" s="95"/>
      <c r="Q44" s="95"/>
      <c r="R44" s="95"/>
      <c r="S44" s="95"/>
      <c r="T44" s="95"/>
      <c r="U44" s="95"/>
      <c r="V44" s="95"/>
      <c r="W44" s="95"/>
      <c r="X44" s="95"/>
      <c r="Y44" s="95"/>
      <c r="Z44" s="95"/>
      <c r="AA44" s="95"/>
      <c r="AB44" s="99"/>
      <c r="AC44" s="188" t="s">
        <v>1259</v>
      </c>
      <c r="AE44" s="36"/>
      <c r="AF44" s="37"/>
    </row>
    <row r="45" spans="1:32" ht="18" customHeight="1">
      <c r="A45" s="98"/>
      <c r="B45" s="95"/>
      <c r="C45" s="95"/>
      <c r="D45" s="95" t="s">
        <v>1301</v>
      </c>
      <c r="E45" s="95"/>
      <c r="F45" s="95"/>
      <c r="G45" s="95"/>
      <c r="H45" s="95"/>
      <c r="I45" s="95"/>
      <c r="J45" s="95"/>
      <c r="K45" s="95"/>
      <c r="L45" s="95"/>
      <c r="M45" s="95"/>
      <c r="N45" s="95"/>
      <c r="O45" s="95"/>
      <c r="P45" s="95"/>
      <c r="Q45" s="95"/>
      <c r="R45" s="95"/>
      <c r="S45" s="95"/>
      <c r="T45" s="95"/>
      <c r="U45" s="95"/>
      <c r="V45" s="95"/>
      <c r="W45" s="95"/>
      <c r="X45" s="95"/>
      <c r="Y45" s="95"/>
      <c r="Z45" s="95"/>
      <c r="AA45" s="95"/>
      <c r="AB45" s="99"/>
      <c r="AC45" s="188" t="s">
        <v>1259</v>
      </c>
      <c r="AE45" s="36"/>
      <c r="AF45" s="37"/>
    </row>
    <row r="46" spans="1:32" ht="18" customHeight="1">
      <c r="A46" s="98"/>
      <c r="B46" s="95"/>
      <c r="C46" s="95"/>
      <c r="D46" s="95" t="s">
        <v>1302</v>
      </c>
      <c r="E46" s="95"/>
      <c r="F46" s="95"/>
      <c r="G46" s="95"/>
      <c r="H46" s="95"/>
      <c r="I46" s="95"/>
      <c r="J46" s="95"/>
      <c r="K46" s="95"/>
      <c r="L46" s="95"/>
      <c r="M46" s="95"/>
      <c r="N46" s="95"/>
      <c r="O46" s="95"/>
      <c r="P46" s="95"/>
      <c r="Q46" s="95"/>
      <c r="R46" s="95"/>
      <c r="S46" s="95"/>
      <c r="T46" s="95"/>
      <c r="U46" s="95"/>
      <c r="V46" s="95"/>
      <c r="W46" s="95"/>
      <c r="X46" s="95"/>
      <c r="Y46" s="95"/>
      <c r="Z46" s="95"/>
      <c r="AA46" s="95"/>
      <c r="AB46" s="99"/>
      <c r="AC46" s="188" t="s">
        <v>1259</v>
      </c>
      <c r="AE46" s="36"/>
      <c r="AF46" s="37"/>
    </row>
    <row r="47" spans="1:32">
      <c r="A47" s="102"/>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4"/>
      <c r="AC47" s="188" t="s">
        <v>1259</v>
      </c>
    </row>
  </sheetData>
  <mergeCells count="17">
    <mergeCell ref="K5:N5"/>
    <mergeCell ref="O5:Q5"/>
    <mergeCell ref="R5:U5"/>
    <mergeCell ref="L9:M9"/>
    <mergeCell ref="L10:M10"/>
    <mergeCell ref="H1:AB2"/>
    <mergeCell ref="H3:AB4"/>
    <mergeCell ref="Y5:AB5"/>
    <mergeCell ref="V5:X5"/>
    <mergeCell ref="C8:K8"/>
    <mergeCell ref="L8:M8"/>
    <mergeCell ref="N8:AA8"/>
    <mergeCell ref="A1:G2"/>
    <mergeCell ref="A3:G4"/>
    <mergeCell ref="A5:C5"/>
    <mergeCell ref="D5:G5"/>
    <mergeCell ref="H5:J5"/>
  </mergeCells>
  <phoneticPr fontId="3"/>
  <pageMargins left="0.39370078740157499" right="0.39370078740157499" top="0.39370078740157499" bottom="0.39370078740157499" header="0.31496062992126" footer="0.31496062992126"/>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EA6D6-AD4B-4498-BA74-882015B71109}">
  <sheetPr>
    <tabColor theme="7" tint="0.39997558519241921"/>
  </sheetPr>
  <dimension ref="A1:AF630"/>
  <sheetViews>
    <sheetView topLeftCell="A440" workbookViewId="0">
      <selection activeCell="L391" sqref="L391:AA391"/>
    </sheetView>
  </sheetViews>
  <sheetFormatPr defaultColWidth="3.25" defaultRowHeight="18" customHeight="1"/>
  <cols>
    <col min="1" max="1" width="3.25" style="27"/>
    <col min="2" max="3" width="3.25" style="27" customWidth="1"/>
    <col min="4" max="5" width="3.25" style="27"/>
    <col min="6" max="6" width="3.25" style="27" customWidth="1"/>
    <col min="7" max="9" width="3.25" style="27"/>
    <col min="10" max="10" width="3.25" style="27" customWidth="1"/>
    <col min="11" max="11" width="3.25" style="27"/>
    <col min="12" max="12" width="3.25" style="27" customWidth="1"/>
    <col min="13" max="28" width="3.25" style="27"/>
    <col min="29" max="29" width="3.25" style="36" customWidth="1"/>
    <col min="30" max="30" width="3.25" style="27" hidden="1" customWidth="1"/>
    <col min="31" max="31" width="3.25" style="36" customWidth="1"/>
    <col min="32" max="32" width="3.25" style="37"/>
    <col min="33" max="16384" width="3.25" style="27"/>
  </cols>
  <sheetData>
    <row r="1" spans="1:29" ht="18" customHeight="1">
      <c r="A1" s="251" t="s">
        <v>0</v>
      </c>
      <c r="B1" s="251"/>
      <c r="C1" s="251"/>
      <c r="D1" s="251"/>
      <c r="E1" s="251"/>
      <c r="F1" s="251"/>
      <c r="G1" s="251"/>
      <c r="H1" s="251" t="s">
        <v>804</v>
      </c>
      <c r="I1" s="251"/>
      <c r="J1" s="251"/>
      <c r="K1" s="251"/>
      <c r="L1" s="251"/>
      <c r="M1" s="251"/>
      <c r="N1" s="251"/>
      <c r="O1" s="251"/>
      <c r="P1" s="251"/>
      <c r="Q1" s="251"/>
      <c r="R1" s="251"/>
      <c r="S1" s="251"/>
      <c r="T1" s="251"/>
      <c r="U1" s="251"/>
      <c r="V1" s="251"/>
      <c r="W1" s="251"/>
      <c r="X1" s="251"/>
      <c r="Y1" s="251"/>
      <c r="Z1" s="251"/>
      <c r="AA1" s="251"/>
      <c r="AB1" s="251"/>
    </row>
    <row r="2" spans="1:29" ht="18" customHeight="1">
      <c r="A2" s="251"/>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row>
    <row r="3" spans="1:29" ht="18" customHeight="1">
      <c r="A3" s="252" t="s">
        <v>1</v>
      </c>
      <c r="B3" s="252"/>
      <c r="C3" s="252"/>
      <c r="D3" s="252"/>
      <c r="E3" s="252"/>
      <c r="F3" s="252"/>
      <c r="G3" s="252"/>
      <c r="H3" s="252" t="s">
        <v>128</v>
      </c>
      <c r="I3" s="252"/>
      <c r="J3" s="252"/>
      <c r="K3" s="252"/>
      <c r="L3" s="252"/>
      <c r="M3" s="252"/>
      <c r="N3" s="252"/>
      <c r="O3" s="252"/>
      <c r="P3" s="252"/>
      <c r="Q3" s="252"/>
      <c r="R3" s="252"/>
      <c r="S3" s="252"/>
      <c r="T3" s="252"/>
      <c r="U3" s="252"/>
      <c r="V3" s="252"/>
      <c r="W3" s="252"/>
      <c r="X3" s="252"/>
      <c r="Y3" s="252"/>
      <c r="Z3" s="252"/>
      <c r="AA3" s="252"/>
      <c r="AB3" s="252"/>
    </row>
    <row r="4" spans="1:29" ht="18" customHeight="1">
      <c r="A4" s="252"/>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row>
    <row r="5" spans="1:29" ht="18" customHeight="1">
      <c r="A5" s="358" t="s">
        <v>2</v>
      </c>
      <c r="B5" s="358"/>
      <c r="C5" s="358"/>
      <c r="D5" s="358" t="s">
        <v>73</v>
      </c>
      <c r="E5" s="358"/>
      <c r="F5" s="358"/>
      <c r="G5" s="358"/>
      <c r="H5" s="358" t="s">
        <v>3</v>
      </c>
      <c r="I5" s="358"/>
      <c r="J5" s="358"/>
      <c r="K5" s="359">
        <v>45749</v>
      </c>
      <c r="L5" s="358"/>
      <c r="M5" s="358"/>
      <c r="N5" s="358"/>
      <c r="O5" s="358" t="s">
        <v>4</v>
      </c>
      <c r="P5" s="358"/>
      <c r="Q5" s="358"/>
      <c r="R5" s="358" t="s">
        <v>614</v>
      </c>
      <c r="S5" s="358"/>
      <c r="T5" s="358"/>
      <c r="U5" s="358"/>
      <c r="V5" s="358" t="s">
        <v>5</v>
      </c>
      <c r="W5" s="358"/>
      <c r="X5" s="358"/>
      <c r="Y5" s="360" t="s">
        <v>831</v>
      </c>
      <c r="Z5" s="360"/>
      <c r="AA5" s="358"/>
      <c r="AB5" s="358"/>
      <c r="AC5" s="117"/>
    </row>
    <row r="6" spans="1:29" ht="18" customHeight="1">
      <c r="A6" s="26"/>
      <c r="AB6" s="28"/>
    </row>
    <row r="7" spans="1:29" ht="18" customHeight="1">
      <c r="A7" s="26"/>
      <c r="B7" s="27" t="s">
        <v>6</v>
      </c>
      <c r="AB7" s="28"/>
    </row>
    <row r="8" spans="1:29" ht="18" customHeight="1">
      <c r="A8" s="26"/>
      <c r="B8" s="69" t="s">
        <v>7</v>
      </c>
      <c r="C8" s="304" t="s">
        <v>8</v>
      </c>
      <c r="D8" s="304"/>
      <c r="E8" s="304"/>
      <c r="F8" s="304"/>
      <c r="G8" s="304"/>
      <c r="H8" s="304"/>
      <c r="I8" s="304"/>
      <c r="J8" s="304"/>
      <c r="K8" s="304"/>
      <c r="L8" s="304" t="s">
        <v>257</v>
      </c>
      <c r="M8" s="304"/>
      <c r="N8" s="387" t="s">
        <v>13</v>
      </c>
      <c r="O8" s="388"/>
      <c r="P8" s="388"/>
      <c r="Q8" s="388"/>
      <c r="R8" s="388"/>
      <c r="S8" s="388"/>
      <c r="T8" s="388"/>
      <c r="U8" s="388"/>
      <c r="V8" s="388"/>
      <c r="W8" s="388"/>
      <c r="X8" s="388"/>
      <c r="Y8" s="388"/>
      <c r="Z8" s="388"/>
      <c r="AA8" s="389"/>
      <c r="AB8" s="28"/>
    </row>
    <row r="9" spans="1:29" ht="18" customHeight="1">
      <c r="A9" s="26"/>
      <c r="B9" s="33">
        <v>1</v>
      </c>
      <c r="C9" s="39" t="s">
        <v>166</v>
      </c>
      <c r="D9" s="40"/>
      <c r="E9" s="40"/>
      <c r="F9" s="40"/>
      <c r="G9" s="40"/>
      <c r="H9" s="40"/>
      <c r="I9" s="40"/>
      <c r="J9" s="40"/>
      <c r="K9" s="41"/>
      <c r="L9" s="334"/>
      <c r="M9" s="347"/>
      <c r="N9" s="39" t="s">
        <v>273</v>
      </c>
      <c r="O9" s="40"/>
      <c r="P9" s="40"/>
      <c r="Q9" s="40"/>
      <c r="R9" s="40"/>
      <c r="S9" s="40"/>
      <c r="T9" s="40"/>
      <c r="U9" s="40"/>
      <c r="V9" s="40"/>
      <c r="W9" s="40"/>
      <c r="X9" s="40"/>
      <c r="Y9" s="40"/>
      <c r="Z9" s="40"/>
      <c r="AA9" s="41"/>
      <c r="AB9" s="28"/>
    </row>
    <row r="10" spans="1:29" ht="18" customHeight="1">
      <c r="A10" s="26"/>
      <c r="B10" s="33">
        <v>2</v>
      </c>
      <c r="C10" s="39" t="s">
        <v>155</v>
      </c>
      <c r="D10" s="40"/>
      <c r="E10" s="40"/>
      <c r="F10" s="40"/>
      <c r="G10" s="40"/>
      <c r="H10" s="40"/>
      <c r="I10" s="40"/>
      <c r="J10" s="40"/>
      <c r="K10" s="41"/>
      <c r="L10" s="334"/>
      <c r="M10" s="334"/>
      <c r="N10" s="39" t="s">
        <v>273</v>
      </c>
      <c r="O10" s="40"/>
      <c r="P10" s="40"/>
      <c r="Q10" s="40"/>
      <c r="R10" s="40"/>
      <c r="S10" s="40"/>
      <c r="T10" s="40"/>
      <c r="U10" s="40"/>
      <c r="V10" s="40"/>
      <c r="W10" s="40"/>
      <c r="X10" s="40"/>
      <c r="Y10" s="40"/>
      <c r="Z10" s="40"/>
      <c r="AA10" s="41"/>
      <c r="AB10" s="28"/>
    </row>
    <row r="11" spans="1:29" ht="18" customHeight="1">
      <c r="A11" s="26"/>
      <c r="B11" s="33">
        <v>3</v>
      </c>
      <c r="C11" s="39" t="s">
        <v>156</v>
      </c>
      <c r="D11" s="40"/>
      <c r="E11" s="40"/>
      <c r="F11" s="40"/>
      <c r="G11" s="40"/>
      <c r="H11" s="40"/>
      <c r="I11" s="40"/>
      <c r="J11" s="40"/>
      <c r="K11" s="41"/>
      <c r="L11" s="334"/>
      <c r="M11" s="334"/>
      <c r="N11" s="39" t="s">
        <v>273</v>
      </c>
      <c r="O11" s="40"/>
      <c r="P11" s="40"/>
      <c r="Q11" s="40"/>
      <c r="R11" s="40"/>
      <c r="S11" s="40"/>
      <c r="T11" s="40"/>
      <c r="U11" s="40"/>
      <c r="V11" s="40"/>
      <c r="W11" s="40"/>
      <c r="X11" s="40"/>
      <c r="Y11" s="40"/>
      <c r="Z11" s="40"/>
      <c r="AA11" s="41"/>
      <c r="AB11" s="28"/>
    </row>
    <row r="12" spans="1:29" ht="18" customHeight="1">
      <c r="A12" s="26"/>
      <c r="B12" s="33">
        <v>4</v>
      </c>
      <c r="C12" s="39" t="s">
        <v>157</v>
      </c>
      <c r="D12" s="40"/>
      <c r="E12" s="40"/>
      <c r="F12" s="40"/>
      <c r="G12" s="40"/>
      <c r="H12" s="40"/>
      <c r="I12" s="40"/>
      <c r="J12" s="40"/>
      <c r="K12" s="41"/>
      <c r="L12" s="334" t="s">
        <v>44</v>
      </c>
      <c r="M12" s="334"/>
      <c r="N12" s="39" t="s">
        <v>273</v>
      </c>
      <c r="O12" s="40"/>
      <c r="P12" s="40"/>
      <c r="Q12" s="40"/>
      <c r="R12" s="40"/>
      <c r="S12" s="40"/>
      <c r="T12" s="40"/>
      <c r="U12" s="40"/>
      <c r="V12" s="40"/>
      <c r="W12" s="40"/>
      <c r="X12" s="40"/>
      <c r="Y12" s="40"/>
      <c r="Z12" s="40"/>
      <c r="AA12" s="41"/>
      <c r="AB12" s="28"/>
    </row>
    <row r="13" spans="1:29" ht="18" customHeight="1">
      <c r="A13" s="26"/>
      <c r="B13" s="33">
        <v>5</v>
      </c>
      <c r="C13" s="39" t="s">
        <v>158</v>
      </c>
      <c r="D13" s="40"/>
      <c r="E13" s="40"/>
      <c r="F13" s="40"/>
      <c r="G13" s="40"/>
      <c r="H13" s="40"/>
      <c r="I13" s="40"/>
      <c r="J13" s="40"/>
      <c r="K13" s="41"/>
      <c r="L13" s="334"/>
      <c r="M13" s="334"/>
      <c r="N13" s="39" t="s">
        <v>273</v>
      </c>
      <c r="O13" s="40"/>
      <c r="P13" s="40"/>
      <c r="Q13" s="40"/>
      <c r="R13" s="40"/>
      <c r="S13" s="40"/>
      <c r="T13" s="40"/>
      <c r="U13" s="40"/>
      <c r="V13" s="40"/>
      <c r="W13" s="40"/>
      <c r="X13" s="40"/>
      <c r="Y13" s="40"/>
      <c r="Z13" s="40"/>
      <c r="AA13" s="41"/>
      <c r="AB13" s="28"/>
    </row>
    <row r="14" spans="1:29" ht="18" customHeight="1">
      <c r="A14" s="26"/>
      <c r="B14" s="33">
        <v>6</v>
      </c>
      <c r="C14" s="115" t="s">
        <v>833</v>
      </c>
      <c r="D14" s="114"/>
      <c r="E14" s="114"/>
      <c r="F14" s="114"/>
      <c r="G14" s="114"/>
      <c r="H14" s="114"/>
      <c r="I14" s="114"/>
      <c r="J14" s="114"/>
      <c r="K14" s="116"/>
      <c r="L14" s="336"/>
      <c r="M14" s="336"/>
      <c r="N14" s="115" t="s">
        <v>273</v>
      </c>
      <c r="O14" s="114"/>
      <c r="P14" s="114"/>
      <c r="Q14" s="114"/>
      <c r="R14" s="114"/>
      <c r="S14" s="114"/>
      <c r="T14" s="114"/>
      <c r="U14" s="114"/>
      <c r="V14" s="114"/>
      <c r="W14" s="114"/>
      <c r="X14" s="114"/>
      <c r="Y14" s="114"/>
      <c r="Z14" s="114"/>
      <c r="AA14" s="116"/>
      <c r="AB14" s="28"/>
      <c r="AC14" s="111" t="s">
        <v>834</v>
      </c>
    </row>
    <row r="15" spans="1:29" ht="18" customHeight="1">
      <c r="A15" s="26"/>
      <c r="B15" s="33">
        <v>7</v>
      </c>
      <c r="C15" s="71" t="s">
        <v>752</v>
      </c>
      <c r="D15" s="72"/>
      <c r="E15" s="72"/>
      <c r="F15" s="72"/>
      <c r="G15" s="72"/>
      <c r="H15" s="72"/>
      <c r="I15" s="72"/>
      <c r="J15" s="72"/>
      <c r="K15" s="73"/>
      <c r="L15" s="335"/>
      <c r="M15" s="335"/>
      <c r="N15" s="71" t="s">
        <v>273</v>
      </c>
      <c r="O15" s="72"/>
      <c r="P15" s="72"/>
      <c r="Q15" s="72"/>
      <c r="R15" s="72"/>
      <c r="S15" s="72"/>
      <c r="T15" s="72"/>
      <c r="U15" s="72"/>
      <c r="V15" s="72"/>
      <c r="W15" s="72"/>
      <c r="X15" s="72"/>
      <c r="Y15" s="72"/>
      <c r="Z15" s="72"/>
      <c r="AA15" s="73"/>
      <c r="AB15" s="28"/>
      <c r="AC15" s="70" t="s">
        <v>750</v>
      </c>
    </row>
    <row r="16" spans="1:29" ht="18" customHeight="1">
      <c r="A16" s="26"/>
      <c r="B16" s="33">
        <v>8</v>
      </c>
      <c r="C16" s="39" t="s">
        <v>135</v>
      </c>
      <c r="D16" s="40"/>
      <c r="E16" s="40"/>
      <c r="F16" s="40"/>
      <c r="G16" s="40"/>
      <c r="H16" s="40"/>
      <c r="I16" s="40"/>
      <c r="J16" s="40"/>
      <c r="K16" s="41"/>
      <c r="L16" s="334"/>
      <c r="M16" s="334"/>
      <c r="N16" s="39" t="s">
        <v>273</v>
      </c>
      <c r="O16" s="40"/>
      <c r="P16" s="40"/>
      <c r="Q16" s="40"/>
      <c r="R16" s="40"/>
      <c r="S16" s="40"/>
      <c r="T16" s="40"/>
      <c r="U16" s="40"/>
      <c r="V16" s="40"/>
      <c r="W16" s="40"/>
      <c r="X16" s="40"/>
      <c r="Y16" s="40"/>
      <c r="Z16" s="40"/>
      <c r="AA16" s="41"/>
      <c r="AB16" s="28"/>
    </row>
    <row r="17" spans="1:28" ht="18" customHeight="1">
      <c r="A17" s="26"/>
      <c r="B17" s="33">
        <v>9</v>
      </c>
      <c r="C17" s="39" t="s">
        <v>159</v>
      </c>
      <c r="D17" s="40"/>
      <c r="E17" s="40"/>
      <c r="F17" s="40"/>
      <c r="G17" s="40"/>
      <c r="H17" s="40"/>
      <c r="I17" s="40"/>
      <c r="J17" s="40"/>
      <c r="K17" s="41"/>
      <c r="L17" s="334"/>
      <c r="M17" s="334"/>
      <c r="N17" s="39" t="s">
        <v>273</v>
      </c>
      <c r="O17" s="40"/>
      <c r="P17" s="40"/>
      <c r="Q17" s="40"/>
      <c r="R17" s="40"/>
      <c r="S17" s="40"/>
      <c r="T17" s="40"/>
      <c r="U17" s="40"/>
      <c r="V17" s="40"/>
      <c r="W17" s="40"/>
      <c r="X17" s="40"/>
      <c r="Y17" s="40"/>
      <c r="Z17" s="40"/>
      <c r="AA17" s="41"/>
      <c r="AB17" s="28"/>
    </row>
    <row r="18" spans="1:28" ht="18" customHeight="1">
      <c r="A18" s="26"/>
      <c r="B18" s="33">
        <v>10</v>
      </c>
      <c r="C18" s="39" t="s">
        <v>60</v>
      </c>
      <c r="D18" s="40"/>
      <c r="E18" s="40"/>
      <c r="F18" s="40"/>
      <c r="G18" s="40"/>
      <c r="H18" s="40"/>
      <c r="I18" s="40"/>
      <c r="J18" s="40"/>
      <c r="K18" s="41"/>
      <c r="L18" s="334"/>
      <c r="M18" s="334"/>
      <c r="N18" s="39" t="s">
        <v>273</v>
      </c>
      <c r="O18" s="40"/>
      <c r="P18" s="40"/>
      <c r="Q18" s="40"/>
      <c r="R18" s="40"/>
      <c r="S18" s="40"/>
      <c r="T18" s="40"/>
      <c r="U18" s="40"/>
      <c r="V18" s="40"/>
      <c r="W18" s="40"/>
      <c r="X18" s="40"/>
      <c r="Y18" s="40"/>
      <c r="Z18" s="40"/>
      <c r="AA18" s="41"/>
      <c r="AB18" s="28"/>
    </row>
    <row r="19" spans="1:28" ht="18" customHeight="1">
      <c r="A19" s="26"/>
      <c r="B19" s="33">
        <v>11</v>
      </c>
      <c r="C19" s="39" t="s">
        <v>160</v>
      </c>
      <c r="D19" s="40"/>
      <c r="E19" s="40"/>
      <c r="F19" s="40"/>
      <c r="G19" s="40"/>
      <c r="H19" s="40"/>
      <c r="I19" s="40"/>
      <c r="J19" s="40"/>
      <c r="K19" s="41"/>
      <c r="L19" s="334"/>
      <c r="M19" s="334"/>
      <c r="N19" s="39" t="s">
        <v>273</v>
      </c>
      <c r="O19" s="40"/>
      <c r="P19" s="40"/>
      <c r="Q19" s="40"/>
      <c r="R19" s="40"/>
      <c r="S19" s="40"/>
      <c r="T19" s="40"/>
      <c r="U19" s="40"/>
      <c r="V19" s="40"/>
      <c r="W19" s="40"/>
      <c r="X19" s="40"/>
      <c r="Y19" s="40"/>
      <c r="Z19" s="40"/>
      <c r="AA19" s="41"/>
      <c r="AB19" s="28"/>
    </row>
    <row r="20" spans="1:28" ht="18" customHeight="1">
      <c r="A20" s="26"/>
      <c r="B20" s="33">
        <v>12</v>
      </c>
      <c r="C20" s="39" t="s">
        <v>246</v>
      </c>
      <c r="D20" s="40"/>
      <c r="E20" s="40"/>
      <c r="F20" s="40"/>
      <c r="G20" s="40"/>
      <c r="H20" s="40"/>
      <c r="I20" s="40"/>
      <c r="J20" s="40"/>
      <c r="K20" s="41"/>
      <c r="L20" s="334"/>
      <c r="M20" s="334"/>
      <c r="N20" s="39" t="s">
        <v>273</v>
      </c>
      <c r="O20" s="40"/>
      <c r="P20" s="40"/>
      <c r="Q20" s="40"/>
      <c r="R20" s="40"/>
      <c r="S20" s="40"/>
      <c r="T20" s="40"/>
      <c r="U20" s="40"/>
      <c r="V20" s="40"/>
      <c r="W20" s="40"/>
      <c r="X20" s="40"/>
      <c r="Y20" s="40"/>
      <c r="Z20" s="40"/>
      <c r="AA20" s="41"/>
      <c r="AB20" s="28"/>
    </row>
    <row r="21" spans="1:28" ht="18" customHeight="1">
      <c r="A21" s="26"/>
      <c r="B21" s="33">
        <v>13</v>
      </c>
      <c r="C21" s="39" t="s">
        <v>247</v>
      </c>
      <c r="D21" s="40"/>
      <c r="E21" s="40"/>
      <c r="F21" s="40"/>
      <c r="G21" s="40"/>
      <c r="H21" s="40"/>
      <c r="I21" s="40"/>
      <c r="J21" s="40"/>
      <c r="K21" s="41"/>
      <c r="L21" s="334"/>
      <c r="M21" s="334"/>
      <c r="N21" s="39" t="s">
        <v>273</v>
      </c>
      <c r="O21" s="40"/>
      <c r="P21" s="40"/>
      <c r="Q21" s="40"/>
      <c r="R21" s="40"/>
      <c r="S21" s="40"/>
      <c r="T21" s="40"/>
      <c r="U21" s="40"/>
      <c r="V21" s="40"/>
      <c r="W21" s="40"/>
      <c r="X21" s="40"/>
      <c r="Y21" s="40"/>
      <c r="Z21" s="40"/>
      <c r="AA21" s="41"/>
      <c r="AB21" s="28"/>
    </row>
    <row r="22" spans="1:28" ht="18" customHeight="1">
      <c r="A22" s="26"/>
      <c r="B22" s="33">
        <v>14</v>
      </c>
      <c r="C22" s="39" t="s">
        <v>248</v>
      </c>
      <c r="D22" s="40"/>
      <c r="E22" s="40"/>
      <c r="F22" s="40"/>
      <c r="G22" s="40"/>
      <c r="H22" s="40"/>
      <c r="I22" s="40"/>
      <c r="J22" s="40"/>
      <c r="K22" s="41"/>
      <c r="L22" s="334"/>
      <c r="M22" s="334"/>
      <c r="N22" s="39" t="s">
        <v>273</v>
      </c>
      <c r="O22" s="40"/>
      <c r="P22" s="40"/>
      <c r="Q22" s="40"/>
      <c r="R22" s="40"/>
      <c r="S22" s="40"/>
      <c r="T22" s="40"/>
      <c r="U22" s="40"/>
      <c r="V22" s="40"/>
      <c r="W22" s="40"/>
      <c r="X22" s="40"/>
      <c r="Y22" s="40"/>
      <c r="Z22" s="40"/>
      <c r="AA22" s="41"/>
      <c r="AB22" s="28"/>
    </row>
    <row r="23" spans="1:28" ht="18" customHeight="1">
      <c r="A23" s="26"/>
      <c r="B23" s="33">
        <v>15</v>
      </c>
      <c r="C23" s="39" t="s">
        <v>136</v>
      </c>
      <c r="D23" s="40"/>
      <c r="E23" s="40"/>
      <c r="F23" s="40"/>
      <c r="G23" s="40"/>
      <c r="H23" s="40"/>
      <c r="I23" s="40"/>
      <c r="J23" s="40"/>
      <c r="K23" s="41"/>
      <c r="L23" s="334" t="s">
        <v>44</v>
      </c>
      <c r="M23" s="334"/>
      <c r="N23" s="39" t="s">
        <v>273</v>
      </c>
      <c r="O23" s="40"/>
      <c r="P23" s="40"/>
      <c r="Q23" s="40"/>
      <c r="R23" s="40"/>
      <c r="S23" s="40"/>
      <c r="T23" s="40"/>
      <c r="U23" s="40"/>
      <c r="V23" s="40"/>
      <c r="W23" s="40"/>
      <c r="X23" s="40"/>
      <c r="Y23" s="40"/>
      <c r="Z23" s="40"/>
      <c r="AA23" s="41"/>
      <c r="AB23" s="28"/>
    </row>
    <row r="24" spans="1:28" ht="18" customHeight="1">
      <c r="A24" s="26"/>
      <c r="B24" s="33">
        <v>16</v>
      </c>
      <c r="C24" s="39" t="s">
        <v>137</v>
      </c>
      <c r="D24" s="40"/>
      <c r="E24" s="40"/>
      <c r="F24" s="40"/>
      <c r="G24" s="40"/>
      <c r="H24" s="40"/>
      <c r="I24" s="40"/>
      <c r="J24" s="40"/>
      <c r="K24" s="41"/>
      <c r="L24" s="334" t="s">
        <v>44</v>
      </c>
      <c r="M24" s="334"/>
      <c r="N24" s="39" t="s">
        <v>273</v>
      </c>
      <c r="O24" s="40"/>
      <c r="P24" s="40"/>
      <c r="Q24" s="40"/>
      <c r="R24" s="40"/>
      <c r="S24" s="40"/>
      <c r="T24" s="40"/>
      <c r="U24" s="40"/>
      <c r="V24" s="40"/>
      <c r="W24" s="40"/>
      <c r="X24" s="40"/>
      <c r="Y24" s="40"/>
      <c r="Z24" s="40"/>
      <c r="AA24" s="41"/>
      <c r="AB24" s="28"/>
    </row>
    <row r="25" spans="1:28" ht="18" customHeight="1">
      <c r="A25" s="26"/>
      <c r="B25" s="33">
        <v>17</v>
      </c>
      <c r="C25" s="39" t="s">
        <v>138</v>
      </c>
      <c r="D25" s="40"/>
      <c r="E25" s="40"/>
      <c r="F25" s="40"/>
      <c r="G25" s="40"/>
      <c r="H25" s="40"/>
      <c r="I25" s="40"/>
      <c r="J25" s="40"/>
      <c r="K25" s="41"/>
      <c r="L25" s="334" t="s">
        <v>44</v>
      </c>
      <c r="M25" s="334"/>
      <c r="N25" s="39" t="s">
        <v>273</v>
      </c>
      <c r="O25" s="40"/>
      <c r="P25" s="40"/>
      <c r="Q25" s="40"/>
      <c r="R25" s="40"/>
      <c r="S25" s="40"/>
      <c r="T25" s="40"/>
      <c r="U25" s="40"/>
      <c r="V25" s="40"/>
      <c r="W25" s="40"/>
      <c r="X25" s="40"/>
      <c r="Y25" s="40"/>
      <c r="Z25" s="40"/>
      <c r="AA25" s="41"/>
      <c r="AB25" s="28"/>
    </row>
    <row r="26" spans="1:28" ht="18" customHeight="1">
      <c r="A26" s="26"/>
      <c r="B26" s="33">
        <v>18</v>
      </c>
      <c r="C26" s="39" t="s">
        <v>139</v>
      </c>
      <c r="D26" s="40"/>
      <c r="E26" s="40"/>
      <c r="F26" s="40"/>
      <c r="G26" s="40"/>
      <c r="H26" s="40"/>
      <c r="I26" s="40"/>
      <c r="J26" s="40"/>
      <c r="K26" s="41"/>
      <c r="L26" s="334" t="s">
        <v>44</v>
      </c>
      <c r="M26" s="334"/>
      <c r="N26" s="39" t="s">
        <v>273</v>
      </c>
      <c r="O26" s="40"/>
      <c r="P26" s="40"/>
      <c r="Q26" s="40"/>
      <c r="R26" s="40"/>
      <c r="S26" s="40"/>
      <c r="T26" s="40"/>
      <c r="U26" s="40"/>
      <c r="V26" s="40"/>
      <c r="W26" s="40"/>
      <c r="X26" s="40"/>
      <c r="Y26" s="40"/>
      <c r="Z26" s="40"/>
      <c r="AA26" s="41"/>
      <c r="AB26" s="28"/>
    </row>
    <row r="27" spans="1:28" ht="18" customHeight="1">
      <c r="A27" s="26"/>
      <c r="B27" s="33">
        <v>19</v>
      </c>
      <c r="C27" s="39" t="s">
        <v>64</v>
      </c>
      <c r="D27" s="40"/>
      <c r="E27" s="40"/>
      <c r="F27" s="40"/>
      <c r="G27" s="40"/>
      <c r="H27" s="40"/>
      <c r="I27" s="40"/>
      <c r="J27" s="40"/>
      <c r="K27" s="41"/>
      <c r="L27" s="334"/>
      <c r="M27" s="334"/>
      <c r="N27" s="39" t="s">
        <v>273</v>
      </c>
      <c r="O27" s="40"/>
      <c r="P27" s="40"/>
      <c r="Q27" s="40"/>
      <c r="R27" s="40"/>
      <c r="S27" s="40"/>
      <c r="T27" s="40"/>
      <c r="U27" s="40"/>
      <c r="V27" s="40"/>
      <c r="W27" s="40"/>
      <c r="X27" s="40"/>
      <c r="Y27" s="40"/>
      <c r="Z27" s="40"/>
      <c r="AA27" s="41"/>
      <c r="AB27" s="28"/>
    </row>
    <row r="28" spans="1:28" ht="18" customHeight="1">
      <c r="A28" s="26"/>
      <c r="B28" s="33">
        <v>20</v>
      </c>
      <c r="C28" s="39" t="s">
        <v>65</v>
      </c>
      <c r="D28" s="40"/>
      <c r="E28" s="40"/>
      <c r="F28" s="40"/>
      <c r="G28" s="40"/>
      <c r="H28" s="40"/>
      <c r="I28" s="40"/>
      <c r="J28" s="40"/>
      <c r="K28" s="41"/>
      <c r="L28" s="334"/>
      <c r="M28" s="334"/>
      <c r="N28" s="39" t="s">
        <v>273</v>
      </c>
      <c r="O28" s="40"/>
      <c r="P28" s="40"/>
      <c r="Q28" s="40"/>
      <c r="R28" s="40"/>
      <c r="S28" s="40"/>
      <c r="T28" s="40"/>
      <c r="U28" s="40"/>
      <c r="V28" s="40"/>
      <c r="W28" s="40"/>
      <c r="X28" s="40"/>
      <c r="Y28" s="40"/>
      <c r="Z28" s="40"/>
      <c r="AA28" s="41"/>
      <c r="AB28" s="28"/>
    </row>
    <row r="29" spans="1:28" ht="18" customHeight="1">
      <c r="A29" s="26"/>
      <c r="B29" s="33">
        <v>21</v>
      </c>
      <c r="C29" s="39" t="s">
        <v>161</v>
      </c>
      <c r="D29" s="40"/>
      <c r="E29" s="40"/>
      <c r="F29" s="40"/>
      <c r="G29" s="40"/>
      <c r="H29" s="40"/>
      <c r="I29" s="40"/>
      <c r="J29" s="40"/>
      <c r="K29" s="41"/>
      <c r="L29" s="334"/>
      <c r="M29" s="334"/>
      <c r="N29" s="39" t="s">
        <v>273</v>
      </c>
      <c r="O29" s="40"/>
      <c r="P29" s="40"/>
      <c r="Q29" s="40"/>
      <c r="R29" s="40"/>
      <c r="S29" s="40"/>
      <c r="T29" s="40"/>
      <c r="U29" s="40"/>
      <c r="V29" s="40"/>
      <c r="W29" s="40"/>
      <c r="X29" s="40"/>
      <c r="Y29" s="40"/>
      <c r="Z29" s="40"/>
      <c r="AA29" s="41"/>
      <c r="AB29" s="28"/>
    </row>
    <row r="30" spans="1:28" ht="18" customHeight="1">
      <c r="A30" s="26"/>
      <c r="B30" s="33">
        <v>22</v>
      </c>
      <c r="C30" s="39" t="s">
        <v>162</v>
      </c>
      <c r="D30" s="40"/>
      <c r="E30" s="40"/>
      <c r="F30" s="40"/>
      <c r="G30" s="40"/>
      <c r="H30" s="40"/>
      <c r="I30" s="40"/>
      <c r="J30" s="40"/>
      <c r="K30" s="41"/>
      <c r="L30" s="334"/>
      <c r="M30" s="334"/>
      <c r="N30" s="39" t="s">
        <v>273</v>
      </c>
      <c r="O30" s="40"/>
      <c r="P30" s="40"/>
      <c r="Q30" s="40"/>
      <c r="R30" s="40"/>
      <c r="S30" s="40"/>
      <c r="T30" s="40"/>
      <c r="U30" s="40"/>
      <c r="V30" s="40"/>
      <c r="W30" s="40"/>
      <c r="X30" s="40"/>
      <c r="Y30" s="40"/>
      <c r="Z30" s="40"/>
      <c r="AA30" s="41"/>
      <c r="AB30" s="28"/>
    </row>
    <row r="31" spans="1:28" ht="18" customHeight="1">
      <c r="A31" s="26"/>
      <c r="B31" s="33">
        <v>23</v>
      </c>
      <c r="C31" s="39" t="s">
        <v>140</v>
      </c>
      <c r="D31" s="40"/>
      <c r="E31" s="40"/>
      <c r="F31" s="40"/>
      <c r="G31" s="40"/>
      <c r="H31" s="40"/>
      <c r="I31" s="40"/>
      <c r="J31" s="40"/>
      <c r="K31" s="41"/>
      <c r="L31" s="334"/>
      <c r="M31" s="334"/>
      <c r="N31" s="39" t="s">
        <v>273</v>
      </c>
      <c r="O31" s="40"/>
      <c r="P31" s="40"/>
      <c r="Q31" s="40"/>
      <c r="R31" s="40"/>
      <c r="S31" s="40"/>
      <c r="T31" s="40"/>
      <c r="U31" s="40"/>
      <c r="V31" s="40"/>
      <c r="W31" s="40"/>
      <c r="X31" s="40"/>
      <c r="Y31" s="40"/>
      <c r="Z31" s="40"/>
      <c r="AA31" s="41"/>
      <c r="AB31" s="28"/>
    </row>
    <row r="32" spans="1:28" ht="18" customHeight="1">
      <c r="A32" s="26"/>
      <c r="B32" s="33">
        <v>24</v>
      </c>
      <c r="C32" s="39" t="s">
        <v>249</v>
      </c>
      <c r="D32" s="40"/>
      <c r="E32" s="40"/>
      <c r="F32" s="40"/>
      <c r="G32" s="40"/>
      <c r="H32" s="40"/>
      <c r="I32" s="40"/>
      <c r="J32" s="40"/>
      <c r="K32" s="41"/>
      <c r="L32" s="334"/>
      <c r="M32" s="334"/>
      <c r="N32" s="39" t="s">
        <v>273</v>
      </c>
      <c r="O32" s="40"/>
      <c r="P32" s="40"/>
      <c r="Q32" s="40"/>
      <c r="R32" s="40"/>
      <c r="S32" s="40"/>
      <c r="T32" s="40"/>
      <c r="U32" s="40"/>
      <c r="V32" s="40"/>
      <c r="W32" s="40"/>
      <c r="X32" s="40"/>
      <c r="Y32" s="40"/>
      <c r="Z32" s="40"/>
      <c r="AA32" s="41"/>
      <c r="AB32" s="28"/>
    </row>
    <row r="33" spans="1:28" ht="18" customHeight="1">
      <c r="A33" s="26"/>
      <c r="B33" s="33">
        <v>25</v>
      </c>
      <c r="C33" s="39" t="s">
        <v>141</v>
      </c>
      <c r="D33" s="40"/>
      <c r="E33" s="40"/>
      <c r="F33" s="40"/>
      <c r="G33" s="40"/>
      <c r="H33" s="40"/>
      <c r="I33" s="40"/>
      <c r="J33" s="40"/>
      <c r="K33" s="41"/>
      <c r="L33" s="334"/>
      <c r="M33" s="334"/>
      <c r="N33" s="39" t="s">
        <v>273</v>
      </c>
      <c r="O33" s="40"/>
      <c r="P33" s="40"/>
      <c r="Q33" s="40"/>
      <c r="R33" s="40"/>
      <c r="S33" s="40"/>
      <c r="T33" s="40"/>
      <c r="U33" s="40"/>
      <c r="V33" s="40"/>
      <c r="W33" s="40"/>
      <c r="X33" s="40"/>
      <c r="Y33" s="40"/>
      <c r="Z33" s="40"/>
      <c r="AA33" s="41"/>
      <c r="AB33" s="28"/>
    </row>
    <row r="34" spans="1:28" ht="18" customHeight="1">
      <c r="A34" s="26"/>
      <c r="B34" s="33">
        <v>26</v>
      </c>
      <c r="C34" s="39" t="s">
        <v>173</v>
      </c>
      <c r="D34" s="40"/>
      <c r="E34" s="40"/>
      <c r="F34" s="40"/>
      <c r="G34" s="40"/>
      <c r="H34" s="40"/>
      <c r="I34" s="40"/>
      <c r="J34" s="40"/>
      <c r="K34" s="41"/>
      <c r="L34" s="334"/>
      <c r="M34" s="334"/>
      <c r="N34" s="39" t="s">
        <v>273</v>
      </c>
      <c r="O34" s="40"/>
      <c r="P34" s="40"/>
      <c r="Q34" s="40"/>
      <c r="R34" s="40"/>
      <c r="S34" s="40"/>
      <c r="T34" s="40"/>
      <c r="U34" s="40"/>
      <c r="V34" s="40"/>
      <c r="W34" s="40"/>
      <c r="X34" s="40"/>
      <c r="Y34" s="40"/>
      <c r="Z34" s="40"/>
      <c r="AA34" s="41"/>
      <c r="AB34" s="28"/>
    </row>
    <row r="35" spans="1:28" ht="18" customHeight="1">
      <c r="A35" s="26"/>
      <c r="B35" s="33">
        <v>27</v>
      </c>
      <c r="C35" s="39" t="s">
        <v>142</v>
      </c>
      <c r="D35" s="40"/>
      <c r="E35" s="40"/>
      <c r="F35" s="40"/>
      <c r="G35" s="40"/>
      <c r="H35" s="40"/>
      <c r="I35" s="40"/>
      <c r="J35" s="40"/>
      <c r="K35" s="41"/>
      <c r="L35" s="334" t="s">
        <v>44</v>
      </c>
      <c r="M35" s="334"/>
      <c r="N35" s="39" t="s">
        <v>273</v>
      </c>
      <c r="O35" s="40"/>
      <c r="P35" s="40"/>
      <c r="Q35" s="40"/>
      <c r="R35" s="40"/>
      <c r="S35" s="40"/>
      <c r="T35" s="40"/>
      <c r="U35" s="40"/>
      <c r="V35" s="40"/>
      <c r="W35" s="40"/>
      <c r="X35" s="40"/>
      <c r="Y35" s="40"/>
      <c r="Z35" s="40"/>
      <c r="AA35" s="41"/>
      <c r="AB35" s="28"/>
    </row>
    <row r="36" spans="1:28" ht="18" customHeight="1">
      <c r="A36" s="26"/>
      <c r="B36" s="33">
        <v>28</v>
      </c>
      <c r="C36" s="39" t="s">
        <v>163</v>
      </c>
      <c r="D36" s="40"/>
      <c r="E36" s="40"/>
      <c r="F36" s="40"/>
      <c r="G36" s="40"/>
      <c r="H36" s="40"/>
      <c r="I36" s="40"/>
      <c r="J36" s="40"/>
      <c r="K36" s="41"/>
      <c r="L36" s="334"/>
      <c r="M36" s="334"/>
      <c r="N36" s="39" t="s">
        <v>273</v>
      </c>
      <c r="O36" s="40"/>
      <c r="P36" s="40"/>
      <c r="Q36" s="40"/>
      <c r="R36" s="40"/>
      <c r="S36" s="40"/>
      <c r="T36" s="40"/>
      <c r="U36" s="40"/>
      <c r="V36" s="40"/>
      <c r="W36" s="40"/>
      <c r="X36" s="40"/>
      <c r="Y36" s="40"/>
      <c r="Z36" s="40"/>
      <c r="AA36" s="41"/>
      <c r="AB36" s="28"/>
    </row>
    <row r="37" spans="1:28" ht="18" customHeight="1">
      <c r="A37" s="26"/>
      <c r="B37" s="33">
        <v>29</v>
      </c>
      <c r="C37" s="39" t="s">
        <v>143</v>
      </c>
      <c r="D37" s="40"/>
      <c r="E37" s="40"/>
      <c r="F37" s="40"/>
      <c r="G37" s="40"/>
      <c r="H37" s="40"/>
      <c r="I37" s="40"/>
      <c r="J37" s="40"/>
      <c r="K37" s="41"/>
      <c r="L37" s="334"/>
      <c r="M37" s="334"/>
      <c r="N37" s="39" t="s">
        <v>273</v>
      </c>
      <c r="O37" s="40"/>
      <c r="P37" s="40"/>
      <c r="Q37" s="40"/>
      <c r="R37" s="40"/>
      <c r="S37" s="40"/>
      <c r="T37" s="40"/>
      <c r="U37" s="40"/>
      <c r="V37" s="40"/>
      <c r="W37" s="40"/>
      <c r="X37" s="40"/>
      <c r="Y37" s="40"/>
      <c r="Z37" s="40"/>
      <c r="AA37" s="41"/>
      <c r="AB37" s="28"/>
    </row>
    <row r="38" spans="1:28" ht="18" customHeight="1">
      <c r="A38" s="26"/>
      <c r="B38" s="33">
        <v>30</v>
      </c>
      <c r="C38" s="39" t="s">
        <v>61</v>
      </c>
      <c r="D38" s="40"/>
      <c r="E38" s="40"/>
      <c r="F38" s="40"/>
      <c r="G38" s="40"/>
      <c r="H38" s="40"/>
      <c r="I38" s="40"/>
      <c r="J38" s="40"/>
      <c r="K38" s="41"/>
      <c r="L38" s="334"/>
      <c r="M38" s="334"/>
      <c r="N38" s="39" t="s">
        <v>273</v>
      </c>
      <c r="O38" s="40"/>
      <c r="P38" s="40"/>
      <c r="Q38" s="40"/>
      <c r="R38" s="40"/>
      <c r="S38" s="40"/>
      <c r="T38" s="40"/>
      <c r="U38" s="40"/>
      <c r="V38" s="40"/>
      <c r="W38" s="40"/>
      <c r="X38" s="40"/>
      <c r="Y38" s="40"/>
      <c r="Z38" s="40"/>
      <c r="AA38" s="41"/>
      <c r="AB38" s="28"/>
    </row>
    <row r="39" spans="1:28" ht="18" customHeight="1">
      <c r="A39" s="26"/>
      <c r="B39" s="33">
        <v>31</v>
      </c>
      <c r="C39" s="39" t="s">
        <v>62</v>
      </c>
      <c r="D39" s="40"/>
      <c r="E39" s="40"/>
      <c r="F39" s="40"/>
      <c r="G39" s="40"/>
      <c r="H39" s="40"/>
      <c r="I39" s="40"/>
      <c r="J39" s="40"/>
      <c r="K39" s="41"/>
      <c r="L39" s="334"/>
      <c r="M39" s="334"/>
      <c r="N39" s="39" t="s">
        <v>273</v>
      </c>
      <c r="O39" s="40"/>
      <c r="P39" s="40"/>
      <c r="Q39" s="40"/>
      <c r="R39" s="40"/>
      <c r="S39" s="40"/>
      <c r="T39" s="40"/>
      <c r="U39" s="40"/>
      <c r="V39" s="40"/>
      <c r="W39" s="40"/>
      <c r="X39" s="40"/>
      <c r="Y39" s="40"/>
      <c r="Z39" s="40"/>
      <c r="AA39" s="41"/>
      <c r="AB39" s="28"/>
    </row>
    <row r="40" spans="1:28" ht="18" customHeight="1">
      <c r="A40" s="26"/>
      <c r="B40" s="33">
        <v>32</v>
      </c>
      <c r="C40" s="39" t="s">
        <v>144</v>
      </c>
      <c r="D40" s="40"/>
      <c r="E40" s="40"/>
      <c r="F40" s="40"/>
      <c r="G40" s="40"/>
      <c r="H40" s="40"/>
      <c r="I40" s="40"/>
      <c r="J40" s="40"/>
      <c r="K40" s="41"/>
      <c r="L40" s="334" t="s">
        <v>44</v>
      </c>
      <c r="M40" s="334"/>
      <c r="N40" s="39" t="s">
        <v>273</v>
      </c>
      <c r="O40" s="40"/>
      <c r="P40" s="40"/>
      <c r="Q40" s="40"/>
      <c r="R40" s="40"/>
      <c r="S40" s="40"/>
      <c r="T40" s="40"/>
      <c r="U40" s="40"/>
      <c r="V40" s="40"/>
      <c r="W40" s="40"/>
      <c r="X40" s="40"/>
      <c r="Y40" s="40"/>
      <c r="Z40" s="40"/>
      <c r="AA40" s="41"/>
      <c r="AB40" s="28"/>
    </row>
    <row r="41" spans="1:28" ht="18" customHeight="1">
      <c r="A41" s="26"/>
      <c r="B41" s="33">
        <v>33</v>
      </c>
      <c r="C41" s="39" t="s">
        <v>145</v>
      </c>
      <c r="D41" s="40"/>
      <c r="E41" s="40"/>
      <c r="F41" s="40"/>
      <c r="G41" s="40"/>
      <c r="H41" s="40"/>
      <c r="I41" s="40"/>
      <c r="J41" s="40"/>
      <c r="K41" s="41"/>
      <c r="L41" s="334" t="s">
        <v>44</v>
      </c>
      <c r="M41" s="334"/>
      <c r="N41" s="39" t="s">
        <v>273</v>
      </c>
      <c r="O41" s="40"/>
      <c r="P41" s="40"/>
      <c r="Q41" s="40"/>
      <c r="R41" s="40"/>
      <c r="S41" s="40"/>
      <c r="T41" s="40"/>
      <c r="U41" s="40"/>
      <c r="V41" s="40"/>
      <c r="W41" s="40"/>
      <c r="X41" s="40"/>
      <c r="Y41" s="40"/>
      <c r="Z41" s="40"/>
      <c r="AA41" s="41"/>
      <c r="AB41" s="28"/>
    </row>
    <row r="42" spans="1:28" ht="18" customHeight="1">
      <c r="A42" s="26"/>
      <c r="B42" s="33">
        <v>34</v>
      </c>
      <c r="C42" s="39" t="s">
        <v>146</v>
      </c>
      <c r="D42" s="40"/>
      <c r="E42" s="40"/>
      <c r="F42" s="40"/>
      <c r="G42" s="40"/>
      <c r="H42" s="40"/>
      <c r="I42" s="40"/>
      <c r="J42" s="40"/>
      <c r="K42" s="41"/>
      <c r="L42" s="334" t="s">
        <v>44</v>
      </c>
      <c r="M42" s="334"/>
      <c r="N42" s="39" t="s">
        <v>273</v>
      </c>
      <c r="O42" s="40"/>
      <c r="P42" s="40"/>
      <c r="Q42" s="40"/>
      <c r="R42" s="40"/>
      <c r="S42" s="40"/>
      <c r="T42" s="40"/>
      <c r="U42" s="40"/>
      <c r="V42" s="40"/>
      <c r="W42" s="40"/>
      <c r="X42" s="40"/>
      <c r="Y42" s="40"/>
      <c r="Z42" s="40"/>
      <c r="AA42" s="41"/>
      <c r="AB42" s="28"/>
    </row>
    <row r="43" spans="1:28" ht="18" customHeight="1">
      <c r="A43" s="26"/>
      <c r="B43" s="33">
        <v>35</v>
      </c>
      <c r="C43" s="39" t="s">
        <v>147</v>
      </c>
      <c r="D43" s="40"/>
      <c r="E43" s="40"/>
      <c r="F43" s="40"/>
      <c r="G43" s="40"/>
      <c r="H43" s="40"/>
      <c r="I43" s="40"/>
      <c r="J43" s="40"/>
      <c r="K43" s="41"/>
      <c r="L43" s="334" t="s">
        <v>44</v>
      </c>
      <c r="M43" s="334"/>
      <c r="N43" s="39" t="s">
        <v>273</v>
      </c>
      <c r="O43" s="40"/>
      <c r="P43" s="40"/>
      <c r="Q43" s="40"/>
      <c r="R43" s="40"/>
      <c r="S43" s="40"/>
      <c r="T43" s="40"/>
      <c r="U43" s="40"/>
      <c r="V43" s="40"/>
      <c r="W43" s="40"/>
      <c r="X43" s="40"/>
      <c r="Y43" s="40"/>
      <c r="Z43" s="40"/>
      <c r="AA43" s="41"/>
      <c r="AB43" s="28"/>
    </row>
    <row r="44" spans="1:28" ht="18" customHeight="1">
      <c r="A44" s="26"/>
      <c r="B44" s="33">
        <v>36</v>
      </c>
      <c r="C44" s="39" t="s">
        <v>148</v>
      </c>
      <c r="D44" s="40"/>
      <c r="E44" s="40"/>
      <c r="F44" s="40"/>
      <c r="G44" s="40"/>
      <c r="H44" s="40"/>
      <c r="I44" s="40"/>
      <c r="J44" s="40"/>
      <c r="K44" s="41"/>
      <c r="L44" s="334" t="s">
        <v>44</v>
      </c>
      <c r="M44" s="334"/>
      <c r="N44" s="39" t="s">
        <v>273</v>
      </c>
      <c r="O44" s="40"/>
      <c r="P44" s="40"/>
      <c r="Q44" s="40"/>
      <c r="R44" s="40"/>
      <c r="S44" s="40"/>
      <c r="T44" s="40"/>
      <c r="U44" s="40"/>
      <c r="V44" s="40"/>
      <c r="W44" s="40"/>
      <c r="X44" s="40"/>
      <c r="Y44" s="40"/>
      <c r="Z44" s="40"/>
      <c r="AA44" s="41"/>
      <c r="AB44" s="28"/>
    </row>
    <row r="45" spans="1:28" ht="18" customHeight="1">
      <c r="A45" s="26"/>
      <c r="B45" s="33">
        <v>37</v>
      </c>
      <c r="C45" s="39" t="s">
        <v>149</v>
      </c>
      <c r="D45" s="40"/>
      <c r="E45" s="40"/>
      <c r="F45" s="40"/>
      <c r="G45" s="40"/>
      <c r="H45" s="40"/>
      <c r="I45" s="40"/>
      <c r="J45" s="40"/>
      <c r="K45" s="41"/>
      <c r="L45" s="334" t="s">
        <v>44</v>
      </c>
      <c r="M45" s="334"/>
      <c r="N45" s="39" t="s">
        <v>273</v>
      </c>
      <c r="O45" s="40"/>
      <c r="P45" s="40"/>
      <c r="Q45" s="40"/>
      <c r="R45" s="40"/>
      <c r="S45" s="40"/>
      <c r="T45" s="40"/>
      <c r="U45" s="40"/>
      <c r="V45" s="40"/>
      <c r="W45" s="40"/>
      <c r="X45" s="40"/>
      <c r="Y45" s="40"/>
      <c r="Z45" s="40"/>
      <c r="AA45" s="41"/>
      <c r="AB45" s="28"/>
    </row>
    <row r="46" spans="1:28" ht="18" customHeight="1">
      <c r="A46" s="26"/>
      <c r="B46" s="33">
        <v>38</v>
      </c>
      <c r="C46" s="39" t="s">
        <v>63</v>
      </c>
      <c r="D46" s="40"/>
      <c r="E46" s="40"/>
      <c r="F46" s="40"/>
      <c r="G46" s="40"/>
      <c r="H46" s="40"/>
      <c r="I46" s="40"/>
      <c r="J46" s="40"/>
      <c r="K46" s="41"/>
      <c r="L46" s="334"/>
      <c r="M46" s="334"/>
      <c r="N46" s="39" t="s">
        <v>273</v>
      </c>
      <c r="O46" s="40"/>
      <c r="P46" s="40"/>
      <c r="Q46" s="40"/>
      <c r="R46" s="40"/>
      <c r="S46" s="40"/>
      <c r="T46" s="40"/>
      <c r="U46" s="40"/>
      <c r="V46" s="40"/>
      <c r="W46" s="40"/>
      <c r="X46" s="40"/>
      <c r="Y46" s="40"/>
      <c r="Z46" s="40"/>
      <c r="AA46" s="41"/>
      <c r="AB46" s="28"/>
    </row>
    <row r="47" spans="1:28" ht="18" customHeight="1">
      <c r="A47" s="26"/>
      <c r="B47" s="33">
        <v>39</v>
      </c>
      <c r="C47" s="39" t="s">
        <v>150</v>
      </c>
      <c r="D47" s="40"/>
      <c r="E47" s="40"/>
      <c r="F47" s="40"/>
      <c r="G47" s="40"/>
      <c r="H47" s="40"/>
      <c r="I47" s="40"/>
      <c r="J47" s="40"/>
      <c r="K47" s="41"/>
      <c r="L47" s="334"/>
      <c r="M47" s="334"/>
      <c r="N47" s="39" t="s">
        <v>273</v>
      </c>
      <c r="O47" s="40"/>
      <c r="P47" s="40"/>
      <c r="Q47" s="40"/>
      <c r="R47" s="40"/>
      <c r="S47" s="40"/>
      <c r="T47" s="40"/>
      <c r="U47" s="40"/>
      <c r="V47" s="40"/>
      <c r="W47" s="40"/>
      <c r="X47" s="40"/>
      <c r="Y47" s="40"/>
      <c r="Z47" s="40"/>
      <c r="AA47" s="41"/>
      <c r="AB47" s="28"/>
    </row>
    <row r="48" spans="1:28" ht="18" customHeight="1">
      <c r="A48" s="26"/>
      <c r="B48" s="33">
        <v>40</v>
      </c>
      <c r="C48" s="39" t="s">
        <v>151</v>
      </c>
      <c r="D48" s="40"/>
      <c r="E48" s="40"/>
      <c r="F48" s="40"/>
      <c r="G48" s="40"/>
      <c r="H48" s="40"/>
      <c r="I48" s="40"/>
      <c r="J48" s="40"/>
      <c r="K48" s="41"/>
      <c r="L48" s="334"/>
      <c r="M48" s="334"/>
      <c r="N48" s="39" t="s">
        <v>273</v>
      </c>
      <c r="O48" s="40"/>
      <c r="P48" s="40"/>
      <c r="Q48" s="40"/>
      <c r="R48" s="40"/>
      <c r="S48" s="40"/>
      <c r="T48" s="40"/>
      <c r="U48" s="40"/>
      <c r="V48" s="40"/>
      <c r="W48" s="40"/>
      <c r="X48" s="40"/>
      <c r="Y48" s="40"/>
      <c r="Z48" s="40"/>
      <c r="AA48" s="41"/>
      <c r="AB48" s="28"/>
    </row>
    <row r="49" spans="1:29" ht="18" customHeight="1">
      <c r="A49" s="26"/>
      <c r="B49" s="33">
        <v>41</v>
      </c>
      <c r="C49" s="39" t="s">
        <v>152</v>
      </c>
      <c r="D49" s="40"/>
      <c r="E49" s="40"/>
      <c r="F49" s="40"/>
      <c r="G49" s="40"/>
      <c r="H49" s="40"/>
      <c r="I49" s="40"/>
      <c r="J49" s="40"/>
      <c r="K49" s="41"/>
      <c r="L49" s="334"/>
      <c r="M49" s="334"/>
      <c r="N49" s="39" t="s">
        <v>273</v>
      </c>
      <c r="O49" s="40"/>
      <c r="P49" s="40"/>
      <c r="Q49" s="40"/>
      <c r="R49" s="40"/>
      <c r="S49" s="40"/>
      <c r="T49" s="40"/>
      <c r="U49" s="40"/>
      <c r="V49" s="40"/>
      <c r="W49" s="40"/>
      <c r="X49" s="40"/>
      <c r="Y49" s="40"/>
      <c r="Z49" s="40"/>
      <c r="AA49" s="41"/>
      <c r="AB49" s="28"/>
    </row>
    <row r="50" spans="1:29" ht="18" customHeight="1">
      <c r="A50" s="26"/>
      <c r="B50" s="33">
        <v>42</v>
      </c>
      <c r="C50" s="39" t="s">
        <v>164</v>
      </c>
      <c r="D50" s="40"/>
      <c r="E50" s="40"/>
      <c r="F50" s="40"/>
      <c r="G50" s="40"/>
      <c r="H50" s="40"/>
      <c r="I50" s="40"/>
      <c r="J50" s="40"/>
      <c r="K50" s="41"/>
      <c r="L50" s="334"/>
      <c r="M50" s="334"/>
      <c r="N50" s="39" t="s">
        <v>273</v>
      </c>
      <c r="O50" s="40"/>
      <c r="P50" s="40"/>
      <c r="Q50" s="40"/>
      <c r="R50" s="40"/>
      <c r="S50" s="40"/>
      <c r="T50" s="40"/>
      <c r="U50" s="40"/>
      <c r="V50" s="40"/>
      <c r="W50" s="40"/>
      <c r="X50" s="40"/>
      <c r="Y50" s="40"/>
      <c r="Z50" s="40"/>
      <c r="AA50" s="41"/>
      <c r="AB50" s="28"/>
    </row>
    <row r="51" spans="1:29" ht="18" customHeight="1">
      <c r="A51" s="26"/>
      <c r="B51" s="33">
        <v>43</v>
      </c>
      <c r="C51" s="39" t="s">
        <v>153</v>
      </c>
      <c r="D51" s="40"/>
      <c r="E51" s="40"/>
      <c r="F51" s="40"/>
      <c r="G51" s="40"/>
      <c r="H51" s="40"/>
      <c r="I51" s="40"/>
      <c r="J51" s="40"/>
      <c r="K51" s="41"/>
      <c r="L51" s="334"/>
      <c r="M51" s="334"/>
      <c r="N51" s="39" t="s">
        <v>273</v>
      </c>
      <c r="O51" s="40"/>
      <c r="P51" s="40"/>
      <c r="Q51" s="40"/>
      <c r="R51" s="40"/>
      <c r="S51" s="40"/>
      <c r="T51" s="40"/>
      <c r="U51" s="40"/>
      <c r="V51" s="40"/>
      <c r="W51" s="40"/>
      <c r="X51" s="40"/>
      <c r="Y51" s="40"/>
      <c r="Z51" s="40"/>
      <c r="AA51" s="41"/>
      <c r="AB51" s="28"/>
    </row>
    <row r="52" spans="1:29" ht="18" customHeight="1">
      <c r="A52" s="26"/>
      <c r="B52" s="33">
        <v>44</v>
      </c>
      <c r="C52" s="39" t="s">
        <v>154</v>
      </c>
      <c r="D52" s="40"/>
      <c r="E52" s="40"/>
      <c r="F52" s="40"/>
      <c r="G52" s="40"/>
      <c r="H52" s="40"/>
      <c r="I52" s="40"/>
      <c r="J52" s="40"/>
      <c r="K52" s="41"/>
      <c r="L52" s="334"/>
      <c r="M52" s="334"/>
      <c r="N52" s="39" t="s">
        <v>273</v>
      </c>
      <c r="O52" s="40"/>
      <c r="P52" s="40"/>
      <c r="Q52" s="40"/>
      <c r="R52" s="40"/>
      <c r="S52" s="40"/>
      <c r="T52" s="40"/>
      <c r="U52" s="40"/>
      <c r="V52" s="40"/>
      <c r="W52" s="40"/>
      <c r="X52" s="40"/>
      <c r="Y52" s="40"/>
      <c r="Z52" s="40"/>
      <c r="AA52" s="41"/>
      <c r="AB52" s="28"/>
    </row>
    <row r="53" spans="1:29" ht="18" customHeight="1">
      <c r="A53" s="26"/>
      <c r="B53" s="33">
        <v>45</v>
      </c>
      <c r="C53" s="71" t="s">
        <v>738</v>
      </c>
      <c r="D53" s="72"/>
      <c r="E53" s="72"/>
      <c r="F53" s="72"/>
      <c r="G53" s="72"/>
      <c r="H53" s="72"/>
      <c r="I53" s="72"/>
      <c r="J53" s="72"/>
      <c r="K53" s="73"/>
      <c r="L53" s="335"/>
      <c r="M53" s="335"/>
      <c r="N53" s="71" t="s">
        <v>273</v>
      </c>
      <c r="O53" s="72"/>
      <c r="P53" s="72"/>
      <c r="Q53" s="72"/>
      <c r="R53" s="72"/>
      <c r="S53" s="72"/>
      <c r="T53" s="72"/>
      <c r="U53" s="72"/>
      <c r="V53" s="72"/>
      <c r="W53" s="72"/>
      <c r="X53" s="72"/>
      <c r="Y53" s="72"/>
      <c r="Z53" s="72"/>
      <c r="AA53" s="73"/>
      <c r="AB53" s="28"/>
      <c r="AC53" s="70" t="s">
        <v>737</v>
      </c>
    </row>
    <row r="54" spans="1:29" ht="18" customHeight="1">
      <c r="A54" s="26"/>
      <c r="B54" s="33">
        <v>46</v>
      </c>
      <c r="C54" s="39" t="s">
        <v>195</v>
      </c>
      <c r="D54" s="40"/>
      <c r="E54" s="40"/>
      <c r="F54" s="40"/>
      <c r="G54" s="40"/>
      <c r="H54" s="40"/>
      <c r="I54" s="40"/>
      <c r="J54" s="40"/>
      <c r="K54" s="41"/>
      <c r="L54" s="334"/>
      <c r="M54" s="334"/>
      <c r="N54" s="39" t="s">
        <v>273</v>
      </c>
      <c r="O54" s="40"/>
      <c r="P54" s="40"/>
      <c r="Q54" s="40"/>
      <c r="R54" s="40"/>
      <c r="S54" s="40"/>
      <c r="T54" s="40"/>
      <c r="U54" s="40"/>
      <c r="V54" s="40"/>
      <c r="W54" s="40"/>
      <c r="X54" s="40"/>
      <c r="Y54" s="40"/>
      <c r="Z54" s="40"/>
      <c r="AA54" s="41"/>
      <c r="AB54" s="28"/>
    </row>
    <row r="55" spans="1:29" ht="18" customHeight="1">
      <c r="A55" s="26"/>
      <c r="B55" s="33">
        <v>47</v>
      </c>
      <c r="C55" s="39"/>
      <c r="D55" s="40" t="s">
        <v>179</v>
      </c>
      <c r="E55" s="40"/>
      <c r="F55" s="40"/>
      <c r="G55" s="40"/>
      <c r="H55" s="40"/>
      <c r="I55" s="40"/>
      <c r="J55" s="40"/>
      <c r="K55" s="41"/>
      <c r="L55" s="334"/>
      <c r="M55" s="334"/>
      <c r="N55" s="39" t="s">
        <v>273</v>
      </c>
      <c r="O55" s="40"/>
      <c r="P55" s="40"/>
      <c r="Q55" s="40"/>
      <c r="R55" s="40"/>
      <c r="S55" s="40"/>
      <c r="T55" s="40"/>
      <c r="U55" s="40"/>
      <c r="V55" s="40"/>
      <c r="W55" s="40"/>
      <c r="X55" s="40"/>
      <c r="Y55" s="40"/>
      <c r="Z55" s="40"/>
      <c r="AA55" s="41"/>
      <c r="AB55" s="28"/>
    </row>
    <row r="56" spans="1:29" ht="18" customHeight="1">
      <c r="A56" s="26"/>
      <c r="B56" s="33">
        <v>48</v>
      </c>
      <c r="C56" s="39"/>
      <c r="D56" s="40" t="s">
        <v>180</v>
      </c>
      <c r="E56" s="40"/>
      <c r="F56" s="40"/>
      <c r="G56" s="40"/>
      <c r="H56" s="40"/>
      <c r="I56" s="40"/>
      <c r="J56" s="40"/>
      <c r="K56" s="41"/>
      <c r="L56" s="334"/>
      <c r="M56" s="334"/>
      <c r="N56" s="39" t="s">
        <v>273</v>
      </c>
      <c r="O56" s="40"/>
      <c r="P56" s="40"/>
      <c r="Q56" s="40"/>
      <c r="R56" s="40"/>
      <c r="S56" s="40"/>
      <c r="T56" s="40"/>
      <c r="U56" s="40"/>
      <c r="V56" s="40"/>
      <c r="W56" s="40"/>
      <c r="X56" s="40"/>
      <c r="Y56" s="40"/>
      <c r="Z56" s="40"/>
      <c r="AA56" s="41"/>
      <c r="AB56" s="28"/>
    </row>
    <row r="57" spans="1:29" ht="18" customHeight="1">
      <c r="A57" s="26"/>
      <c r="B57" s="33">
        <v>49</v>
      </c>
      <c r="C57" s="39"/>
      <c r="D57" s="40" t="s">
        <v>185</v>
      </c>
      <c r="E57" s="40"/>
      <c r="F57" s="40"/>
      <c r="G57" s="40"/>
      <c r="H57" s="40"/>
      <c r="I57" s="40"/>
      <c r="J57" s="40"/>
      <c r="K57" s="41"/>
      <c r="L57" s="334"/>
      <c r="M57" s="334"/>
      <c r="N57" s="39" t="s">
        <v>273</v>
      </c>
      <c r="O57" s="40"/>
      <c r="P57" s="40"/>
      <c r="Q57" s="40"/>
      <c r="R57" s="40"/>
      <c r="S57" s="40"/>
      <c r="T57" s="40"/>
      <c r="U57" s="40"/>
      <c r="V57" s="40"/>
      <c r="W57" s="40"/>
      <c r="X57" s="40"/>
      <c r="Y57" s="40"/>
      <c r="Z57" s="40"/>
      <c r="AA57" s="41"/>
      <c r="AB57" s="28"/>
    </row>
    <row r="58" spans="1:29" ht="18" customHeight="1">
      <c r="A58" s="26"/>
      <c r="B58" s="33">
        <v>50</v>
      </c>
      <c r="C58" s="39"/>
      <c r="D58" s="40" t="s">
        <v>250</v>
      </c>
      <c r="E58" s="40"/>
      <c r="F58" s="40"/>
      <c r="G58" s="40"/>
      <c r="H58" s="40"/>
      <c r="I58" s="40"/>
      <c r="J58" s="40"/>
      <c r="K58" s="41"/>
      <c r="L58" s="334"/>
      <c r="M58" s="334"/>
      <c r="N58" s="39" t="s">
        <v>273</v>
      </c>
      <c r="O58" s="40"/>
      <c r="P58" s="40"/>
      <c r="Q58" s="40"/>
      <c r="R58" s="40"/>
      <c r="S58" s="40"/>
      <c r="T58" s="40"/>
      <c r="U58" s="40"/>
      <c r="V58" s="40"/>
      <c r="W58" s="40"/>
      <c r="X58" s="40"/>
      <c r="Y58" s="40"/>
      <c r="Z58" s="40"/>
      <c r="AA58" s="41"/>
      <c r="AB58" s="28"/>
    </row>
    <row r="59" spans="1:29" ht="18" customHeight="1">
      <c r="A59" s="26"/>
      <c r="B59" s="33">
        <v>51</v>
      </c>
      <c r="C59" s="39"/>
      <c r="D59" s="40" t="s">
        <v>181</v>
      </c>
      <c r="E59" s="40"/>
      <c r="F59" s="40"/>
      <c r="G59" s="40"/>
      <c r="H59" s="40"/>
      <c r="I59" s="40"/>
      <c r="J59" s="40"/>
      <c r="K59" s="41"/>
      <c r="L59" s="334"/>
      <c r="M59" s="334"/>
      <c r="N59" s="39" t="s">
        <v>273</v>
      </c>
      <c r="O59" s="40"/>
      <c r="P59" s="40"/>
      <c r="Q59" s="40"/>
      <c r="R59" s="40"/>
      <c r="S59" s="40"/>
      <c r="T59" s="40"/>
      <c r="U59" s="40"/>
      <c r="V59" s="40"/>
      <c r="W59" s="40"/>
      <c r="X59" s="40"/>
      <c r="Y59" s="40"/>
      <c r="Z59" s="40"/>
      <c r="AA59" s="41"/>
      <c r="AB59" s="28"/>
    </row>
    <row r="60" spans="1:29" ht="18" customHeight="1">
      <c r="A60" s="26"/>
      <c r="B60" s="33">
        <v>52</v>
      </c>
      <c r="C60" s="39"/>
      <c r="D60" s="40" t="s">
        <v>182</v>
      </c>
      <c r="E60" s="40"/>
      <c r="F60" s="40"/>
      <c r="G60" s="40"/>
      <c r="H60" s="40"/>
      <c r="I60" s="40"/>
      <c r="J60" s="40"/>
      <c r="K60" s="41"/>
      <c r="L60" s="334"/>
      <c r="M60" s="334"/>
      <c r="N60" s="39" t="s">
        <v>273</v>
      </c>
      <c r="O60" s="40"/>
      <c r="P60" s="40"/>
      <c r="Q60" s="40"/>
      <c r="R60" s="40"/>
      <c r="S60" s="40"/>
      <c r="T60" s="40"/>
      <c r="U60" s="40"/>
      <c r="V60" s="40"/>
      <c r="W60" s="40"/>
      <c r="X60" s="40"/>
      <c r="Y60" s="40"/>
      <c r="Z60" s="40"/>
      <c r="AA60" s="41"/>
      <c r="AB60" s="28"/>
    </row>
    <row r="61" spans="1:29" ht="18" customHeight="1">
      <c r="A61" s="26"/>
      <c r="B61" s="33">
        <v>53</v>
      </c>
      <c r="C61" s="39"/>
      <c r="D61" s="40" t="s">
        <v>251</v>
      </c>
      <c r="E61" s="40"/>
      <c r="F61" s="40"/>
      <c r="G61" s="40"/>
      <c r="H61" s="40"/>
      <c r="I61" s="40"/>
      <c r="J61" s="40"/>
      <c r="K61" s="41"/>
      <c r="L61" s="334"/>
      <c r="M61" s="334"/>
      <c r="N61" s="39" t="s">
        <v>273</v>
      </c>
      <c r="O61" s="40"/>
      <c r="P61" s="40"/>
      <c r="Q61" s="40"/>
      <c r="R61" s="40"/>
      <c r="S61" s="40"/>
      <c r="T61" s="40"/>
      <c r="U61" s="40"/>
      <c r="V61" s="40"/>
      <c r="W61" s="40"/>
      <c r="X61" s="40"/>
      <c r="Y61" s="40"/>
      <c r="Z61" s="40"/>
      <c r="AA61" s="41"/>
      <c r="AB61" s="28"/>
    </row>
    <row r="62" spans="1:29" ht="18" customHeight="1">
      <c r="A62" s="26"/>
      <c r="B62" s="33">
        <v>54</v>
      </c>
      <c r="C62" s="39"/>
      <c r="D62" s="40" t="s">
        <v>252</v>
      </c>
      <c r="E62" s="40"/>
      <c r="F62" s="40"/>
      <c r="G62" s="40"/>
      <c r="H62" s="40"/>
      <c r="I62" s="40"/>
      <c r="J62" s="40"/>
      <c r="K62" s="41"/>
      <c r="L62" s="334"/>
      <c r="M62" s="334"/>
      <c r="N62" s="39" t="s">
        <v>273</v>
      </c>
      <c r="O62" s="40"/>
      <c r="P62" s="40"/>
      <c r="Q62" s="40"/>
      <c r="R62" s="40"/>
      <c r="S62" s="40"/>
      <c r="T62" s="40"/>
      <c r="U62" s="40"/>
      <c r="V62" s="40"/>
      <c r="W62" s="40"/>
      <c r="X62" s="40"/>
      <c r="Y62" s="40"/>
      <c r="Z62" s="40"/>
      <c r="AA62" s="41"/>
      <c r="AB62" s="28"/>
    </row>
    <row r="63" spans="1:29" ht="18" customHeight="1">
      <c r="A63" s="26"/>
      <c r="B63" s="33">
        <v>55</v>
      </c>
      <c r="C63" s="39"/>
      <c r="D63" s="40" t="s">
        <v>187</v>
      </c>
      <c r="E63" s="40"/>
      <c r="F63" s="40"/>
      <c r="G63" s="40"/>
      <c r="H63" s="40"/>
      <c r="I63" s="40"/>
      <c r="J63" s="40"/>
      <c r="K63" s="41"/>
      <c r="L63" s="334"/>
      <c r="M63" s="334"/>
      <c r="N63" s="39" t="s">
        <v>273</v>
      </c>
      <c r="O63" s="40"/>
      <c r="P63" s="40"/>
      <c r="Q63" s="40"/>
      <c r="R63" s="40"/>
      <c r="S63" s="40"/>
      <c r="T63" s="40"/>
      <c r="U63" s="40"/>
      <c r="V63" s="40"/>
      <c r="W63" s="40"/>
      <c r="X63" s="40"/>
      <c r="Y63" s="40"/>
      <c r="Z63" s="40"/>
      <c r="AA63" s="41"/>
      <c r="AB63" s="28"/>
    </row>
    <row r="64" spans="1:29" ht="18" customHeight="1">
      <c r="A64" s="26"/>
      <c r="B64" s="33">
        <v>56</v>
      </c>
      <c r="C64" s="39"/>
      <c r="D64" s="40" t="s">
        <v>188</v>
      </c>
      <c r="E64" s="40"/>
      <c r="F64" s="40"/>
      <c r="G64" s="40"/>
      <c r="H64" s="40"/>
      <c r="I64" s="40"/>
      <c r="J64" s="40"/>
      <c r="K64" s="41"/>
      <c r="L64" s="334"/>
      <c r="M64" s="334"/>
      <c r="N64" s="39" t="s">
        <v>273</v>
      </c>
      <c r="O64" s="40"/>
      <c r="P64" s="40"/>
      <c r="Q64" s="40"/>
      <c r="R64" s="40"/>
      <c r="S64" s="40"/>
      <c r="T64" s="40"/>
      <c r="U64" s="40"/>
      <c r="V64" s="40"/>
      <c r="W64" s="40"/>
      <c r="X64" s="40"/>
      <c r="Y64" s="40"/>
      <c r="Z64" s="40"/>
      <c r="AA64" s="41"/>
      <c r="AB64" s="28"/>
    </row>
    <row r="65" spans="1:29" ht="18" customHeight="1">
      <c r="A65" s="26"/>
      <c r="B65" s="33">
        <v>57</v>
      </c>
      <c r="C65" s="39" t="s">
        <v>893</v>
      </c>
      <c r="D65" s="40"/>
      <c r="E65" s="40"/>
      <c r="F65" s="40"/>
      <c r="G65" s="40"/>
      <c r="H65" s="40"/>
      <c r="I65" s="40"/>
      <c r="J65" s="40"/>
      <c r="K65" s="41"/>
      <c r="L65" s="334"/>
      <c r="M65" s="334"/>
      <c r="N65" s="39" t="s">
        <v>273</v>
      </c>
      <c r="O65" s="40"/>
      <c r="P65" s="40"/>
      <c r="Q65" s="40"/>
      <c r="R65" s="40"/>
      <c r="S65" s="40"/>
      <c r="T65" s="40"/>
      <c r="U65" s="40"/>
      <c r="V65" s="40"/>
      <c r="W65" s="40"/>
      <c r="X65" s="40"/>
      <c r="Y65" s="40"/>
      <c r="Z65" s="40"/>
      <c r="AA65" s="41"/>
      <c r="AB65" s="28"/>
    </row>
    <row r="66" spans="1:29" ht="18" customHeight="1">
      <c r="A66" s="26"/>
      <c r="B66" s="33">
        <v>58</v>
      </c>
      <c r="C66" s="39"/>
      <c r="D66" s="40" t="s">
        <v>179</v>
      </c>
      <c r="E66" s="40"/>
      <c r="F66" s="40"/>
      <c r="G66" s="40"/>
      <c r="H66" s="40"/>
      <c r="I66" s="40"/>
      <c r="J66" s="40"/>
      <c r="K66" s="41"/>
      <c r="L66" s="334"/>
      <c r="M66" s="334"/>
      <c r="N66" s="39" t="s">
        <v>273</v>
      </c>
      <c r="O66" s="40"/>
      <c r="P66" s="40"/>
      <c r="Q66" s="40"/>
      <c r="R66" s="40"/>
      <c r="S66" s="40"/>
      <c r="T66" s="40"/>
      <c r="U66" s="40"/>
      <c r="V66" s="40"/>
      <c r="W66" s="40"/>
      <c r="X66" s="40"/>
      <c r="Y66" s="40"/>
      <c r="Z66" s="40"/>
      <c r="AA66" s="41"/>
      <c r="AB66" s="28"/>
    </row>
    <row r="67" spans="1:29" ht="18" customHeight="1">
      <c r="A67" s="26"/>
      <c r="B67" s="33">
        <v>59</v>
      </c>
      <c r="C67" s="39"/>
      <c r="D67" s="40" t="s">
        <v>180</v>
      </c>
      <c r="E67" s="40"/>
      <c r="F67" s="40"/>
      <c r="G67" s="40"/>
      <c r="H67" s="40"/>
      <c r="I67" s="40"/>
      <c r="J67" s="40"/>
      <c r="K67" s="41"/>
      <c r="L67" s="334"/>
      <c r="M67" s="334"/>
      <c r="N67" s="39" t="s">
        <v>273</v>
      </c>
      <c r="O67" s="40"/>
      <c r="P67" s="40"/>
      <c r="Q67" s="40"/>
      <c r="R67" s="40"/>
      <c r="S67" s="40"/>
      <c r="T67" s="40"/>
      <c r="U67" s="40"/>
      <c r="V67" s="40"/>
      <c r="W67" s="40"/>
      <c r="X67" s="40"/>
      <c r="Y67" s="40"/>
      <c r="Z67" s="40"/>
      <c r="AA67" s="41"/>
      <c r="AB67" s="28"/>
    </row>
    <row r="68" spans="1:29" ht="18" customHeight="1">
      <c r="A68" s="26"/>
      <c r="B68" s="33">
        <v>60</v>
      </c>
      <c r="C68" s="39"/>
      <c r="D68" s="40" t="s">
        <v>190</v>
      </c>
      <c r="E68" s="40"/>
      <c r="F68" s="40"/>
      <c r="G68" s="40"/>
      <c r="H68" s="40"/>
      <c r="I68" s="40"/>
      <c r="J68" s="40"/>
      <c r="K68" s="41"/>
      <c r="L68" s="334"/>
      <c r="M68" s="334"/>
      <c r="N68" s="39" t="s">
        <v>273</v>
      </c>
      <c r="O68" s="40"/>
      <c r="P68" s="40"/>
      <c r="Q68" s="40"/>
      <c r="R68" s="40"/>
      <c r="S68" s="40"/>
      <c r="T68" s="40"/>
      <c r="U68" s="40"/>
      <c r="V68" s="40"/>
      <c r="W68" s="40"/>
      <c r="X68" s="40"/>
      <c r="Y68" s="40"/>
      <c r="Z68" s="40"/>
      <c r="AA68" s="41"/>
      <c r="AB68" s="28"/>
    </row>
    <row r="69" spans="1:29" ht="18" customHeight="1">
      <c r="A69" s="26"/>
      <c r="B69" s="33">
        <v>61</v>
      </c>
      <c r="C69" s="39"/>
      <c r="D69" s="40" t="s">
        <v>191</v>
      </c>
      <c r="E69" s="40"/>
      <c r="F69" s="40"/>
      <c r="G69" s="40"/>
      <c r="H69" s="40"/>
      <c r="I69" s="40"/>
      <c r="J69" s="40"/>
      <c r="K69" s="41"/>
      <c r="L69" s="334"/>
      <c r="M69" s="334"/>
      <c r="N69" s="39" t="s">
        <v>273</v>
      </c>
      <c r="O69" s="40"/>
      <c r="P69" s="40"/>
      <c r="Q69" s="40"/>
      <c r="R69" s="40"/>
      <c r="S69" s="40"/>
      <c r="T69" s="40"/>
      <c r="U69" s="40"/>
      <c r="V69" s="40"/>
      <c r="W69" s="40"/>
      <c r="X69" s="40"/>
      <c r="Y69" s="40"/>
      <c r="Z69" s="40"/>
      <c r="AA69" s="41"/>
      <c r="AB69" s="28"/>
    </row>
    <row r="70" spans="1:29" ht="18" customHeight="1">
      <c r="A70" s="26"/>
      <c r="B70" s="33">
        <v>62</v>
      </c>
      <c r="C70" s="71" t="s">
        <v>739</v>
      </c>
      <c r="D70" s="72"/>
      <c r="E70" s="72"/>
      <c r="F70" s="72"/>
      <c r="G70" s="72"/>
      <c r="H70" s="72"/>
      <c r="I70" s="72"/>
      <c r="J70" s="72"/>
      <c r="K70" s="73"/>
      <c r="L70" s="335"/>
      <c r="M70" s="335"/>
      <c r="N70" s="71" t="s">
        <v>273</v>
      </c>
      <c r="O70" s="72"/>
      <c r="P70" s="72"/>
      <c r="Q70" s="72"/>
      <c r="R70" s="72"/>
      <c r="S70" s="72"/>
      <c r="T70" s="72"/>
      <c r="U70" s="72"/>
      <c r="V70" s="72"/>
      <c r="W70" s="72"/>
      <c r="X70" s="72"/>
      <c r="Y70" s="72"/>
      <c r="Z70" s="72"/>
      <c r="AA70" s="73"/>
      <c r="AB70" s="28"/>
      <c r="AC70" s="70" t="s">
        <v>655</v>
      </c>
    </row>
    <row r="71" spans="1:29" ht="18" customHeight="1">
      <c r="A71" s="26"/>
      <c r="B71" s="33">
        <v>63</v>
      </c>
      <c r="C71" s="71"/>
      <c r="D71" s="72" t="s">
        <v>179</v>
      </c>
      <c r="E71" s="72"/>
      <c r="F71" s="72"/>
      <c r="G71" s="72"/>
      <c r="H71" s="72"/>
      <c r="I71" s="72"/>
      <c r="J71" s="72"/>
      <c r="K71" s="73"/>
      <c r="L71" s="335"/>
      <c r="M71" s="335"/>
      <c r="N71" s="71" t="s">
        <v>273</v>
      </c>
      <c r="O71" s="72"/>
      <c r="P71" s="72"/>
      <c r="Q71" s="72"/>
      <c r="R71" s="72"/>
      <c r="S71" s="72"/>
      <c r="T71" s="72"/>
      <c r="U71" s="72"/>
      <c r="V71" s="72"/>
      <c r="W71" s="72"/>
      <c r="X71" s="72"/>
      <c r="Y71" s="72"/>
      <c r="Z71" s="72"/>
      <c r="AA71" s="73"/>
      <c r="AB71" s="28"/>
      <c r="AC71" s="70"/>
    </row>
    <row r="72" spans="1:29" ht="18" customHeight="1">
      <c r="A72" s="26"/>
      <c r="B72" s="33">
        <v>64</v>
      </c>
      <c r="C72" s="39" t="s">
        <v>198</v>
      </c>
      <c r="D72" s="40"/>
      <c r="E72" s="40"/>
      <c r="F72" s="40"/>
      <c r="G72" s="40"/>
      <c r="H72" s="40"/>
      <c r="I72" s="40"/>
      <c r="J72" s="40"/>
      <c r="K72" s="41"/>
      <c r="L72" s="334"/>
      <c r="M72" s="334"/>
      <c r="N72" s="39" t="s">
        <v>273</v>
      </c>
      <c r="O72" s="40"/>
      <c r="P72" s="40"/>
      <c r="Q72" s="40"/>
      <c r="R72" s="40"/>
      <c r="S72" s="40"/>
      <c r="T72" s="40"/>
      <c r="U72" s="40"/>
      <c r="V72" s="40"/>
      <c r="W72" s="40"/>
      <c r="X72" s="40"/>
      <c r="Y72" s="40"/>
      <c r="Z72" s="40"/>
      <c r="AA72" s="41"/>
      <c r="AB72" s="28"/>
    </row>
    <row r="73" spans="1:29" ht="18" customHeight="1">
      <c r="A73" s="26"/>
      <c r="B73" s="33">
        <v>65</v>
      </c>
      <c r="C73" s="39"/>
      <c r="D73" s="40" t="s">
        <v>179</v>
      </c>
      <c r="E73" s="40"/>
      <c r="F73" s="40"/>
      <c r="G73" s="40"/>
      <c r="H73" s="40"/>
      <c r="I73" s="40"/>
      <c r="J73" s="40"/>
      <c r="K73" s="41"/>
      <c r="L73" s="334"/>
      <c r="M73" s="334"/>
      <c r="N73" s="39" t="s">
        <v>273</v>
      </c>
      <c r="O73" s="40"/>
      <c r="P73" s="40"/>
      <c r="Q73" s="40"/>
      <c r="R73" s="40"/>
      <c r="S73" s="40"/>
      <c r="T73" s="40"/>
      <c r="U73" s="40"/>
      <c r="V73" s="40"/>
      <c r="W73" s="40"/>
      <c r="X73" s="40"/>
      <c r="Y73" s="40"/>
      <c r="Z73" s="40"/>
      <c r="AA73" s="41"/>
      <c r="AB73" s="28"/>
    </row>
    <row r="74" spans="1:29" ht="18" customHeight="1">
      <c r="A74" s="26"/>
      <c r="B74" s="33">
        <v>66</v>
      </c>
      <c r="C74" s="39"/>
      <c r="D74" s="40" t="s">
        <v>180</v>
      </c>
      <c r="E74" s="40"/>
      <c r="F74" s="40"/>
      <c r="G74" s="40"/>
      <c r="H74" s="40"/>
      <c r="I74" s="40"/>
      <c r="J74" s="40"/>
      <c r="K74" s="41"/>
      <c r="L74" s="334"/>
      <c r="M74" s="334"/>
      <c r="N74" s="39" t="s">
        <v>273</v>
      </c>
      <c r="O74" s="40"/>
      <c r="P74" s="40"/>
      <c r="Q74" s="40"/>
      <c r="R74" s="40"/>
      <c r="S74" s="40"/>
      <c r="T74" s="40"/>
      <c r="U74" s="40"/>
      <c r="V74" s="40"/>
      <c r="W74" s="40"/>
      <c r="X74" s="40"/>
      <c r="Y74" s="40"/>
      <c r="Z74" s="40"/>
      <c r="AA74" s="41"/>
      <c r="AB74" s="28"/>
    </row>
    <row r="75" spans="1:29" ht="18" customHeight="1">
      <c r="A75" s="26"/>
      <c r="B75" s="33">
        <v>67</v>
      </c>
      <c r="C75" s="39"/>
      <c r="D75" s="40" t="s">
        <v>202</v>
      </c>
      <c r="E75" s="40"/>
      <c r="F75" s="40"/>
      <c r="G75" s="40"/>
      <c r="H75" s="40"/>
      <c r="I75" s="40"/>
      <c r="J75" s="40"/>
      <c r="K75" s="41"/>
      <c r="L75" s="334"/>
      <c r="M75" s="334"/>
      <c r="N75" s="39" t="s">
        <v>273</v>
      </c>
      <c r="O75" s="40"/>
      <c r="P75" s="40"/>
      <c r="Q75" s="40"/>
      <c r="R75" s="40"/>
      <c r="S75" s="40"/>
      <c r="T75" s="40"/>
      <c r="U75" s="40"/>
      <c r="V75" s="40"/>
      <c r="W75" s="40"/>
      <c r="X75" s="40"/>
      <c r="Y75" s="40"/>
      <c r="Z75" s="40"/>
      <c r="AA75" s="41"/>
      <c r="AB75" s="28"/>
    </row>
    <row r="76" spans="1:29" ht="18" customHeight="1">
      <c r="A76" s="26"/>
      <c r="B76" s="33">
        <v>68</v>
      </c>
      <c r="C76" s="39"/>
      <c r="D76" s="40" t="s">
        <v>203</v>
      </c>
      <c r="E76" s="40"/>
      <c r="F76" s="40"/>
      <c r="G76" s="40"/>
      <c r="H76" s="40"/>
      <c r="I76" s="40"/>
      <c r="J76" s="40"/>
      <c r="K76" s="41"/>
      <c r="L76" s="334"/>
      <c r="M76" s="334"/>
      <c r="N76" s="39" t="s">
        <v>273</v>
      </c>
      <c r="O76" s="40"/>
      <c r="P76" s="40"/>
      <c r="Q76" s="40"/>
      <c r="R76" s="40"/>
      <c r="S76" s="40"/>
      <c r="T76" s="40"/>
      <c r="U76" s="40"/>
      <c r="V76" s="40"/>
      <c r="W76" s="40"/>
      <c r="X76" s="40"/>
      <c r="Y76" s="40"/>
      <c r="Z76" s="40"/>
      <c r="AA76" s="41"/>
      <c r="AB76" s="28"/>
    </row>
    <row r="77" spans="1:29" ht="18" customHeight="1">
      <c r="A77" s="26"/>
      <c r="B77" s="33">
        <v>69</v>
      </c>
      <c r="C77" s="39"/>
      <c r="D77" s="40" t="s">
        <v>364</v>
      </c>
      <c r="E77" s="40"/>
      <c r="F77" s="40"/>
      <c r="G77" s="40"/>
      <c r="H77" s="40"/>
      <c r="I77" s="40"/>
      <c r="J77" s="40"/>
      <c r="K77" s="41"/>
      <c r="L77" s="334"/>
      <c r="M77" s="334"/>
      <c r="N77" s="39" t="s">
        <v>273</v>
      </c>
      <c r="O77" s="40"/>
      <c r="P77" s="40"/>
      <c r="Q77" s="40"/>
      <c r="R77" s="40"/>
      <c r="S77" s="40"/>
      <c r="T77" s="40"/>
      <c r="U77" s="40"/>
      <c r="V77" s="40"/>
      <c r="W77" s="40"/>
      <c r="X77" s="40"/>
      <c r="Y77" s="40"/>
      <c r="Z77" s="40"/>
      <c r="AA77" s="41"/>
      <c r="AB77" s="28"/>
    </row>
    <row r="78" spans="1:29" ht="18" customHeight="1">
      <c r="A78" s="26"/>
      <c r="B78" s="33">
        <v>70</v>
      </c>
      <c r="C78" s="39" t="s">
        <v>253</v>
      </c>
      <c r="D78" s="40"/>
      <c r="E78" s="40"/>
      <c r="F78" s="40"/>
      <c r="G78" s="40"/>
      <c r="H78" s="40"/>
      <c r="I78" s="40"/>
      <c r="J78" s="40"/>
      <c r="K78" s="41"/>
      <c r="L78" s="334"/>
      <c r="M78" s="334"/>
      <c r="N78" s="39" t="s">
        <v>273</v>
      </c>
      <c r="O78" s="40"/>
      <c r="P78" s="40"/>
      <c r="Q78" s="40"/>
      <c r="R78" s="40"/>
      <c r="S78" s="40"/>
      <c r="T78" s="40"/>
      <c r="U78" s="40"/>
      <c r="V78" s="40"/>
      <c r="W78" s="40"/>
      <c r="X78" s="40"/>
      <c r="Y78" s="40"/>
      <c r="Z78" s="40"/>
      <c r="AA78" s="41"/>
      <c r="AB78" s="28"/>
    </row>
    <row r="79" spans="1:29" ht="18" customHeight="1">
      <c r="A79" s="26"/>
      <c r="B79" s="33">
        <v>71</v>
      </c>
      <c r="C79" s="39"/>
      <c r="D79" s="40" t="s">
        <v>375</v>
      </c>
      <c r="E79" s="40"/>
      <c r="F79" s="40"/>
      <c r="G79" s="40"/>
      <c r="H79" s="40"/>
      <c r="I79" s="40"/>
      <c r="J79" s="40"/>
      <c r="K79" s="41"/>
      <c r="L79" s="334"/>
      <c r="M79" s="334"/>
      <c r="N79" s="39" t="s">
        <v>273</v>
      </c>
      <c r="O79" s="40"/>
      <c r="P79" s="40"/>
      <c r="Q79" s="40"/>
      <c r="R79" s="40"/>
      <c r="S79" s="40"/>
      <c r="T79" s="40"/>
      <c r="U79" s="40"/>
      <c r="V79" s="40"/>
      <c r="W79" s="40"/>
      <c r="X79" s="40"/>
      <c r="Y79" s="40"/>
      <c r="Z79" s="40"/>
      <c r="AA79" s="41"/>
      <c r="AB79" s="28"/>
    </row>
    <row r="80" spans="1:29" ht="18" customHeight="1">
      <c r="A80" s="26"/>
      <c r="B80" s="33">
        <v>72</v>
      </c>
      <c r="C80" s="39"/>
      <c r="D80" s="40" t="s">
        <v>373</v>
      </c>
      <c r="E80" s="40"/>
      <c r="F80" s="40"/>
      <c r="G80" s="40"/>
      <c r="H80" s="40"/>
      <c r="I80" s="40"/>
      <c r="J80" s="40"/>
      <c r="K80" s="41"/>
      <c r="L80" s="334"/>
      <c r="M80" s="334"/>
      <c r="N80" s="39" t="s">
        <v>273</v>
      </c>
      <c r="O80" s="40"/>
      <c r="P80" s="40"/>
      <c r="Q80" s="40"/>
      <c r="R80" s="40"/>
      <c r="S80" s="40"/>
      <c r="T80" s="40"/>
      <c r="U80" s="40"/>
      <c r="V80" s="40"/>
      <c r="W80" s="40"/>
      <c r="X80" s="40"/>
      <c r="Y80" s="40"/>
      <c r="Z80" s="40"/>
      <c r="AA80" s="41"/>
      <c r="AB80" s="28"/>
    </row>
    <row r="81" spans="1:28" ht="18" customHeight="1">
      <c r="A81" s="26"/>
      <c r="B81" s="33">
        <v>73</v>
      </c>
      <c r="C81" s="39"/>
      <c r="D81" s="40" t="s">
        <v>374</v>
      </c>
      <c r="E81" s="40"/>
      <c r="F81" s="40"/>
      <c r="G81" s="40"/>
      <c r="H81" s="40"/>
      <c r="I81" s="40"/>
      <c r="J81" s="40"/>
      <c r="K81" s="41"/>
      <c r="L81" s="334"/>
      <c r="M81" s="334"/>
      <c r="N81" s="39" t="s">
        <v>273</v>
      </c>
      <c r="O81" s="40"/>
      <c r="P81" s="40"/>
      <c r="Q81" s="40"/>
      <c r="R81" s="40"/>
      <c r="S81" s="40"/>
      <c r="T81" s="40"/>
      <c r="U81" s="40"/>
      <c r="V81" s="40"/>
      <c r="W81" s="40"/>
      <c r="X81" s="40"/>
      <c r="Y81" s="40"/>
      <c r="Z81" s="40"/>
      <c r="AA81" s="41"/>
      <c r="AB81" s="28"/>
    </row>
    <row r="82" spans="1:28" ht="18" customHeight="1">
      <c r="A82" s="26"/>
      <c r="B82" s="33">
        <v>74</v>
      </c>
      <c r="C82" s="39"/>
      <c r="D82" s="40" t="s">
        <v>376</v>
      </c>
      <c r="E82" s="40"/>
      <c r="F82" s="40"/>
      <c r="G82" s="40"/>
      <c r="H82" s="40"/>
      <c r="I82" s="40"/>
      <c r="J82" s="40"/>
      <c r="K82" s="41"/>
      <c r="L82" s="334"/>
      <c r="M82" s="334"/>
      <c r="N82" s="39" t="s">
        <v>273</v>
      </c>
      <c r="O82" s="40"/>
      <c r="P82" s="40"/>
      <c r="Q82" s="40"/>
      <c r="R82" s="40"/>
      <c r="S82" s="40"/>
      <c r="T82" s="40"/>
      <c r="U82" s="40"/>
      <c r="V82" s="40"/>
      <c r="W82" s="40"/>
      <c r="X82" s="40"/>
      <c r="Y82" s="40"/>
      <c r="Z82" s="40"/>
      <c r="AA82" s="41"/>
      <c r="AB82" s="28"/>
    </row>
    <row r="83" spans="1:28" ht="18" customHeight="1">
      <c r="A83" s="26"/>
      <c r="B83" s="33">
        <v>75</v>
      </c>
      <c r="C83" s="39"/>
      <c r="D83" s="40" t="s">
        <v>377</v>
      </c>
      <c r="E83" s="40"/>
      <c r="F83" s="40"/>
      <c r="G83" s="40"/>
      <c r="H83" s="40"/>
      <c r="I83" s="40"/>
      <c r="J83" s="40"/>
      <c r="K83" s="41"/>
      <c r="L83" s="334"/>
      <c r="M83" s="334"/>
      <c r="N83" s="39" t="s">
        <v>273</v>
      </c>
      <c r="O83" s="40"/>
      <c r="P83" s="40"/>
      <c r="Q83" s="40"/>
      <c r="R83" s="40"/>
      <c r="S83" s="40"/>
      <c r="T83" s="40"/>
      <c r="U83" s="40"/>
      <c r="V83" s="40"/>
      <c r="W83" s="40"/>
      <c r="X83" s="40"/>
      <c r="Y83" s="40"/>
      <c r="Z83" s="40"/>
      <c r="AA83" s="41"/>
      <c r="AB83" s="28"/>
    </row>
    <row r="84" spans="1:28" ht="18" customHeight="1">
      <c r="A84" s="26"/>
      <c r="B84" s="33">
        <v>76</v>
      </c>
      <c r="C84" s="39"/>
      <c r="D84" s="40" t="s">
        <v>378</v>
      </c>
      <c r="E84" s="40"/>
      <c r="F84" s="40"/>
      <c r="G84" s="40"/>
      <c r="H84" s="40"/>
      <c r="I84" s="40"/>
      <c r="J84" s="40"/>
      <c r="K84" s="41"/>
      <c r="L84" s="334"/>
      <c r="M84" s="334"/>
      <c r="N84" s="39" t="s">
        <v>273</v>
      </c>
      <c r="O84" s="40"/>
      <c r="P84" s="40"/>
      <c r="Q84" s="40"/>
      <c r="R84" s="40"/>
      <c r="S84" s="40"/>
      <c r="T84" s="40"/>
      <c r="U84" s="40"/>
      <c r="V84" s="40"/>
      <c r="W84" s="40"/>
      <c r="X84" s="40"/>
      <c r="Y84" s="40"/>
      <c r="Z84" s="40"/>
      <c r="AA84" s="41"/>
      <c r="AB84" s="28"/>
    </row>
    <row r="85" spans="1:28" ht="18" customHeight="1">
      <c r="A85" s="26"/>
      <c r="B85" s="33">
        <v>77</v>
      </c>
      <c r="C85" s="39"/>
      <c r="D85" s="40" t="s">
        <v>379</v>
      </c>
      <c r="E85" s="40"/>
      <c r="F85" s="40"/>
      <c r="G85" s="40"/>
      <c r="H85" s="40"/>
      <c r="I85" s="40"/>
      <c r="J85" s="40"/>
      <c r="K85" s="41"/>
      <c r="L85" s="334"/>
      <c r="M85" s="334"/>
      <c r="N85" s="39" t="s">
        <v>273</v>
      </c>
      <c r="O85" s="40"/>
      <c r="P85" s="40"/>
      <c r="Q85" s="40"/>
      <c r="R85" s="40"/>
      <c r="S85" s="40"/>
      <c r="T85" s="40"/>
      <c r="U85" s="40"/>
      <c r="V85" s="40"/>
      <c r="W85" s="40"/>
      <c r="X85" s="40"/>
      <c r="Y85" s="40"/>
      <c r="Z85" s="40"/>
      <c r="AA85" s="41"/>
      <c r="AB85" s="28"/>
    </row>
    <row r="86" spans="1:28" ht="18" customHeight="1">
      <c r="A86" s="26"/>
      <c r="B86" s="33">
        <v>78</v>
      </c>
      <c r="C86" s="39"/>
      <c r="D86" s="40" t="s">
        <v>380</v>
      </c>
      <c r="E86" s="40"/>
      <c r="F86" s="40"/>
      <c r="G86" s="40"/>
      <c r="H86" s="40"/>
      <c r="I86" s="40"/>
      <c r="J86" s="40"/>
      <c r="K86" s="41"/>
      <c r="L86" s="334"/>
      <c r="M86" s="334"/>
      <c r="N86" s="39" t="s">
        <v>273</v>
      </c>
      <c r="O86" s="40"/>
      <c r="P86" s="40"/>
      <c r="Q86" s="40"/>
      <c r="R86" s="40"/>
      <c r="S86" s="40"/>
      <c r="T86" s="40"/>
      <c r="U86" s="40"/>
      <c r="V86" s="40"/>
      <c r="W86" s="40"/>
      <c r="X86" s="40"/>
      <c r="Y86" s="40"/>
      <c r="Z86" s="40"/>
      <c r="AA86" s="41"/>
      <c r="AB86" s="28"/>
    </row>
    <row r="87" spans="1:28" ht="18" customHeight="1">
      <c r="A87" s="26"/>
      <c r="B87" s="33">
        <v>79</v>
      </c>
      <c r="C87" s="39"/>
      <c r="D87" s="40" t="s">
        <v>381</v>
      </c>
      <c r="E87" s="40"/>
      <c r="F87" s="40"/>
      <c r="G87" s="40"/>
      <c r="H87" s="40"/>
      <c r="I87" s="40"/>
      <c r="J87" s="40"/>
      <c r="K87" s="41"/>
      <c r="L87" s="334"/>
      <c r="M87" s="334"/>
      <c r="N87" s="39" t="s">
        <v>273</v>
      </c>
      <c r="O87" s="40"/>
      <c r="P87" s="40"/>
      <c r="Q87" s="40"/>
      <c r="R87" s="40"/>
      <c r="S87" s="40"/>
      <c r="T87" s="40"/>
      <c r="U87" s="40"/>
      <c r="V87" s="40"/>
      <c r="W87" s="40"/>
      <c r="X87" s="40"/>
      <c r="Y87" s="40"/>
      <c r="Z87" s="40"/>
      <c r="AA87" s="41"/>
      <c r="AB87" s="28"/>
    </row>
    <row r="88" spans="1:28" ht="18" customHeight="1">
      <c r="A88" s="26"/>
      <c r="B88" s="33">
        <v>80</v>
      </c>
      <c r="C88" s="39"/>
      <c r="D88" s="40" t="s">
        <v>382</v>
      </c>
      <c r="E88" s="40"/>
      <c r="F88" s="40"/>
      <c r="G88" s="40"/>
      <c r="H88" s="40"/>
      <c r="I88" s="40"/>
      <c r="J88" s="40"/>
      <c r="K88" s="41"/>
      <c r="L88" s="334"/>
      <c r="M88" s="334"/>
      <c r="N88" s="39" t="s">
        <v>273</v>
      </c>
      <c r="O88" s="40"/>
      <c r="P88" s="40"/>
      <c r="Q88" s="40"/>
      <c r="R88" s="40"/>
      <c r="S88" s="40"/>
      <c r="T88" s="40"/>
      <c r="U88" s="40"/>
      <c r="V88" s="40"/>
      <c r="W88" s="40"/>
      <c r="X88" s="40"/>
      <c r="Y88" s="40"/>
      <c r="Z88" s="40"/>
      <c r="AA88" s="41"/>
      <c r="AB88" s="28"/>
    </row>
    <row r="89" spans="1:28" ht="18" customHeight="1">
      <c r="A89" s="26"/>
      <c r="B89" s="33">
        <v>81</v>
      </c>
      <c r="C89" s="39"/>
      <c r="D89" s="40" t="s">
        <v>383</v>
      </c>
      <c r="E89" s="40"/>
      <c r="F89" s="40"/>
      <c r="G89" s="40"/>
      <c r="H89" s="40"/>
      <c r="I89" s="40"/>
      <c r="J89" s="40"/>
      <c r="K89" s="41"/>
      <c r="L89" s="334"/>
      <c r="M89" s="334"/>
      <c r="N89" s="39" t="s">
        <v>273</v>
      </c>
      <c r="O89" s="40"/>
      <c r="P89" s="40"/>
      <c r="Q89" s="40"/>
      <c r="R89" s="40"/>
      <c r="S89" s="40"/>
      <c r="T89" s="40"/>
      <c r="U89" s="40"/>
      <c r="V89" s="40"/>
      <c r="W89" s="40"/>
      <c r="X89" s="40"/>
      <c r="Y89" s="40"/>
      <c r="Z89" s="40"/>
      <c r="AA89" s="41"/>
      <c r="AB89" s="28"/>
    </row>
    <row r="90" spans="1:28" ht="18" customHeight="1">
      <c r="A90" s="26"/>
      <c r="B90" s="33">
        <v>82</v>
      </c>
      <c r="C90" s="39"/>
      <c r="D90" s="40" t="s">
        <v>384</v>
      </c>
      <c r="E90" s="40"/>
      <c r="F90" s="40"/>
      <c r="G90" s="40"/>
      <c r="H90" s="40"/>
      <c r="I90" s="40"/>
      <c r="J90" s="40"/>
      <c r="K90" s="41"/>
      <c r="L90" s="334"/>
      <c r="M90" s="334"/>
      <c r="N90" s="39" t="s">
        <v>273</v>
      </c>
      <c r="O90" s="40"/>
      <c r="P90" s="40"/>
      <c r="Q90" s="40"/>
      <c r="R90" s="40"/>
      <c r="S90" s="40"/>
      <c r="T90" s="40"/>
      <c r="U90" s="40"/>
      <c r="V90" s="40"/>
      <c r="W90" s="40"/>
      <c r="X90" s="40"/>
      <c r="Y90" s="40"/>
      <c r="Z90" s="40"/>
      <c r="AA90" s="41"/>
      <c r="AB90" s="28"/>
    </row>
    <row r="91" spans="1:28" ht="18" customHeight="1">
      <c r="A91" s="26"/>
      <c r="B91" s="33">
        <v>83</v>
      </c>
      <c r="C91" s="39"/>
      <c r="D91" s="40" t="s">
        <v>385</v>
      </c>
      <c r="E91" s="40"/>
      <c r="F91" s="40"/>
      <c r="G91" s="40"/>
      <c r="H91" s="40"/>
      <c r="I91" s="40"/>
      <c r="J91" s="40"/>
      <c r="K91" s="41"/>
      <c r="L91" s="334"/>
      <c r="M91" s="334"/>
      <c r="N91" s="39" t="s">
        <v>273</v>
      </c>
      <c r="O91" s="40"/>
      <c r="P91" s="40"/>
      <c r="Q91" s="40"/>
      <c r="R91" s="40"/>
      <c r="S91" s="40"/>
      <c r="T91" s="40"/>
      <c r="U91" s="40"/>
      <c r="V91" s="40"/>
      <c r="W91" s="40"/>
      <c r="X91" s="40"/>
      <c r="Y91" s="40"/>
      <c r="Z91" s="40"/>
      <c r="AA91" s="41"/>
      <c r="AB91" s="28"/>
    </row>
    <row r="92" spans="1:28" ht="18" customHeight="1">
      <c r="A92" s="26"/>
      <c r="B92" s="33">
        <v>84</v>
      </c>
      <c r="C92" s="39"/>
      <c r="D92" s="40" t="s">
        <v>386</v>
      </c>
      <c r="E92" s="40"/>
      <c r="F92" s="40"/>
      <c r="G92" s="40"/>
      <c r="H92" s="40"/>
      <c r="I92" s="40"/>
      <c r="J92" s="40"/>
      <c r="K92" s="41"/>
      <c r="L92" s="334"/>
      <c r="M92" s="334"/>
      <c r="N92" s="39" t="s">
        <v>273</v>
      </c>
      <c r="O92" s="40"/>
      <c r="P92" s="40"/>
      <c r="Q92" s="40"/>
      <c r="R92" s="40"/>
      <c r="S92" s="40"/>
      <c r="T92" s="40"/>
      <c r="U92" s="40"/>
      <c r="V92" s="40"/>
      <c r="W92" s="40"/>
      <c r="X92" s="40"/>
      <c r="Y92" s="40"/>
      <c r="Z92" s="40"/>
      <c r="AA92" s="41"/>
      <c r="AB92" s="28"/>
    </row>
    <row r="93" spans="1:28" ht="18" customHeight="1">
      <c r="A93" s="26"/>
      <c r="B93" s="33">
        <v>85</v>
      </c>
      <c r="C93" s="39"/>
      <c r="D93" s="40" t="s">
        <v>387</v>
      </c>
      <c r="E93" s="40"/>
      <c r="F93" s="40"/>
      <c r="G93" s="40"/>
      <c r="H93" s="40"/>
      <c r="I93" s="40"/>
      <c r="J93" s="40"/>
      <c r="K93" s="41"/>
      <c r="L93" s="334"/>
      <c r="M93" s="334"/>
      <c r="N93" s="39" t="s">
        <v>273</v>
      </c>
      <c r="O93" s="40"/>
      <c r="P93" s="40"/>
      <c r="Q93" s="40"/>
      <c r="R93" s="40"/>
      <c r="S93" s="40"/>
      <c r="T93" s="40"/>
      <c r="U93" s="40"/>
      <c r="V93" s="40"/>
      <c r="W93" s="40"/>
      <c r="X93" s="40"/>
      <c r="Y93" s="40"/>
      <c r="Z93" s="40"/>
      <c r="AA93" s="41"/>
      <c r="AB93" s="28"/>
    </row>
    <row r="94" spans="1:28" ht="18" customHeight="1">
      <c r="A94" s="26"/>
      <c r="B94" s="33">
        <v>86</v>
      </c>
      <c r="C94" s="39"/>
      <c r="D94" s="40" t="s">
        <v>388</v>
      </c>
      <c r="E94" s="40"/>
      <c r="F94" s="40"/>
      <c r="G94" s="40"/>
      <c r="H94" s="40"/>
      <c r="I94" s="40"/>
      <c r="J94" s="40"/>
      <c r="K94" s="41"/>
      <c r="L94" s="334"/>
      <c r="M94" s="334"/>
      <c r="N94" s="39" t="s">
        <v>273</v>
      </c>
      <c r="O94" s="40"/>
      <c r="P94" s="40"/>
      <c r="Q94" s="40"/>
      <c r="R94" s="40"/>
      <c r="S94" s="40"/>
      <c r="T94" s="40"/>
      <c r="U94" s="40"/>
      <c r="V94" s="40"/>
      <c r="W94" s="40"/>
      <c r="X94" s="40"/>
      <c r="Y94" s="40"/>
      <c r="Z94" s="40"/>
      <c r="AA94" s="41"/>
      <c r="AB94" s="28"/>
    </row>
    <row r="95" spans="1:28" ht="18" customHeight="1">
      <c r="A95" s="26"/>
      <c r="B95" s="33">
        <v>87</v>
      </c>
      <c r="C95" s="39" t="s">
        <v>254</v>
      </c>
      <c r="D95" s="40"/>
      <c r="E95" s="40"/>
      <c r="F95" s="40"/>
      <c r="G95" s="40"/>
      <c r="H95" s="40"/>
      <c r="I95" s="40"/>
      <c r="J95" s="40"/>
      <c r="K95" s="41"/>
      <c r="L95" s="334"/>
      <c r="M95" s="334"/>
      <c r="N95" s="39" t="s">
        <v>273</v>
      </c>
      <c r="O95" s="40"/>
      <c r="P95" s="40"/>
      <c r="Q95" s="40"/>
      <c r="R95" s="40"/>
      <c r="S95" s="40"/>
      <c r="T95" s="40"/>
      <c r="U95" s="40"/>
      <c r="V95" s="40"/>
      <c r="W95" s="40"/>
      <c r="X95" s="40"/>
      <c r="Y95" s="40"/>
      <c r="Z95" s="40"/>
      <c r="AA95" s="41"/>
      <c r="AB95" s="28"/>
    </row>
    <row r="96" spans="1:28" ht="18" customHeight="1">
      <c r="A96" s="26"/>
      <c r="B96" s="33">
        <v>88</v>
      </c>
      <c r="C96" s="39"/>
      <c r="D96" s="40" t="s">
        <v>179</v>
      </c>
      <c r="E96" s="40"/>
      <c r="F96" s="40"/>
      <c r="G96" s="40"/>
      <c r="H96" s="40"/>
      <c r="I96" s="40"/>
      <c r="J96" s="40"/>
      <c r="K96" s="41"/>
      <c r="L96" s="334"/>
      <c r="M96" s="334"/>
      <c r="N96" s="39" t="s">
        <v>273</v>
      </c>
      <c r="O96" s="40"/>
      <c r="P96" s="40"/>
      <c r="Q96" s="40"/>
      <c r="R96" s="40"/>
      <c r="S96" s="40"/>
      <c r="T96" s="40"/>
      <c r="U96" s="40"/>
      <c r="V96" s="40"/>
      <c r="W96" s="40"/>
      <c r="X96" s="40"/>
      <c r="Y96" s="40"/>
      <c r="Z96" s="40"/>
      <c r="AA96" s="41"/>
      <c r="AB96" s="28"/>
    </row>
    <row r="97" spans="1:32" ht="18" customHeight="1">
      <c r="A97" s="26"/>
      <c r="B97" s="33">
        <v>89</v>
      </c>
      <c r="C97" s="39"/>
      <c r="D97" s="40" t="s">
        <v>180</v>
      </c>
      <c r="E97" s="40"/>
      <c r="F97" s="40"/>
      <c r="G97" s="40"/>
      <c r="H97" s="40"/>
      <c r="I97" s="40"/>
      <c r="J97" s="40"/>
      <c r="K97" s="41"/>
      <c r="L97" s="334"/>
      <c r="M97" s="334"/>
      <c r="N97" s="39" t="s">
        <v>273</v>
      </c>
      <c r="O97" s="40"/>
      <c r="P97" s="40"/>
      <c r="Q97" s="40"/>
      <c r="R97" s="40"/>
      <c r="S97" s="40"/>
      <c r="T97" s="40"/>
      <c r="U97" s="40"/>
      <c r="V97" s="40"/>
      <c r="W97" s="40"/>
      <c r="X97" s="40"/>
      <c r="Y97" s="40"/>
      <c r="Z97" s="40"/>
      <c r="AA97" s="41"/>
      <c r="AB97" s="28"/>
    </row>
    <row r="98" spans="1:32" ht="18" customHeight="1">
      <c r="A98" s="26"/>
      <c r="B98" s="33">
        <v>90</v>
      </c>
      <c r="C98" s="39"/>
      <c r="D98" s="40" t="s">
        <v>255</v>
      </c>
      <c r="E98" s="40"/>
      <c r="F98" s="40"/>
      <c r="G98" s="40"/>
      <c r="H98" s="40"/>
      <c r="I98" s="40"/>
      <c r="J98" s="40"/>
      <c r="K98" s="41"/>
      <c r="L98" s="334"/>
      <c r="M98" s="334"/>
      <c r="N98" s="39" t="s">
        <v>273</v>
      </c>
      <c r="O98" s="40"/>
      <c r="P98" s="40"/>
      <c r="Q98" s="40"/>
      <c r="R98" s="40"/>
      <c r="S98" s="40"/>
      <c r="T98" s="40"/>
      <c r="U98" s="40"/>
      <c r="V98" s="40"/>
      <c r="W98" s="40"/>
      <c r="X98" s="40"/>
      <c r="Y98" s="40"/>
      <c r="Z98" s="40"/>
      <c r="AA98" s="41"/>
      <c r="AB98" s="28"/>
    </row>
    <row r="99" spans="1:32" ht="18" customHeight="1">
      <c r="A99" s="26"/>
      <c r="B99" s="33">
        <v>91</v>
      </c>
      <c r="C99" s="39"/>
      <c r="D99" s="40" t="s">
        <v>223</v>
      </c>
      <c r="E99" s="40"/>
      <c r="F99" s="40"/>
      <c r="G99" s="40"/>
      <c r="H99" s="40"/>
      <c r="I99" s="40"/>
      <c r="J99" s="40"/>
      <c r="K99" s="41"/>
      <c r="L99" s="334"/>
      <c r="M99" s="334"/>
      <c r="N99" s="39" t="s">
        <v>273</v>
      </c>
      <c r="O99" s="40"/>
      <c r="P99" s="40"/>
      <c r="Q99" s="40"/>
      <c r="R99" s="40"/>
      <c r="S99" s="40"/>
      <c r="T99" s="40"/>
      <c r="U99" s="40"/>
      <c r="V99" s="40"/>
      <c r="W99" s="40"/>
      <c r="X99" s="40"/>
      <c r="Y99" s="40"/>
      <c r="Z99" s="40"/>
      <c r="AA99" s="41"/>
      <c r="AB99" s="28"/>
    </row>
    <row r="100" spans="1:32" ht="18" customHeight="1">
      <c r="A100" s="26"/>
      <c r="B100" s="33">
        <v>92</v>
      </c>
      <c r="C100" s="39"/>
      <c r="D100" s="40" t="s">
        <v>256</v>
      </c>
      <c r="E100" s="40"/>
      <c r="F100" s="40"/>
      <c r="G100" s="40"/>
      <c r="H100" s="40"/>
      <c r="I100" s="40"/>
      <c r="J100" s="40"/>
      <c r="K100" s="41"/>
      <c r="L100" s="334"/>
      <c r="M100" s="334"/>
      <c r="N100" s="39" t="s">
        <v>273</v>
      </c>
      <c r="O100" s="40"/>
      <c r="P100" s="40"/>
      <c r="Q100" s="40"/>
      <c r="R100" s="40"/>
      <c r="S100" s="40"/>
      <c r="T100" s="40"/>
      <c r="U100" s="40"/>
      <c r="V100" s="40"/>
      <c r="W100" s="40"/>
      <c r="X100" s="40"/>
      <c r="Y100" s="40"/>
      <c r="Z100" s="40"/>
      <c r="AA100" s="41"/>
      <c r="AB100" s="28"/>
    </row>
    <row r="101" spans="1:32" ht="18" customHeight="1">
      <c r="A101" s="26"/>
      <c r="B101" s="33">
        <v>93</v>
      </c>
      <c r="C101" s="39"/>
      <c r="D101" s="40" t="s">
        <v>74</v>
      </c>
      <c r="E101" s="40"/>
      <c r="F101" s="40"/>
      <c r="G101" s="40"/>
      <c r="H101" s="40"/>
      <c r="I101" s="40"/>
      <c r="J101" s="40"/>
      <c r="K101" s="41"/>
      <c r="L101" s="334"/>
      <c r="M101" s="334"/>
      <c r="N101" s="39" t="s">
        <v>273</v>
      </c>
      <c r="O101" s="40"/>
      <c r="P101" s="40"/>
      <c r="Q101" s="40"/>
      <c r="R101" s="40"/>
      <c r="S101" s="40"/>
      <c r="T101" s="40"/>
      <c r="U101" s="40"/>
      <c r="V101" s="40"/>
      <c r="W101" s="40"/>
      <c r="X101" s="40"/>
      <c r="Y101" s="40"/>
      <c r="Z101" s="40"/>
      <c r="AA101" s="41"/>
      <c r="AB101" s="28"/>
    </row>
    <row r="102" spans="1:32" ht="18" customHeight="1">
      <c r="A102" s="26"/>
      <c r="B102" s="33">
        <v>94</v>
      </c>
      <c r="C102" s="39"/>
      <c r="D102" s="40" t="s">
        <v>207</v>
      </c>
      <c r="E102" s="40"/>
      <c r="F102" s="40"/>
      <c r="G102" s="40"/>
      <c r="H102" s="40"/>
      <c r="I102" s="40"/>
      <c r="J102" s="40"/>
      <c r="K102" s="41"/>
      <c r="L102" s="334"/>
      <c r="M102" s="334"/>
      <c r="N102" s="39" t="s">
        <v>273</v>
      </c>
      <c r="O102" s="40"/>
      <c r="P102" s="40"/>
      <c r="Q102" s="40"/>
      <c r="R102" s="40"/>
      <c r="S102" s="40"/>
      <c r="T102" s="40"/>
      <c r="U102" s="40"/>
      <c r="V102" s="40"/>
      <c r="W102" s="40"/>
      <c r="X102" s="40"/>
      <c r="Y102" s="40"/>
      <c r="Z102" s="40"/>
      <c r="AA102" s="41"/>
      <c r="AB102" s="28"/>
    </row>
    <row r="103" spans="1:32" ht="18" customHeight="1">
      <c r="A103" s="26"/>
      <c r="B103" s="33">
        <v>95</v>
      </c>
      <c r="C103" s="39"/>
      <c r="D103" s="40" t="s">
        <v>208</v>
      </c>
      <c r="E103" s="40"/>
      <c r="F103" s="40"/>
      <c r="G103" s="40"/>
      <c r="H103" s="40"/>
      <c r="I103" s="40"/>
      <c r="J103" s="40"/>
      <c r="K103" s="41"/>
      <c r="L103" s="334"/>
      <c r="M103" s="334"/>
      <c r="N103" s="39" t="s">
        <v>273</v>
      </c>
      <c r="O103" s="40"/>
      <c r="P103" s="40"/>
      <c r="Q103" s="40"/>
      <c r="R103" s="40"/>
      <c r="S103" s="40"/>
      <c r="T103" s="40"/>
      <c r="U103" s="40"/>
      <c r="V103" s="40"/>
      <c r="W103" s="40"/>
      <c r="X103" s="40"/>
      <c r="Y103" s="40"/>
      <c r="Z103" s="40"/>
      <c r="AA103" s="41"/>
      <c r="AB103" s="28"/>
    </row>
    <row r="104" spans="1:32" ht="18" customHeight="1">
      <c r="A104" s="26"/>
      <c r="B104" s="33">
        <v>96</v>
      </c>
      <c r="C104" s="39"/>
      <c r="D104" s="40" t="s">
        <v>209</v>
      </c>
      <c r="E104" s="40"/>
      <c r="F104" s="40"/>
      <c r="G104" s="40"/>
      <c r="H104" s="40"/>
      <c r="I104" s="40"/>
      <c r="J104" s="40"/>
      <c r="K104" s="41"/>
      <c r="L104" s="334"/>
      <c r="M104" s="334"/>
      <c r="N104" s="39" t="s">
        <v>273</v>
      </c>
      <c r="O104" s="40"/>
      <c r="P104" s="40"/>
      <c r="Q104" s="40"/>
      <c r="R104" s="40"/>
      <c r="S104" s="40"/>
      <c r="T104" s="40"/>
      <c r="U104" s="40"/>
      <c r="V104" s="40"/>
      <c r="W104" s="40"/>
      <c r="X104" s="40"/>
      <c r="Y104" s="40"/>
      <c r="Z104" s="40"/>
      <c r="AA104" s="41"/>
      <c r="AB104" s="28"/>
    </row>
    <row r="105" spans="1:32" ht="18" customHeight="1">
      <c r="A105" s="26"/>
      <c r="B105" s="33">
        <v>97</v>
      </c>
      <c r="C105" s="39"/>
      <c r="D105" s="40" t="s">
        <v>227</v>
      </c>
      <c r="E105" s="40"/>
      <c r="F105" s="40"/>
      <c r="G105" s="40"/>
      <c r="H105" s="40"/>
      <c r="I105" s="40"/>
      <c r="J105" s="40"/>
      <c r="K105" s="41"/>
      <c r="L105" s="334"/>
      <c r="M105" s="334"/>
      <c r="N105" s="39" t="s">
        <v>273</v>
      </c>
      <c r="O105" s="40"/>
      <c r="P105" s="40"/>
      <c r="Q105" s="40"/>
      <c r="R105" s="40"/>
      <c r="S105" s="40"/>
      <c r="T105" s="40"/>
      <c r="U105" s="40"/>
      <c r="V105" s="40"/>
      <c r="W105" s="40"/>
      <c r="X105" s="40"/>
      <c r="Y105" s="40"/>
      <c r="Z105" s="40"/>
      <c r="AA105" s="41"/>
      <c r="AB105" s="28"/>
    </row>
    <row r="106" spans="1:32" ht="18" customHeight="1">
      <c r="A106" s="26"/>
      <c r="B106" s="33">
        <v>98</v>
      </c>
      <c r="C106" s="39"/>
      <c r="D106" s="40" t="s">
        <v>228</v>
      </c>
      <c r="E106" s="40"/>
      <c r="F106" s="40"/>
      <c r="G106" s="40"/>
      <c r="H106" s="40"/>
      <c r="I106" s="40"/>
      <c r="J106" s="40"/>
      <c r="K106" s="41"/>
      <c r="L106" s="334"/>
      <c r="M106" s="334"/>
      <c r="N106" s="39" t="s">
        <v>273</v>
      </c>
      <c r="O106" s="40"/>
      <c r="P106" s="40"/>
      <c r="Q106" s="40"/>
      <c r="R106" s="40"/>
      <c r="S106" s="40"/>
      <c r="T106" s="40"/>
      <c r="U106" s="40"/>
      <c r="V106" s="40"/>
      <c r="W106" s="40"/>
      <c r="X106" s="40"/>
      <c r="Y106" s="40"/>
      <c r="Z106" s="40"/>
      <c r="AA106" s="41"/>
      <c r="AB106" s="28"/>
    </row>
    <row r="107" spans="1:32" ht="18" customHeight="1">
      <c r="A107" s="43"/>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5"/>
    </row>
    <row r="108" spans="1:32" ht="18" customHeight="1">
      <c r="A108" s="26"/>
      <c r="B108" s="27" t="s">
        <v>14</v>
      </c>
      <c r="AB108" s="28"/>
    </row>
    <row r="109" spans="1:32" ht="18" customHeight="1">
      <c r="A109" s="26"/>
      <c r="AB109" s="28"/>
    </row>
    <row r="110" spans="1:32" ht="18" customHeight="1">
      <c r="A110" s="26"/>
      <c r="B110" s="27" t="s">
        <v>835</v>
      </c>
      <c r="AB110" s="28"/>
    </row>
    <row r="111" spans="1:32" ht="18" customHeight="1">
      <c r="A111" s="26"/>
      <c r="AB111" s="28"/>
    </row>
    <row r="112" spans="1:32" ht="18" customHeight="1">
      <c r="A112" s="26"/>
      <c r="B112" s="27" t="s">
        <v>806</v>
      </c>
      <c r="C112" s="35"/>
      <c r="AB112" s="28"/>
      <c r="AC112" s="70" t="s">
        <v>655</v>
      </c>
      <c r="AF112" s="27"/>
    </row>
    <row r="113" spans="1:32" ht="18" customHeight="1">
      <c r="A113" s="26"/>
      <c r="C113" s="319" t="s">
        <v>483</v>
      </c>
      <c r="D113" s="319"/>
      <c r="E113" s="319"/>
      <c r="F113" s="319"/>
      <c r="G113" s="333" t="s">
        <v>615</v>
      </c>
      <c r="H113" s="333"/>
      <c r="I113" s="333"/>
      <c r="J113" s="333"/>
      <c r="K113" s="333"/>
      <c r="L113" s="333"/>
      <c r="M113" s="333"/>
      <c r="N113" s="333"/>
      <c r="O113" s="333"/>
      <c r="P113" s="333"/>
      <c r="Q113" s="333"/>
      <c r="R113" s="333"/>
      <c r="S113" s="333"/>
      <c r="T113" s="333"/>
      <c r="U113" s="333"/>
      <c r="V113" s="333"/>
      <c r="W113" s="333"/>
      <c r="X113" s="333"/>
      <c r="Y113" s="333"/>
      <c r="Z113" s="333"/>
      <c r="AA113" s="333"/>
      <c r="AB113" s="28"/>
      <c r="AC113" s="70"/>
      <c r="AD113" s="36"/>
      <c r="AF113" s="27"/>
    </row>
    <row r="114" spans="1:32" ht="18" customHeight="1">
      <c r="A114" s="26"/>
      <c r="C114" s="323" t="s">
        <v>35</v>
      </c>
      <c r="D114" s="324"/>
      <c r="E114" s="324"/>
      <c r="F114" s="325"/>
      <c r="G114" s="332" t="s">
        <v>616</v>
      </c>
      <c r="H114" s="332"/>
      <c r="I114" s="332"/>
      <c r="J114" s="332"/>
      <c r="K114" s="332"/>
      <c r="L114" s="332"/>
      <c r="M114" s="332"/>
      <c r="N114" s="332"/>
      <c r="O114" s="332"/>
      <c r="P114" s="332"/>
      <c r="Q114" s="332"/>
      <c r="R114" s="332"/>
      <c r="S114" s="332"/>
      <c r="T114" s="332"/>
      <c r="U114" s="332"/>
      <c r="V114" s="332"/>
      <c r="W114" s="332"/>
      <c r="X114" s="332"/>
      <c r="Y114" s="332"/>
      <c r="Z114" s="332"/>
      <c r="AA114" s="332"/>
      <c r="AB114" s="28"/>
      <c r="AC114" s="70"/>
      <c r="AF114" s="27"/>
    </row>
    <row r="115" spans="1:32" ht="18" customHeight="1">
      <c r="A115" s="26"/>
      <c r="C115" s="326"/>
      <c r="D115" s="327"/>
      <c r="E115" s="327"/>
      <c r="F115" s="328"/>
      <c r="G115" s="333" t="s">
        <v>617</v>
      </c>
      <c r="H115" s="333"/>
      <c r="I115" s="333"/>
      <c r="J115" s="333"/>
      <c r="K115" s="333"/>
      <c r="L115" s="333"/>
      <c r="M115" s="333"/>
      <c r="N115" s="333"/>
      <c r="O115" s="333"/>
      <c r="P115" s="333"/>
      <c r="Q115" s="333"/>
      <c r="R115" s="333"/>
      <c r="S115" s="333"/>
      <c r="T115" s="333"/>
      <c r="U115" s="333"/>
      <c r="V115" s="333"/>
      <c r="W115" s="333"/>
      <c r="X115" s="333"/>
      <c r="Y115" s="333"/>
      <c r="Z115" s="333"/>
      <c r="AA115" s="333"/>
      <c r="AB115" s="28"/>
      <c r="AC115" s="70"/>
      <c r="AF115" s="27"/>
    </row>
    <row r="116" spans="1:32" ht="18" customHeight="1">
      <c r="A116" s="26"/>
      <c r="C116" s="329"/>
      <c r="D116" s="330"/>
      <c r="E116" s="330"/>
      <c r="F116" s="331"/>
      <c r="G116" s="333" t="s">
        <v>618</v>
      </c>
      <c r="H116" s="333"/>
      <c r="I116" s="333"/>
      <c r="J116" s="333"/>
      <c r="K116" s="333"/>
      <c r="L116" s="333"/>
      <c r="M116" s="333"/>
      <c r="N116" s="333"/>
      <c r="O116" s="333"/>
      <c r="P116" s="333"/>
      <c r="Q116" s="333"/>
      <c r="R116" s="333"/>
      <c r="S116" s="333"/>
      <c r="T116" s="333"/>
      <c r="U116" s="333"/>
      <c r="V116" s="333"/>
      <c r="W116" s="333"/>
      <c r="X116" s="333"/>
      <c r="Y116" s="333"/>
      <c r="Z116" s="333"/>
      <c r="AA116" s="333"/>
      <c r="AB116" s="28"/>
      <c r="AC116" s="70"/>
      <c r="AF116" s="27"/>
    </row>
    <row r="117" spans="1:32" ht="18" customHeight="1">
      <c r="A117" s="26"/>
      <c r="C117" s="319" t="s">
        <v>613</v>
      </c>
      <c r="D117" s="319"/>
      <c r="E117" s="319"/>
      <c r="F117" s="319"/>
      <c r="G117" s="320" t="s">
        <v>619</v>
      </c>
      <c r="H117" s="321"/>
      <c r="I117" s="321"/>
      <c r="J117" s="321"/>
      <c r="K117" s="321"/>
      <c r="L117" s="321"/>
      <c r="M117" s="321"/>
      <c r="N117" s="321"/>
      <c r="O117" s="321"/>
      <c r="P117" s="321"/>
      <c r="Q117" s="321"/>
      <c r="R117" s="321"/>
      <c r="S117" s="321"/>
      <c r="T117" s="321"/>
      <c r="U117" s="321"/>
      <c r="V117" s="321"/>
      <c r="W117" s="321"/>
      <c r="X117" s="321"/>
      <c r="Y117" s="321"/>
      <c r="Z117" s="321"/>
      <c r="AA117" s="322"/>
      <c r="AB117" s="28"/>
      <c r="AC117" s="70"/>
      <c r="AF117" s="27"/>
    </row>
    <row r="118" spans="1:32" ht="18" customHeight="1">
      <c r="A118" s="26"/>
      <c r="C118" s="323" t="s">
        <v>17</v>
      </c>
      <c r="D118" s="324"/>
      <c r="E118" s="324"/>
      <c r="F118" s="325"/>
      <c r="G118" s="332" t="s">
        <v>622</v>
      </c>
      <c r="H118" s="332"/>
      <c r="I118" s="332"/>
      <c r="J118" s="332"/>
      <c r="K118" s="332"/>
      <c r="L118" s="332"/>
      <c r="M118" s="332"/>
      <c r="N118" s="332"/>
      <c r="O118" s="332"/>
      <c r="P118" s="332"/>
      <c r="Q118" s="332"/>
      <c r="R118" s="332"/>
      <c r="S118" s="332"/>
      <c r="T118" s="332"/>
      <c r="U118" s="332"/>
      <c r="V118" s="332"/>
      <c r="W118" s="332"/>
      <c r="X118" s="332"/>
      <c r="Y118" s="332"/>
      <c r="Z118" s="332"/>
      <c r="AA118" s="332"/>
      <c r="AB118" s="28"/>
      <c r="AC118" s="70"/>
      <c r="AF118" s="27"/>
    </row>
    <row r="119" spans="1:32" ht="18" customHeight="1">
      <c r="A119" s="26"/>
      <c r="C119" s="326"/>
      <c r="D119" s="327"/>
      <c r="E119" s="327"/>
      <c r="F119" s="328"/>
      <c r="G119" s="333" t="s">
        <v>620</v>
      </c>
      <c r="H119" s="333"/>
      <c r="I119" s="333"/>
      <c r="J119" s="333"/>
      <c r="K119" s="333"/>
      <c r="L119" s="333"/>
      <c r="M119" s="333"/>
      <c r="N119" s="333"/>
      <c r="O119" s="333"/>
      <c r="P119" s="333"/>
      <c r="Q119" s="333"/>
      <c r="R119" s="333"/>
      <c r="S119" s="333"/>
      <c r="T119" s="333"/>
      <c r="U119" s="333"/>
      <c r="V119" s="333"/>
      <c r="W119" s="333"/>
      <c r="X119" s="333"/>
      <c r="Y119" s="333"/>
      <c r="Z119" s="333"/>
      <c r="AA119" s="333"/>
      <c r="AB119" s="28"/>
      <c r="AC119" s="70"/>
      <c r="AF119" s="27"/>
    </row>
    <row r="120" spans="1:32" ht="18" customHeight="1">
      <c r="A120" s="26"/>
      <c r="C120" s="329"/>
      <c r="D120" s="330"/>
      <c r="E120" s="330"/>
      <c r="F120" s="331"/>
      <c r="G120" s="333" t="s">
        <v>621</v>
      </c>
      <c r="H120" s="333"/>
      <c r="I120" s="333"/>
      <c r="J120" s="333"/>
      <c r="K120" s="333"/>
      <c r="L120" s="333"/>
      <c r="M120" s="333"/>
      <c r="N120" s="333"/>
      <c r="O120" s="333"/>
      <c r="P120" s="333"/>
      <c r="Q120" s="333"/>
      <c r="R120" s="333"/>
      <c r="S120" s="333"/>
      <c r="T120" s="333"/>
      <c r="U120" s="333"/>
      <c r="V120" s="333"/>
      <c r="W120" s="333"/>
      <c r="X120" s="333"/>
      <c r="Y120" s="333"/>
      <c r="Z120" s="333"/>
      <c r="AA120" s="333"/>
      <c r="AB120" s="28"/>
      <c r="AC120" s="70"/>
      <c r="AF120" s="27"/>
    </row>
    <row r="121" spans="1:32" ht="18" customHeight="1">
      <c r="A121" s="26"/>
      <c r="C121" s="319" t="s">
        <v>613</v>
      </c>
      <c r="D121" s="319"/>
      <c r="E121" s="319"/>
      <c r="F121" s="319"/>
      <c r="G121" s="320" t="s">
        <v>623</v>
      </c>
      <c r="H121" s="321"/>
      <c r="I121" s="321"/>
      <c r="J121" s="321"/>
      <c r="K121" s="321"/>
      <c r="L121" s="321"/>
      <c r="M121" s="321"/>
      <c r="N121" s="321"/>
      <c r="O121" s="321"/>
      <c r="P121" s="321"/>
      <c r="Q121" s="321"/>
      <c r="R121" s="321"/>
      <c r="S121" s="321"/>
      <c r="T121" s="321"/>
      <c r="U121" s="321"/>
      <c r="V121" s="321"/>
      <c r="W121" s="321"/>
      <c r="X121" s="321"/>
      <c r="Y121" s="321"/>
      <c r="Z121" s="321"/>
      <c r="AA121" s="322"/>
      <c r="AB121" s="28"/>
      <c r="AC121" s="70"/>
      <c r="AF121" s="27"/>
    </row>
    <row r="122" spans="1:32" ht="18" customHeight="1">
      <c r="A122" s="26"/>
      <c r="C122" s="323" t="s">
        <v>17</v>
      </c>
      <c r="D122" s="324"/>
      <c r="E122" s="324"/>
      <c r="F122" s="325"/>
      <c r="G122" s="332" t="s">
        <v>624</v>
      </c>
      <c r="H122" s="332"/>
      <c r="I122" s="332"/>
      <c r="J122" s="332"/>
      <c r="K122" s="332"/>
      <c r="L122" s="332"/>
      <c r="M122" s="332"/>
      <c r="N122" s="332"/>
      <c r="O122" s="332"/>
      <c r="P122" s="332"/>
      <c r="Q122" s="332"/>
      <c r="R122" s="332"/>
      <c r="S122" s="332"/>
      <c r="T122" s="332"/>
      <c r="U122" s="332"/>
      <c r="V122" s="332"/>
      <c r="W122" s="332"/>
      <c r="X122" s="332"/>
      <c r="Y122" s="332"/>
      <c r="Z122" s="332"/>
      <c r="AA122" s="332"/>
      <c r="AB122" s="28"/>
      <c r="AC122" s="70"/>
      <c r="AF122" s="27"/>
    </row>
    <row r="123" spans="1:32" ht="18" customHeight="1">
      <c r="A123" s="26"/>
      <c r="C123" s="326"/>
      <c r="D123" s="327"/>
      <c r="E123" s="327"/>
      <c r="F123" s="328"/>
      <c r="G123" s="333" t="s">
        <v>625</v>
      </c>
      <c r="H123" s="333"/>
      <c r="I123" s="333"/>
      <c r="J123" s="333"/>
      <c r="K123" s="333"/>
      <c r="L123" s="333"/>
      <c r="M123" s="333"/>
      <c r="N123" s="333"/>
      <c r="O123" s="333"/>
      <c r="P123" s="333"/>
      <c r="Q123" s="333"/>
      <c r="R123" s="333"/>
      <c r="S123" s="333"/>
      <c r="T123" s="333"/>
      <c r="U123" s="333"/>
      <c r="V123" s="333"/>
      <c r="W123" s="333"/>
      <c r="X123" s="333"/>
      <c r="Y123" s="333"/>
      <c r="Z123" s="333"/>
      <c r="AA123" s="333"/>
      <c r="AB123" s="28"/>
      <c r="AC123" s="70"/>
      <c r="AF123" s="27"/>
    </row>
    <row r="124" spans="1:32" ht="18" customHeight="1">
      <c r="A124" s="26"/>
      <c r="C124" s="329"/>
      <c r="D124" s="330"/>
      <c r="E124" s="330"/>
      <c r="F124" s="331"/>
      <c r="G124" s="333" t="s">
        <v>626</v>
      </c>
      <c r="H124" s="333"/>
      <c r="I124" s="333"/>
      <c r="J124" s="333"/>
      <c r="K124" s="333"/>
      <c r="L124" s="333"/>
      <c r="M124" s="333"/>
      <c r="N124" s="333"/>
      <c r="O124" s="333"/>
      <c r="P124" s="333"/>
      <c r="Q124" s="333"/>
      <c r="R124" s="333"/>
      <c r="S124" s="333"/>
      <c r="T124" s="333"/>
      <c r="U124" s="333"/>
      <c r="V124" s="333"/>
      <c r="W124" s="333"/>
      <c r="X124" s="333"/>
      <c r="Y124" s="333"/>
      <c r="Z124" s="333"/>
      <c r="AA124" s="333"/>
      <c r="AB124" s="28"/>
      <c r="AC124" s="70"/>
      <c r="AF124" s="27"/>
    </row>
    <row r="125" spans="1:32" ht="18" customHeight="1">
      <c r="A125" s="26"/>
      <c r="C125" s="46"/>
      <c r="D125" s="38"/>
      <c r="AB125" s="28"/>
      <c r="AC125" s="70"/>
    </row>
    <row r="126" spans="1:32" ht="18" customHeight="1">
      <c r="A126" s="26"/>
      <c r="C126" s="53" t="s">
        <v>657</v>
      </c>
      <c r="AB126" s="28"/>
      <c r="AC126" s="70"/>
      <c r="AF126" s="27"/>
    </row>
    <row r="127" spans="1:32" ht="18" customHeight="1">
      <c r="A127" s="26"/>
      <c r="L127" s="38"/>
      <c r="M127" s="38"/>
      <c r="N127" s="38"/>
      <c r="O127" s="38"/>
      <c r="P127" s="38"/>
      <c r="Q127" s="38"/>
      <c r="R127" s="38"/>
      <c r="S127" s="38"/>
      <c r="T127" s="38"/>
      <c r="U127" s="38"/>
      <c r="V127" s="38"/>
      <c r="W127" s="38"/>
      <c r="X127" s="38"/>
      <c r="Y127" s="38"/>
      <c r="Z127" s="38"/>
      <c r="AA127" s="38"/>
      <c r="AB127" s="28"/>
      <c r="AC127" s="70"/>
      <c r="AF127" s="27"/>
    </row>
    <row r="128" spans="1:32" ht="18" customHeight="1">
      <c r="A128" s="26"/>
      <c r="C128" s="35" t="s">
        <v>852</v>
      </c>
      <c r="AB128" s="28"/>
      <c r="AC128" s="70"/>
      <c r="AF128" s="27"/>
    </row>
    <row r="129" spans="1:32" ht="18" customHeight="1">
      <c r="A129" s="26"/>
      <c r="C129" s="337" t="s">
        <v>7</v>
      </c>
      <c r="D129" s="337"/>
      <c r="E129" s="343" t="s">
        <v>9</v>
      </c>
      <c r="F129" s="344"/>
      <c r="G129" s="344"/>
      <c r="H129" s="344"/>
      <c r="I129" s="344"/>
      <c r="J129" s="344"/>
      <c r="K129" s="345"/>
      <c r="L129" s="343" t="s">
        <v>18</v>
      </c>
      <c r="M129" s="344"/>
      <c r="N129" s="344"/>
      <c r="O129" s="344"/>
      <c r="P129" s="344"/>
      <c r="Q129" s="344"/>
      <c r="R129" s="344"/>
      <c r="S129" s="344"/>
      <c r="T129" s="344"/>
      <c r="U129" s="344"/>
      <c r="V129" s="344"/>
      <c r="W129" s="344"/>
      <c r="X129" s="344"/>
      <c r="Y129" s="344"/>
      <c r="Z129" s="344"/>
      <c r="AA129" s="345"/>
      <c r="AB129" s="28"/>
      <c r="AC129" s="70"/>
      <c r="AF129" s="27"/>
    </row>
    <row r="130" spans="1:32" ht="18" customHeight="1">
      <c r="A130" s="26"/>
      <c r="C130" s="334">
        <v>1</v>
      </c>
      <c r="D130" s="334"/>
      <c r="E130" s="34" t="s">
        <v>627</v>
      </c>
      <c r="F130" s="40"/>
      <c r="G130" s="40"/>
      <c r="H130" s="40"/>
      <c r="I130" s="40"/>
      <c r="J130" s="40"/>
      <c r="K130" s="41"/>
      <c r="L130" s="39"/>
      <c r="M130" s="40"/>
      <c r="N130" s="40"/>
      <c r="O130" s="40"/>
      <c r="P130" s="40"/>
      <c r="Q130" s="40"/>
      <c r="R130" s="40"/>
      <c r="S130" s="40"/>
      <c r="T130" s="40"/>
      <c r="U130" s="40"/>
      <c r="V130" s="40"/>
      <c r="W130" s="40"/>
      <c r="X130" s="40"/>
      <c r="Y130" s="40"/>
      <c r="Z130" s="40"/>
      <c r="AA130" s="41"/>
      <c r="AB130" s="28"/>
      <c r="AC130" s="70"/>
      <c r="AF130" s="27"/>
    </row>
    <row r="131" spans="1:32" ht="18" customHeight="1">
      <c r="A131" s="26"/>
      <c r="C131" s="334">
        <v>2</v>
      </c>
      <c r="D131" s="334"/>
      <c r="E131" s="47"/>
      <c r="F131" s="40" t="s">
        <v>284</v>
      </c>
      <c r="G131" s="40"/>
      <c r="H131" s="40"/>
      <c r="I131" s="40"/>
      <c r="J131" s="40"/>
      <c r="K131" s="41"/>
      <c r="L131" s="39" t="s">
        <v>628</v>
      </c>
      <c r="M131" s="40"/>
      <c r="N131" s="40"/>
      <c r="O131" s="40"/>
      <c r="P131" s="40"/>
      <c r="Q131" s="40"/>
      <c r="R131" s="40"/>
      <c r="S131" s="40"/>
      <c r="T131" s="40"/>
      <c r="U131" s="40"/>
      <c r="V131" s="40"/>
      <c r="W131" s="40"/>
      <c r="X131" s="40"/>
      <c r="Y131" s="40"/>
      <c r="Z131" s="40"/>
      <c r="AA131" s="41"/>
      <c r="AB131" s="28"/>
      <c r="AC131" s="70"/>
      <c r="AF131" s="27"/>
    </row>
    <row r="132" spans="1:32" ht="18" customHeight="1">
      <c r="A132" s="26"/>
      <c r="C132" s="46"/>
      <c r="D132" s="38"/>
      <c r="AB132" s="28"/>
      <c r="AC132" s="70"/>
    </row>
    <row r="133" spans="1:32" ht="18" customHeight="1">
      <c r="A133" s="26"/>
      <c r="C133" s="35" t="s">
        <v>853</v>
      </c>
      <c r="AB133" s="28"/>
      <c r="AC133" s="70"/>
      <c r="AF133" s="27"/>
    </row>
    <row r="134" spans="1:32" ht="18" customHeight="1">
      <c r="A134" s="26"/>
      <c r="C134" s="319" t="s">
        <v>483</v>
      </c>
      <c r="D134" s="319"/>
      <c r="E134" s="319"/>
      <c r="F134" s="319"/>
      <c r="G134" s="333" t="s">
        <v>629</v>
      </c>
      <c r="H134" s="333"/>
      <c r="I134" s="333"/>
      <c r="J134" s="333"/>
      <c r="K134" s="333"/>
      <c r="L134" s="333"/>
      <c r="M134" s="333"/>
      <c r="N134" s="333"/>
      <c r="O134" s="333"/>
      <c r="P134" s="333"/>
      <c r="Q134" s="333"/>
      <c r="R134" s="333"/>
      <c r="S134" s="333"/>
      <c r="T134" s="333"/>
      <c r="U134" s="333"/>
      <c r="V134" s="333"/>
      <c r="W134" s="333"/>
      <c r="X134" s="333"/>
      <c r="Y134" s="333"/>
      <c r="Z134" s="333"/>
      <c r="AA134" s="333"/>
      <c r="AB134" s="28"/>
      <c r="AC134" s="70"/>
      <c r="AD134" s="36"/>
      <c r="AF134" s="27"/>
    </row>
    <row r="135" spans="1:32" ht="36" customHeight="1">
      <c r="A135" s="26"/>
      <c r="C135" s="319" t="s">
        <v>637</v>
      </c>
      <c r="D135" s="319"/>
      <c r="E135" s="319"/>
      <c r="F135" s="319"/>
      <c r="G135" s="332" t="s">
        <v>638</v>
      </c>
      <c r="H135" s="332"/>
      <c r="I135" s="332"/>
      <c r="J135" s="332"/>
      <c r="K135" s="332"/>
      <c r="L135" s="332"/>
      <c r="M135" s="332"/>
      <c r="N135" s="332"/>
      <c r="O135" s="332"/>
      <c r="P135" s="332"/>
      <c r="Q135" s="332"/>
      <c r="R135" s="332"/>
      <c r="S135" s="332"/>
      <c r="T135" s="332"/>
      <c r="U135" s="332"/>
      <c r="V135" s="332"/>
      <c r="W135" s="332"/>
      <c r="X135" s="332"/>
      <c r="Y135" s="332"/>
      <c r="Z135" s="332"/>
      <c r="AA135" s="332"/>
      <c r="AB135" s="28"/>
      <c r="AC135" s="70"/>
      <c r="AD135" s="36"/>
      <c r="AF135" s="27"/>
    </row>
    <row r="136" spans="1:32" ht="18" customHeight="1">
      <c r="A136" s="26"/>
      <c r="C136" s="319" t="s">
        <v>640</v>
      </c>
      <c r="D136" s="319"/>
      <c r="E136" s="319"/>
      <c r="F136" s="319"/>
      <c r="G136" s="333" t="s">
        <v>639</v>
      </c>
      <c r="H136" s="333"/>
      <c r="I136" s="333"/>
      <c r="J136" s="333"/>
      <c r="K136" s="333"/>
      <c r="L136" s="333"/>
      <c r="M136" s="333"/>
      <c r="N136" s="333"/>
      <c r="O136" s="333"/>
      <c r="P136" s="333"/>
      <c r="Q136" s="333"/>
      <c r="R136" s="333"/>
      <c r="S136" s="333"/>
      <c r="T136" s="333"/>
      <c r="U136" s="333"/>
      <c r="V136" s="333"/>
      <c r="W136" s="333"/>
      <c r="X136" s="333"/>
      <c r="Y136" s="333"/>
      <c r="Z136" s="333"/>
      <c r="AA136" s="333"/>
      <c r="AB136" s="28"/>
      <c r="AC136" s="70"/>
      <c r="AD136" s="36"/>
      <c r="AF136" s="27"/>
    </row>
    <row r="137" spans="1:32" ht="18" customHeight="1">
      <c r="A137" s="26"/>
      <c r="C137" s="323" t="s">
        <v>35</v>
      </c>
      <c r="D137" s="324"/>
      <c r="E137" s="324"/>
      <c r="F137" s="325"/>
      <c r="G137" s="332" t="s">
        <v>630</v>
      </c>
      <c r="H137" s="332"/>
      <c r="I137" s="332"/>
      <c r="J137" s="332"/>
      <c r="K137" s="332"/>
      <c r="L137" s="332"/>
      <c r="M137" s="332"/>
      <c r="N137" s="332"/>
      <c r="O137" s="332"/>
      <c r="P137" s="332"/>
      <c r="Q137" s="332"/>
      <c r="R137" s="332"/>
      <c r="S137" s="332"/>
      <c r="T137" s="332"/>
      <c r="U137" s="332"/>
      <c r="V137" s="332"/>
      <c r="W137" s="332"/>
      <c r="X137" s="332"/>
      <c r="Y137" s="332"/>
      <c r="Z137" s="332"/>
      <c r="AA137" s="332"/>
      <c r="AB137" s="28"/>
      <c r="AC137" s="70"/>
      <c r="AF137" s="27"/>
    </row>
    <row r="138" spans="1:32" ht="18" customHeight="1">
      <c r="A138" s="26"/>
      <c r="C138" s="326"/>
      <c r="D138" s="327"/>
      <c r="E138" s="327"/>
      <c r="F138" s="328"/>
      <c r="G138" s="333" t="s">
        <v>631</v>
      </c>
      <c r="H138" s="333"/>
      <c r="I138" s="333"/>
      <c r="J138" s="333"/>
      <c r="K138" s="333"/>
      <c r="L138" s="333"/>
      <c r="M138" s="333"/>
      <c r="N138" s="333"/>
      <c r="O138" s="333"/>
      <c r="P138" s="333"/>
      <c r="Q138" s="333"/>
      <c r="R138" s="333"/>
      <c r="S138" s="333"/>
      <c r="T138" s="333"/>
      <c r="U138" s="333"/>
      <c r="V138" s="333"/>
      <c r="W138" s="333"/>
      <c r="X138" s="333"/>
      <c r="Y138" s="333"/>
      <c r="Z138" s="333"/>
      <c r="AA138" s="333"/>
      <c r="AB138" s="28"/>
      <c r="AC138" s="70"/>
      <c r="AF138" s="27"/>
    </row>
    <row r="139" spans="1:32" ht="18" customHeight="1">
      <c r="A139" s="26"/>
      <c r="C139" s="329"/>
      <c r="D139" s="330"/>
      <c r="E139" s="330"/>
      <c r="F139" s="331"/>
      <c r="G139" s="333" t="s">
        <v>632</v>
      </c>
      <c r="H139" s="333"/>
      <c r="I139" s="333"/>
      <c r="J139" s="333"/>
      <c r="K139" s="333"/>
      <c r="L139" s="333"/>
      <c r="M139" s="333"/>
      <c r="N139" s="333"/>
      <c r="O139" s="333"/>
      <c r="P139" s="333"/>
      <c r="Q139" s="333"/>
      <c r="R139" s="333"/>
      <c r="S139" s="333"/>
      <c r="T139" s="333"/>
      <c r="U139" s="333"/>
      <c r="V139" s="333"/>
      <c r="W139" s="333"/>
      <c r="X139" s="333"/>
      <c r="Y139" s="333"/>
      <c r="Z139" s="333"/>
      <c r="AA139" s="333"/>
      <c r="AB139" s="28"/>
      <c r="AC139" s="70"/>
      <c r="AF139" s="27"/>
    </row>
    <row r="140" spans="1:32" ht="18" customHeight="1">
      <c r="A140" s="26"/>
      <c r="C140" s="319" t="s">
        <v>613</v>
      </c>
      <c r="D140" s="319"/>
      <c r="E140" s="319"/>
      <c r="F140" s="319"/>
      <c r="G140" s="320" t="s">
        <v>633</v>
      </c>
      <c r="H140" s="321"/>
      <c r="I140" s="321"/>
      <c r="J140" s="321"/>
      <c r="K140" s="321"/>
      <c r="L140" s="321"/>
      <c r="M140" s="321"/>
      <c r="N140" s="321"/>
      <c r="O140" s="321"/>
      <c r="P140" s="321"/>
      <c r="Q140" s="321"/>
      <c r="R140" s="321"/>
      <c r="S140" s="321"/>
      <c r="T140" s="321"/>
      <c r="U140" s="321"/>
      <c r="V140" s="321"/>
      <c r="W140" s="321"/>
      <c r="X140" s="321"/>
      <c r="Y140" s="321"/>
      <c r="Z140" s="321"/>
      <c r="AA140" s="322"/>
      <c r="AB140" s="28"/>
      <c r="AC140" s="70"/>
      <c r="AF140" s="27"/>
    </row>
    <row r="141" spans="1:32" ht="18" customHeight="1">
      <c r="A141" s="26"/>
      <c r="C141" s="323" t="s">
        <v>17</v>
      </c>
      <c r="D141" s="324"/>
      <c r="E141" s="324"/>
      <c r="F141" s="325"/>
      <c r="G141" s="332" t="s">
        <v>636</v>
      </c>
      <c r="H141" s="332"/>
      <c r="I141" s="332"/>
      <c r="J141" s="332"/>
      <c r="K141" s="332"/>
      <c r="L141" s="332"/>
      <c r="M141" s="332"/>
      <c r="N141" s="332"/>
      <c r="O141" s="332"/>
      <c r="P141" s="332"/>
      <c r="Q141" s="332"/>
      <c r="R141" s="332"/>
      <c r="S141" s="332"/>
      <c r="T141" s="332"/>
      <c r="U141" s="332"/>
      <c r="V141" s="332"/>
      <c r="W141" s="332"/>
      <c r="X141" s="332"/>
      <c r="Y141" s="332"/>
      <c r="Z141" s="332"/>
      <c r="AA141" s="332"/>
      <c r="AB141" s="28"/>
      <c r="AC141" s="70"/>
      <c r="AF141" s="27"/>
    </row>
    <row r="142" spans="1:32" ht="18" customHeight="1">
      <c r="A142" s="26"/>
      <c r="C142" s="326"/>
      <c r="D142" s="327"/>
      <c r="E142" s="327"/>
      <c r="F142" s="328"/>
      <c r="G142" s="333" t="s">
        <v>634</v>
      </c>
      <c r="H142" s="333"/>
      <c r="I142" s="333"/>
      <c r="J142" s="333"/>
      <c r="K142" s="333"/>
      <c r="L142" s="333"/>
      <c r="M142" s="333"/>
      <c r="N142" s="333"/>
      <c r="O142" s="333"/>
      <c r="P142" s="333"/>
      <c r="Q142" s="333"/>
      <c r="R142" s="333"/>
      <c r="S142" s="333"/>
      <c r="T142" s="333"/>
      <c r="U142" s="333"/>
      <c r="V142" s="333"/>
      <c r="W142" s="333"/>
      <c r="X142" s="333"/>
      <c r="Y142" s="333"/>
      <c r="Z142" s="333"/>
      <c r="AA142" s="333"/>
      <c r="AB142" s="28"/>
      <c r="AC142" s="70"/>
      <c r="AF142" s="27"/>
    </row>
    <row r="143" spans="1:32" ht="18" customHeight="1">
      <c r="A143" s="26"/>
      <c r="C143" s="329"/>
      <c r="D143" s="330"/>
      <c r="E143" s="330"/>
      <c r="F143" s="331"/>
      <c r="G143" s="333" t="s">
        <v>635</v>
      </c>
      <c r="H143" s="333"/>
      <c r="I143" s="333"/>
      <c r="J143" s="333"/>
      <c r="K143" s="333"/>
      <c r="L143" s="333"/>
      <c r="M143" s="333"/>
      <c r="N143" s="333"/>
      <c r="O143" s="333"/>
      <c r="P143" s="333"/>
      <c r="Q143" s="333"/>
      <c r="R143" s="333"/>
      <c r="S143" s="333"/>
      <c r="T143" s="333"/>
      <c r="U143" s="333"/>
      <c r="V143" s="333"/>
      <c r="W143" s="333"/>
      <c r="X143" s="333"/>
      <c r="Y143" s="333"/>
      <c r="Z143" s="333"/>
      <c r="AA143" s="333"/>
      <c r="AB143" s="28"/>
      <c r="AC143" s="70"/>
      <c r="AF143" s="27"/>
    </row>
    <row r="144" spans="1:32" ht="18" customHeight="1">
      <c r="A144" s="26"/>
      <c r="C144" s="46"/>
      <c r="D144" s="38"/>
      <c r="AB144" s="28"/>
      <c r="AC144" s="70"/>
    </row>
    <row r="145" spans="1:32" ht="18" customHeight="1">
      <c r="A145" s="26"/>
      <c r="C145" s="53" t="s">
        <v>658</v>
      </c>
      <c r="AB145" s="28"/>
      <c r="AC145" s="70"/>
      <c r="AF145" s="27"/>
    </row>
    <row r="146" spans="1:32" ht="18" customHeight="1">
      <c r="A146" s="26"/>
      <c r="L146" s="38"/>
      <c r="M146" s="38"/>
      <c r="N146" s="38"/>
      <c r="O146" s="38"/>
      <c r="P146" s="38"/>
      <c r="Q146" s="38"/>
      <c r="R146" s="38"/>
      <c r="S146" s="38"/>
      <c r="T146" s="38"/>
      <c r="U146" s="38"/>
      <c r="V146" s="38"/>
      <c r="W146" s="38"/>
      <c r="X146" s="38"/>
      <c r="Y146" s="38"/>
      <c r="Z146" s="38"/>
      <c r="AA146" s="38"/>
      <c r="AB146" s="28"/>
      <c r="AC146" s="70"/>
      <c r="AF146" s="27"/>
    </row>
    <row r="147" spans="1:32" ht="18" customHeight="1">
      <c r="A147" s="26"/>
      <c r="C147" s="35" t="s">
        <v>854</v>
      </c>
      <c r="AB147" s="28"/>
      <c r="AC147" s="70"/>
      <c r="AF147" s="27"/>
    </row>
    <row r="148" spans="1:32" ht="18" customHeight="1">
      <c r="A148" s="26"/>
      <c r="C148" s="337" t="s">
        <v>7</v>
      </c>
      <c r="D148" s="337"/>
      <c r="E148" s="343" t="s">
        <v>9</v>
      </c>
      <c r="F148" s="344"/>
      <c r="G148" s="344"/>
      <c r="H148" s="344"/>
      <c r="I148" s="344"/>
      <c r="J148" s="344"/>
      <c r="K148" s="345"/>
      <c r="L148" s="343" t="s">
        <v>18</v>
      </c>
      <c r="M148" s="344"/>
      <c r="N148" s="344"/>
      <c r="O148" s="344"/>
      <c r="P148" s="344"/>
      <c r="Q148" s="344"/>
      <c r="R148" s="344"/>
      <c r="S148" s="344"/>
      <c r="T148" s="344"/>
      <c r="U148" s="344"/>
      <c r="V148" s="344"/>
      <c r="W148" s="344"/>
      <c r="X148" s="344"/>
      <c r="Y148" s="344"/>
      <c r="Z148" s="344"/>
      <c r="AA148" s="345"/>
      <c r="AB148" s="28"/>
      <c r="AC148" s="70"/>
      <c r="AF148" s="27"/>
    </row>
    <row r="149" spans="1:32" ht="18" customHeight="1">
      <c r="A149" s="26"/>
      <c r="C149" s="334">
        <v>1</v>
      </c>
      <c r="D149" s="334"/>
      <c r="E149" s="34" t="s">
        <v>641</v>
      </c>
      <c r="F149" s="40"/>
      <c r="G149" s="40"/>
      <c r="H149" s="40"/>
      <c r="I149" s="40"/>
      <c r="J149" s="40"/>
      <c r="K149" s="41"/>
      <c r="L149" s="39"/>
      <c r="M149" s="40"/>
      <c r="N149" s="40"/>
      <c r="O149" s="40"/>
      <c r="P149" s="40"/>
      <c r="Q149" s="40"/>
      <c r="R149" s="40"/>
      <c r="S149" s="40"/>
      <c r="T149" s="40"/>
      <c r="U149" s="40"/>
      <c r="V149" s="40"/>
      <c r="W149" s="40"/>
      <c r="X149" s="40"/>
      <c r="Y149" s="40"/>
      <c r="Z149" s="40"/>
      <c r="AA149" s="41"/>
      <c r="AB149" s="28"/>
      <c r="AC149" s="70"/>
      <c r="AF149" s="27"/>
    </row>
    <row r="150" spans="1:32" ht="18" customHeight="1">
      <c r="A150" s="26"/>
      <c r="C150" s="334">
        <v>2</v>
      </c>
      <c r="D150" s="334"/>
      <c r="E150" s="47"/>
      <c r="F150" s="40" t="s">
        <v>222</v>
      </c>
      <c r="G150" s="40"/>
      <c r="H150" s="40"/>
      <c r="I150" s="40"/>
      <c r="J150" s="40"/>
      <c r="K150" s="41"/>
      <c r="L150" s="39" t="s">
        <v>643</v>
      </c>
      <c r="M150" s="40"/>
      <c r="N150" s="40"/>
      <c r="O150" s="40"/>
      <c r="P150" s="40"/>
      <c r="Q150" s="40"/>
      <c r="R150" s="40"/>
      <c r="S150" s="40"/>
      <c r="T150" s="40"/>
      <c r="U150" s="40"/>
      <c r="V150" s="40"/>
      <c r="W150" s="40"/>
      <c r="X150" s="40"/>
      <c r="Y150" s="40"/>
      <c r="Z150" s="40"/>
      <c r="AA150" s="41"/>
      <c r="AB150" s="28"/>
      <c r="AC150" s="70"/>
      <c r="AF150" s="27"/>
    </row>
    <row r="151" spans="1:32" ht="18" customHeight="1">
      <c r="A151" s="26"/>
      <c r="C151" s="334">
        <v>3</v>
      </c>
      <c r="D151" s="334"/>
      <c r="E151" s="47"/>
      <c r="F151" s="40" t="s">
        <v>228</v>
      </c>
      <c r="G151" s="40"/>
      <c r="H151" s="40"/>
      <c r="I151" s="40"/>
      <c r="J151" s="40"/>
      <c r="K151" s="41"/>
      <c r="L151" s="39" t="s">
        <v>644</v>
      </c>
      <c r="M151" s="40"/>
      <c r="N151" s="40"/>
      <c r="O151" s="40"/>
      <c r="P151" s="40"/>
      <c r="Q151" s="40"/>
      <c r="R151" s="40"/>
      <c r="S151" s="40"/>
      <c r="T151" s="40"/>
      <c r="U151" s="40"/>
      <c r="V151" s="40"/>
      <c r="W151" s="40"/>
      <c r="X151" s="40"/>
      <c r="Y151" s="40"/>
      <c r="Z151" s="40"/>
      <c r="AA151" s="41"/>
      <c r="AB151" s="28"/>
      <c r="AC151" s="70"/>
      <c r="AF151" s="27"/>
    </row>
    <row r="152" spans="1:32" ht="18" customHeight="1">
      <c r="A152" s="26"/>
      <c r="C152" s="334">
        <v>4</v>
      </c>
      <c r="D152" s="334"/>
      <c r="E152" s="47"/>
      <c r="F152" s="40" t="s">
        <v>642</v>
      </c>
      <c r="G152" s="40"/>
      <c r="H152" s="40"/>
      <c r="I152" s="40"/>
      <c r="J152" s="40"/>
      <c r="K152" s="41"/>
      <c r="L152" s="39" t="s">
        <v>645</v>
      </c>
      <c r="M152" s="40"/>
      <c r="N152" s="40"/>
      <c r="O152" s="40"/>
      <c r="P152" s="40"/>
      <c r="Q152" s="40"/>
      <c r="R152" s="40"/>
      <c r="S152" s="40"/>
      <c r="T152" s="40"/>
      <c r="U152" s="40"/>
      <c r="V152" s="40"/>
      <c r="W152" s="40"/>
      <c r="X152" s="40"/>
      <c r="Y152" s="40"/>
      <c r="Z152" s="40"/>
      <c r="AA152" s="41"/>
      <c r="AB152" s="28"/>
      <c r="AC152" s="70"/>
      <c r="AF152" s="27"/>
    </row>
    <row r="153" spans="1:32" ht="18" customHeight="1">
      <c r="A153" s="26"/>
      <c r="C153" s="46"/>
      <c r="D153" s="38"/>
      <c r="AB153" s="28"/>
      <c r="AC153" s="70"/>
    </row>
    <row r="154" spans="1:32" ht="18" customHeight="1">
      <c r="A154" s="26"/>
      <c r="C154" s="53" t="s">
        <v>855</v>
      </c>
      <c r="AB154" s="28"/>
      <c r="AC154" s="70"/>
      <c r="AF154" s="27"/>
    </row>
    <row r="155" spans="1:32" ht="18" customHeight="1">
      <c r="A155" s="26"/>
      <c r="C155" s="38" t="s">
        <v>646</v>
      </c>
      <c r="D155" s="27" t="s">
        <v>647</v>
      </c>
      <c r="AB155" s="28"/>
      <c r="AC155" s="70"/>
      <c r="AF155" s="27"/>
    </row>
    <row r="156" spans="1:32" ht="18" customHeight="1">
      <c r="A156" s="26"/>
      <c r="C156" s="337" t="s">
        <v>7</v>
      </c>
      <c r="D156" s="337"/>
      <c r="E156" s="343" t="s">
        <v>9</v>
      </c>
      <c r="F156" s="344"/>
      <c r="G156" s="344"/>
      <c r="H156" s="344"/>
      <c r="I156" s="344"/>
      <c r="J156" s="344"/>
      <c r="K156" s="345"/>
      <c r="L156" s="343" t="s">
        <v>18</v>
      </c>
      <c r="M156" s="344"/>
      <c r="N156" s="344"/>
      <c r="O156" s="344"/>
      <c r="P156" s="344"/>
      <c r="Q156" s="344"/>
      <c r="R156" s="344"/>
      <c r="S156" s="344"/>
      <c r="T156" s="344"/>
      <c r="U156" s="344"/>
      <c r="V156" s="344"/>
      <c r="W156" s="344"/>
      <c r="X156" s="344"/>
      <c r="Y156" s="344"/>
      <c r="Z156" s="344"/>
      <c r="AA156" s="345"/>
      <c r="AB156" s="28"/>
      <c r="AC156" s="70"/>
      <c r="AF156" s="27"/>
    </row>
    <row r="157" spans="1:32" ht="18" customHeight="1">
      <c r="A157" s="26"/>
      <c r="C157" s="334">
        <v>1</v>
      </c>
      <c r="D157" s="334"/>
      <c r="E157" s="34" t="s">
        <v>649</v>
      </c>
      <c r="F157" s="40"/>
      <c r="G157" s="40"/>
      <c r="H157" s="40"/>
      <c r="I157" s="40"/>
      <c r="J157" s="40"/>
      <c r="K157" s="41"/>
      <c r="L157" s="39"/>
      <c r="M157" s="40"/>
      <c r="N157" s="40"/>
      <c r="O157" s="40"/>
      <c r="P157" s="40"/>
      <c r="Q157" s="40"/>
      <c r="R157" s="40"/>
      <c r="S157" s="40"/>
      <c r="T157" s="40"/>
      <c r="U157" s="40"/>
      <c r="V157" s="40"/>
      <c r="W157" s="40"/>
      <c r="X157" s="40"/>
      <c r="Y157" s="40"/>
      <c r="Z157" s="40"/>
      <c r="AA157" s="41"/>
      <c r="AB157" s="28"/>
      <c r="AC157" s="70"/>
      <c r="AF157" s="27"/>
    </row>
    <row r="158" spans="1:32" ht="18" customHeight="1">
      <c r="A158" s="26"/>
      <c r="C158" s="334">
        <v>2</v>
      </c>
      <c r="D158" s="334"/>
      <c r="E158" s="47"/>
      <c r="F158" s="40" t="s">
        <v>222</v>
      </c>
      <c r="G158" s="40"/>
      <c r="H158" s="40"/>
      <c r="I158" s="40"/>
      <c r="J158" s="40"/>
      <c r="K158" s="41"/>
      <c r="L158" s="39" t="s">
        <v>648</v>
      </c>
      <c r="M158" s="40"/>
      <c r="N158" s="40"/>
      <c r="O158" s="40"/>
      <c r="P158" s="40"/>
      <c r="Q158" s="40"/>
      <c r="R158" s="40"/>
      <c r="S158" s="40"/>
      <c r="T158" s="40"/>
      <c r="U158" s="40"/>
      <c r="V158" s="40"/>
      <c r="W158" s="40"/>
      <c r="X158" s="40"/>
      <c r="Y158" s="40"/>
      <c r="Z158" s="40"/>
      <c r="AA158" s="41"/>
      <c r="AB158" s="28"/>
      <c r="AC158" s="70"/>
      <c r="AF158" s="27"/>
    </row>
    <row r="159" spans="1:32" ht="18" customHeight="1">
      <c r="A159" s="26"/>
      <c r="C159" s="46"/>
      <c r="D159" s="38"/>
      <c r="AB159" s="28"/>
      <c r="AC159" s="70"/>
    </row>
    <row r="160" spans="1:32" ht="18" customHeight="1">
      <c r="A160" s="26"/>
      <c r="C160" s="53" t="s">
        <v>856</v>
      </c>
      <c r="AB160" s="28"/>
      <c r="AC160" s="70"/>
      <c r="AF160" s="27"/>
    </row>
    <row r="161" spans="1:32" ht="18" customHeight="1">
      <c r="A161" s="26"/>
      <c r="C161" s="400" t="s">
        <v>15</v>
      </c>
      <c r="D161" s="401"/>
      <c r="E161" s="401"/>
      <c r="F161" s="401"/>
      <c r="G161" s="401"/>
      <c r="H161" s="401"/>
      <c r="I161" s="401"/>
      <c r="J161" s="401"/>
      <c r="K161" s="401"/>
      <c r="L161" s="401"/>
      <c r="M161" s="401"/>
      <c r="N161" s="401"/>
      <c r="O161" s="401"/>
      <c r="P161" s="401"/>
      <c r="Q161" s="401"/>
      <c r="R161" s="401"/>
      <c r="S161" s="401"/>
      <c r="T161" s="401"/>
      <c r="U161" s="401"/>
      <c r="V161" s="401"/>
      <c r="W161" s="401"/>
      <c r="X161" s="401"/>
      <c r="Y161" s="401"/>
      <c r="Z161" s="401"/>
      <c r="AA161" s="402"/>
      <c r="AB161" s="28"/>
      <c r="AC161" s="70"/>
      <c r="AF161" s="27"/>
    </row>
    <row r="162" spans="1:32" ht="18" customHeight="1">
      <c r="A162" s="26"/>
      <c r="C162" s="403" t="s">
        <v>16</v>
      </c>
      <c r="D162" s="403"/>
      <c r="E162" s="403"/>
      <c r="F162" s="403"/>
      <c r="G162" s="333">
        <v>201</v>
      </c>
      <c r="H162" s="333"/>
      <c r="I162" s="333"/>
      <c r="J162" s="333"/>
      <c r="K162" s="333"/>
      <c r="L162" s="333"/>
      <c r="M162" s="333"/>
      <c r="N162" s="333"/>
      <c r="O162" s="333"/>
      <c r="P162" s="333"/>
      <c r="Q162" s="333"/>
      <c r="R162" s="333"/>
      <c r="S162" s="333"/>
      <c r="T162" s="333"/>
      <c r="U162" s="333"/>
      <c r="V162" s="333"/>
      <c r="W162" s="333"/>
      <c r="X162" s="333"/>
      <c r="Y162" s="333"/>
      <c r="Z162" s="333"/>
      <c r="AA162" s="333"/>
      <c r="AB162" s="28"/>
      <c r="AC162" s="70"/>
      <c r="AF162" s="27"/>
    </row>
    <row r="163" spans="1:32" ht="18" customHeight="1">
      <c r="A163" s="26"/>
      <c r="C163" s="403" t="s">
        <v>650</v>
      </c>
      <c r="D163" s="403"/>
      <c r="E163" s="403"/>
      <c r="F163" s="403"/>
      <c r="G163" s="29" t="s">
        <v>651</v>
      </c>
      <c r="H163" s="29"/>
      <c r="I163" s="29"/>
      <c r="J163" s="29"/>
      <c r="K163" s="29"/>
      <c r="L163" s="29"/>
      <c r="M163" s="29"/>
      <c r="N163" s="29"/>
      <c r="O163" s="29"/>
      <c r="P163" s="29"/>
      <c r="Q163" s="29"/>
      <c r="R163" s="29"/>
      <c r="S163" s="29"/>
      <c r="T163" s="29"/>
      <c r="U163" s="29"/>
      <c r="V163" s="29"/>
      <c r="W163" s="29"/>
      <c r="X163" s="29"/>
      <c r="Y163" s="29"/>
      <c r="Z163" s="29"/>
      <c r="AA163" s="30"/>
      <c r="AB163" s="28"/>
      <c r="AC163" s="70"/>
      <c r="AF163" s="27"/>
    </row>
    <row r="164" spans="1:32" ht="36" customHeight="1">
      <c r="A164" s="26"/>
      <c r="C164" s="403" t="s">
        <v>469</v>
      </c>
      <c r="D164" s="403"/>
      <c r="E164" s="403"/>
      <c r="F164" s="403"/>
      <c r="G164" s="320" t="s">
        <v>652</v>
      </c>
      <c r="H164" s="376"/>
      <c r="I164" s="376"/>
      <c r="J164" s="376"/>
      <c r="K164" s="376"/>
      <c r="L164" s="376"/>
      <c r="M164" s="376"/>
      <c r="N164" s="376"/>
      <c r="O164" s="376"/>
      <c r="P164" s="376"/>
      <c r="Q164" s="376"/>
      <c r="R164" s="376"/>
      <c r="S164" s="376"/>
      <c r="T164" s="376"/>
      <c r="U164" s="376"/>
      <c r="V164" s="376"/>
      <c r="W164" s="376"/>
      <c r="X164" s="376"/>
      <c r="Y164" s="376"/>
      <c r="Z164" s="376"/>
      <c r="AA164" s="377"/>
      <c r="AB164" s="28"/>
      <c r="AC164" s="70"/>
      <c r="AF164" s="27"/>
    </row>
    <row r="165" spans="1:32" ht="18" customHeight="1">
      <c r="A165" s="26"/>
      <c r="L165" s="38"/>
      <c r="M165" s="38"/>
      <c r="N165" s="38"/>
      <c r="O165" s="38"/>
      <c r="P165" s="38"/>
      <c r="Q165" s="38"/>
      <c r="R165" s="38"/>
      <c r="S165" s="38"/>
      <c r="T165" s="38"/>
      <c r="U165" s="38"/>
      <c r="V165" s="38"/>
      <c r="W165" s="38"/>
      <c r="X165" s="38"/>
      <c r="Y165" s="38"/>
      <c r="Z165" s="38"/>
      <c r="AA165" s="38"/>
      <c r="AB165" s="28"/>
      <c r="AC165" s="70"/>
      <c r="AF165" s="27"/>
    </row>
    <row r="166" spans="1:32" ht="18" customHeight="1">
      <c r="A166" s="26"/>
      <c r="L166" s="38"/>
      <c r="M166" s="38"/>
      <c r="N166" s="38"/>
      <c r="O166" s="38"/>
      <c r="P166" s="38"/>
      <c r="Q166" s="38"/>
      <c r="R166" s="38"/>
      <c r="S166" s="38"/>
      <c r="T166" s="38"/>
      <c r="U166" s="38"/>
      <c r="V166" s="38"/>
      <c r="W166" s="38"/>
      <c r="X166" s="38"/>
      <c r="Y166" s="38"/>
      <c r="Z166" s="38"/>
      <c r="AA166" s="38"/>
      <c r="AB166" s="28"/>
      <c r="AF166" s="27"/>
    </row>
    <row r="167" spans="1:32" ht="18" customHeight="1">
      <c r="A167" s="26"/>
      <c r="B167" s="27" t="s">
        <v>724</v>
      </c>
      <c r="C167" s="35"/>
      <c r="AB167" s="28"/>
      <c r="AC167" s="70" t="s">
        <v>732</v>
      </c>
      <c r="AF167" s="27"/>
    </row>
    <row r="168" spans="1:32" ht="18" customHeight="1">
      <c r="A168" s="26"/>
      <c r="C168" s="35" t="s">
        <v>725</v>
      </c>
      <c r="AB168" s="28"/>
      <c r="AC168" s="70"/>
      <c r="AF168" s="27"/>
    </row>
    <row r="169" spans="1:32" ht="18" customHeight="1">
      <c r="A169" s="26"/>
      <c r="C169" s="319" t="s">
        <v>483</v>
      </c>
      <c r="D169" s="319"/>
      <c r="E169" s="319"/>
      <c r="F169" s="319"/>
      <c r="G169" s="333" t="s">
        <v>615</v>
      </c>
      <c r="H169" s="333"/>
      <c r="I169" s="333"/>
      <c r="J169" s="333"/>
      <c r="K169" s="333"/>
      <c r="L169" s="333"/>
      <c r="M169" s="333"/>
      <c r="N169" s="333"/>
      <c r="O169" s="333"/>
      <c r="P169" s="333"/>
      <c r="Q169" s="333"/>
      <c r="R169" s="333"/>
      <c r="S169" s="333"/>
      <c r="T169" s="333"/>
      <c r="U169" s="333"/>
      <c r="V169" s="333"/>
      <c r="W169" s="333"/>
      <c r="X169" s="333"/>
      <c r="Y169" s="333"/>
      <c r="Z169" s="333"/>
      <c r="AA169" s="333"/>
      <c r="AB169" s="28"/>
      <c r="AC169" s="70"/>
      <c r="AD169" s="36"/>
      <c r="AF169" s="27"/>
    </row>
    <row r="170" spans="1:32" ht="19.899999999999999" customHeight="1">
      <c r="A170" s="26"/>
      <c r="C170" s="323" t="s">
        <v>35</v>
      </c>
      <c r="D170" s="324"/>
      <c r="E170" s="324"/>
      <c r="F170" s="325"/>
      <c r="G170" s="332" t="s">
        <v>616</v>
      </c>
      <c r="H170" s="332"/>
      <c r="I170" s="332"/>
      <c r="J170" s="332"/>
      <c r="K170" s="332"/>
      <c r="L170" s="332"/>
      <c r="M170" s="332"/>
      <c r="N170" s="332"/>
      <c r="O170" s="332"/>
      <c r="P170" s="332"/>
      <c r="Q170" s="332"/>
      <c r="R170" s="332"/>
      <c r="S170" s="332"/>
      <c r="T170" s="332"/>
      <c r="U170" s="332"/>
      <c r="V170" s="332"/>
      <c r="W170" s="332"/>
      <c r="X170" s="332"/>
      <c r="Y170" s="332"/>
      <c r="Z170" s="332"/>
      <c r="AA170" s="332"/>
      <c r="AB170" s="28"/>
      <c r="AC170" s="70"/>
      <c r="AF170" s="27"/>
    </row>
    <row r="171" spans="1:32" ht="18" customHeight="1">
      <c r="A171" s="26"/>
      <c r="C171" s="326"/>
      <c r="D171" s="327"/>
      <c r="E171" s="327"/>
      <c r="F171" s="328"/>
      <c r="G171" s="333" t="s">
        <v>727</v>
      </c>
      <c r="H171" s="333"/>
      <c r="I171" s="333"/>
      <c r="J171" s="333"/>
      <c r="K171" s="333"/>
      <c r="L171" s="333"/>
      <c r="M171" s="333"/>
      <c r="N171" s="333"/>
      <c r="O171" s="333"/>
      <c r="P171" s="333"/>
      <c r="Q171" s="333"/>
      <c r="R171" s="333"/>
      <c r="S171" s="333"/>
      <c r="T171" s="333"/>
      <c r="U171" s="333"/>
      <c r="V171" s="333"/>
      <c r="W171" s="333"/>
      <c r="X171" s="333"/>
      <c r="Y171" s="333"/>
      <c r="Z171" s="333"/>
      <c r="AA171" s="333"/>
      <c r="AB171" s="28"/>
      <c r="AC171" s="70"/>
      <c r="AF171" s="27"/>
    </row>
    <row r="172" spans="1:32" ht="18" customHeight="1">
      <c r="A172" s="26"/>
      <c r="C172" s="329"/>
      <c r="D172" s="330"/>
      <c r="E172" s="330"/>
      <c r="F172" s="331"/>
      <c r="G172" s="333" t="s">
        <v>728</v>
      </c>
      <c r="H172" s="333"/>
      <c r="I172" s="333"/>
      <c r="J172" s="333"/>
      <c r="K172" s="333"/>
      <c r="L172" s="333"/>
      <c r="M172" s="333"/>
      <c r="N172" s="333"/>
      <c r="O172" s="333"/>
      <c r="P172" s="333"/>
      <c r="Q172" s="333"/>
      <c r="R172" s="333"/>
      <c r="S172" s="333"/>
      <c r="T172" s="333"/>
      <c r="U172" s="333"/>
      <c r="V172" s="333"/>
      <c r="W172" s="333"/>
      <c r="X172" s="333"/>
      <c r="Y172" s="333"/>
      <c r="Z172" s="333"/>
      <c r="AA172" s="333"/>
      <c r="AB172" s="28"/>
      <c r="AC172" s="70"/>
      <c r="AF172" s="27"/>
    </row>
    <row r="173" spans="1:32" ht="18" customHeight="1">
      <c r="A173" s="2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28"/>
      <c r="AC173" s="70"/>
      <c r="AF173" s="27"/>
    </row>
    <row r="174" spans="1:32" ht="18" customHeight="1">
      <c r="A174" s="26"/>
      <c r="C174" s="35" t="s">
        <v>857</v>
      </c>
      <c r="AB174" s="28"/>
      <c r="AC174" s="70"/>
      <c r="AF174" s="27"/>
    </row>
    <row r="175" spans="1:32" ht="18" customHeight="1">
      <c r="A175" s="26"/>
      <c r="C175" s="337" t="s">
        <v>7</v>
      </c>
      <c r="D175" s="337"/>
      <c r="E175" s="343" t="s">
        <v>9</v>
      </c>
      <c r="F175" s="344"/>
      <c r="G175" s="344"/>
      <c r="H175" s="344"/>
      <c r="I175" s="344"/>
      <c r="J175" s="344"/>
      <c r="K175" s="345"/>
      <c r="L175" s="343" t="s">
        <v>18</v>
      </c>
      <c r="M175" s="344"/>
      <c r="N175" s="344"/>
      <c r="O175" s="344"/>
      <c r="P175" s="344"/>
      <c r="Q175" s="344"/>
      <c r="R175" s="344"/>
      <c r="S175" s="344"/>
      <c r="T175" s="344"/>
      <c r="U175" s="344"/>
      <c r="V175" s="344"/>
      <c r="W175" s="344"/>
      <c r="X175" s="344"/>
      <c r="Y175" s="344"/>
      <c r="Z175" s="344"/>
      <c r="AA175" s="345"/>
      <c r="AB175" s="28"/>
      <c r="AC175" s="70"/>
      <c r="AF175" s="27"/>
    </row>
    <row r="176" spans="1:32" ht="18" customHeight="1">
      <c r="A176" s="26"/>
      <c r="C176" s="334">
        <v>1</v>
      </c>
      <c r="D176" s="334"/>
      <c r="E176" s="34" t="s">
        <v>179</v>
      </c>
      <c r="F176" s="40"/>
      <c r="G176" s="40"/>
      <c r="H176" s="40"/>
      <c r="I176" s="40"/>
      <c r="J176" s="40"/>
      <c r="K176" s="41"/>
      <c r="L176" s="39" t="s">
        <v>729</v>
      </c>
      <c r="M176" s="40"/>
      <c r="N176" s="40"/>
      <c r="O176" s="40"/>
      <c r="P176" s="40"/>
      <c r="Q176" s="40"/>
      <c r="R176" s="40"/>
      <c r="S176" s="40"/>
      <c r="T176" s="40"/>
      <c r="U176" s="40"/>
      <c r="V176" s="40"/>
      <c r="W176" s="40"/>
      <c r="X176" s="40"/>
      <c r="Y176" s="40"/>
      <c r="Z176" s="40"/>
      <c r="AA176" s="41"/>
      <c r="AB176" s="28"/>
      <c r="AC176" s="70"/>
      <c r="AF176" s="27"/>
    </row>
    <row r="177" spans="1:32" ht="18" customHeight="1">
      <c r="A177" s="26"/>
      <c r="C177" s="334">
        <v>2</v>
      </c>
      <c r="D177" s="334"/>
      <c r="E177" s="34" t="s">
        <v>730</v>
      </c>
      <c r="F177" s="40"/>
      <c r="G177" s="40"/>
      <c r="H177" s="40"/>
      <c r="I177" s="40"/>
      <c r="J177" s="40"/>
      <c r="K177" s="41"/>
      <c r="L177" s="39" t="s">
        <v>731</v>
      </c>
      <c r="M177" s="40"/>
      <c r="N177" s="40"/>
      <c r="O177" s="40"/>
      <c r="P177" s="40"/>
      <c r="Q177" s="40"/>
      <c r="R177" s="40"/>
      <c r="S177" s="40"/>
      <c r="T177" s="40"/>
      <c r="U177" s="40"/>
      <c r="V177" s="40"/>
      <c r="W177" s="40"/>
      <c r="X177" s="40"/>
      <c r="Y177" s="40"/>
      <c r="Z177" s="40"/>
      <c r="AA177" s="41"/>
      <c r="AB177" s="28"/>
      <c r="AC177" s="70"/>
      <c r="AF177" s="27"/>
    </row>
    <row r="178" spans="1:32" ht="18" customHeight="1">
      <c r="A178" s="2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28"/>
      <c r="AC178" s="70"/>
      <c r="AF178" s="27"/>
    </row>
    <row r="179" spans="1:32" ht="18" customHeight="1">
      <c r="A179" s="26"/>
      <c r="B179" s="46"/>
      <c r="C179" s="35" t="s">
        <v>858</v>
      </c>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28"/>
      <c r="AC179" s="70"/>
      <c r="AF179" s="27"/>
    </row>
    <row r="180" spans="1:32" customFormat="1" ht="20.100000000000001" customHeight="1">
      <c r="A180" s="27"/>
      <c r="B180" s="35"/>
      <c r="C180" s="337" t="s">
        <v>653</v>
      </c>
      <c r="D180" s="337"/>
      <c r="E180" s="337"/>
      <c r="F180" s="337"/>
      <c r="G180" s="333" t="s">
        <v>654</v>
      </c>
      <c r="H180" s="333"/>
      <c r="I180" s="333"/>
      <c r="J180" s="333"/>
      <c r="K180" s="333"/>
      <c r="L180" s="333"/>
      <c r="M180" s="333"/>
      <c r="N180" s="333"/>
      <c r="O180" s="333"/>
      <c r="P180" s="333"/>
      <c r="Q180" s="333"/>
      <c r="R180" s="333"/>
      <c r="S180" s="333"/>
      <c r="T180" s="333"/>
      <c r="U180" s="333"/>
      <c r="V180" s="333"/>
      <c r="W180" s="333"/>
      <c r="X180" s="333"/>
      <c r="Y180" s="333"/>
      <c r="Z180" s="333"/>
      <c r="AA180" s="333"/>
      <c r="AB180" s="28"/>
      <c r="AC180" s="70"/>
      <c r="AE180" s="112"/>
    </row>
    <row r="181" spans="1:32" ht="18" customHeight="1">
      <c r="A181" s="26"/>
      <c r="C181" s="337" t="s">
        <v>417</v>
      </c>
      <c r="D181" s="337"/>
      <c r="E181" s="337"/>
      <c r="F181" s="337"/>
      <c r="G181" s="333" t="s">
        <v>615</v>
      </c>
      <c r="H181" s="333"/>
      <c r="I181" s="333"/>
      <c r="J181" s="333"/>
      <c r="K181" s="333"/>
      <c r="L181" s="333"/>
      <c r="M181" s="333"/>
      <c r="N181" s="333"/>
      <c r="O181" s="333"/>
      <c r="P181" s="333"/>
      <c r="Q181" s="333"/>
      <c r="R181" s="333"/>
      <c r="S181" s="333"/>
      <c r="T181" s="333"/>
      <c r="U181" s="333"/>
      <c r="V181" s="333"/>
      <c r="W181" s="333"/>
      <c r="X181" s="333"/>
      <c r="Y181" s="333"/>
      <c r="Z181" s="333"/>
      <c r="AA181" s="333"/>
      <c r="AB181" s="28"/>
      <c r="AC181" s="70"/>
      <c r="AD181" s="67"/>
      <c r="AF181" s="27"/>
    </row>
    <row r="182" spans="1:32" ht="19.899999999999999" customHeight="1">
      <c r="A182" s="26"/>
      <c r="C182" s="294" t="s">
        <v>35</v>
      </c>
      <c r="D182" s="295"/>
      <c r="E182" s="295"/>
      <c r="F182" s="296"/>
      <c r="G182" s="332" t="s">
        <v>733</v>
      </c>
      <c r="H182" s="332"/>
      <c r="I182" s="332"/>
      <c r="J182" s="332"/>
      <c r="K182" s="332"/>
      <c r="L182" s="332"/>
      <c r="M182" s="332"/>
      <c r="N182" s="332"/>
      <c r="O182" s="332"/>
      <c r="P182" s="332"/>
      <c r="Q182" s="332"/>
      <c r="R182" s="332"/>
      <c r="S182" s="332"/>
      <c r="T182" s="332"/>
      <c r="U182" s="332"/>
      <c r="V182" s="332"/>
      <c r="W182" s="332"/>
      <c r="X182" s="332"/>
      <c r="Y182" s="332"/>
      <c r="Z182" s="332"/>
      <c r="AA182" s="332"/>
      <c r="AB182" s="28"/>
      <c r="AC182" s="70"/>
      <c r="AF182" s="27"/>
    </row>
    <row r="183" spans="1:32" ht="18" customHeight="1">
      <c r="A183" s="26"/>
      <c r="C183" s="337" t="s">
        <v>7</v>
      </c>
      <c r="D183" s="337"/>
      <c r="E183" s="343" t="s">
        <v>9</v>
      </c>
      <c r="F183" s="344"/>
      <c r="G183" s="344"/>
      <c r="H183" s="344"/>
      <c r="I183" s="344"/>
      <c r="J183" s="344"/>
      <c r="K183" s="345"/>
      <c r="L183" s="337" t="s">
        <v>407</v>
      </c>
      <c r="M183" s="337"/>
      <c r="N183" s="337"/>
      <c r="O183" s="337"/>
      <c r="P183" s="337"/>
      <c r="Q183" s="337"/>
      <c r="R183" s="337"/>
      <c r="S183" s="337"/>
      <c r="T183" s="337"/>
      <c r="U183" s="337"/>
      <c r="V183" s="337"/>
      <c r="W183" s="337"/>
      <c r="X183" s="337"/>
      <c r="Y183" s="337"/>
      <c r="Z183" s="337"/>
      <c r="AA183" s="337"/>
      <c r="AB183" s="28"/>
      <c r="AC183" s="70"/>
    </row>
    <row r="184" spans="1:32" ht="18" customHeight="1">
      <c r="A184" s="26"/>
      <c r="C184" s="334">
        <v>1</v>
      </c>
      <c r="D184" s="334"/>
      <c r="E184" s="47" t="s">
        <v>134</v>
      </c>
      <c r="F184" s="40"/>
      <c r="G184" s="40"/>
      <c r="H184" s="40"/>
      <c r="I184" s="40"/>
      <c r="J184" s="40"/>
      <c r="K184" s="40"/>
      <c r="L184" s="51" t="s">
        <v>734</v>
      </c>
      <c r="M184" s="40"/>
      <c r="N184" s="40"/>
      <c r="O184" s="40"/>
      <c r="P184" s="40"/>
      <c r="Q184" s="40"/>
      <c r="R184" s="40"/>
      <c r="S184" s="40"/>
      <c r="T184" s="40"/>
      <c r="U184" s="40"/>
      <c r="V184" s="40"/>
      <c r="W184" s="40"/>
      <c r="X184" s="40"/>
      <c r="Y184" s="40"/>
      <c r="Z184" s="40"/>
      <c r="AA184" s="41"/>
      <c r="AB184" s="28"/>
      <c r="AC184" s="70"/>
      <c r="AD184" s="27" t="e">
        <f>"{"""&amp;#REF!&amp;""":""example"&amp;#REF!&amp;""","</f>
        <v>#REF!</v>
      </c>
    </row>
    <row r="185" spans="1:32" ht="18" customHeight="1">
      <c r="A185" s="2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28"/>
      <c r="AC185" s="70"/>
      <c r="AF185" s="27"/>
    </row>
    <row r="186" spans="1:32" ht="18" customHeight="1">
      <c r="A186" s="26"/>
      <c r="B186" s="35" t="s">
        <v>859</v>
      </c>
      <c r="C186" s="35"/>
      <c r="AB186" s="28"/>
    </row>
    <row r="187" spans="1:32" customFormat="1" ht="20.100000000000001" customHeight="1">
      <c r="A187" s="27"/>
      <c r="B187" s="35"/>
      <c r="C187" s="337" t="s">
        <v>653</v>
      </c>
      <c r="D187" s="337"/>
      <c r="E187" s="337"/>
      <c r="F187" s="337"/>
      <c r="G187" s="333" t="s">
        <v>656</v>
      </c>
      <c r="H187" s="333"/>
      <c r="I187" s="333"/>
      <c r="J187" s="333"/>
      <c r="K187" s="333"/>
      <c r="L187" s="333"/>
      <c r="M187" s="333"/>
      <c r="N187" s="333"/>
      <c r="O187" s="333"/>
      <c r="P187" s="333"/>
      <c r="Q187" s="333"/>
      <c r="R187" s="333"/>
      <c r="S187" s="333"/>
      <c r="T187" s="333"/>
      <c r="U187" s="333"/>
      <c r="V187" s="333"/>
      <c r="W187" s="333"/>
      <c r="X187" s="333"/>
      <c r="Y187" s="333"/>
      <c r="Z187" s="333"/>
      <c r="AA187" s="333"/>
      <c r="AB187" s="28"/>
      <c r="AC187" s="36"/>
      <c r="AE187" s="112"/>
    </row>
    <row r="188" spans="1:32" ht="18" customHeight="1">
      <c r="A188" s="26"/>
      <c r="C188" s="337" t="s">
        <v>417</v>
      </c>
      <c r="D188" s="337"/>
      <c r="E188" s="337"/>
      <c r="F188" s="337"/>
      <c r="G188" s="333" t="s">
        <v>615</v>
      </c>
      <c r="H188" s="333"/>
      <c r="I188" s="333"/>
      <c r="J188" s="333"/>
      <c r="K188" s="333"/>
      <c r="L188" s="333"/>
      <c r="M188" s="333"/>
      <c r="N188" s="333"/>
      <c r="O188" s="333"/>
      <c r="P188" s="333"/>
      <c r="Q188" s="333"/>
      <c r="R188" s="333"/>
      <c r="S188" s="333"/>
      <c r="T188" s="333"/>
      <c r="U188" s="333"/>
      <c r="V188" s="333"/>
      <c r="W188" s="333"/>
      <c r="X188" s="333"/>
      <c r="Y188" s="333"/>
      <c r="Z188" s="333"/>
      <c r="AA188" s="333"/>
      <c r="AB188" s="28"/>
      <c r="AD188" s="67"/>
      <c r="AF188" s="27"/>
    </row>
    <row r="189" spans="1:32" ht="18" customHeight="1">
      <c r="A189" s="26"/>
      <c r="C189" s="337" t="s">
        <v>7</v>
      </c>
      <c r="D189" s="337"/>
      <c r="E189" s="343" t="s">
        <v>9</v>
      </c>
      <c r="F189" s="344"/>
      <c r="G189" s="344"/>
      <c r="H189" s="344"/>
      <c r="I189" s="344"/>
      <c r="J189" s="344"/>
      <c r="K189" s="345"/>
      <c r="L189" s="337" t="s">
        <v>407</v>
      </c>
      <c r="M189" s="337"/>
      <c r="N189" s="337"/>
      <c r="O189" s="337"/>
      <c r="P189" s="337"/>
      <c r="Q189" s="337"/>
      <c r="R189" s="337"/>
      <c r="S189" s="337"/>
      <c r="T189" s="337"/>
      <c r="U189" s="337"/>
      <c r="V189" s="337"/>
      <c r="W189" s="337"/>
      <c r="X189" s="337"/>
      <c r="Y189" s="337"/>
      <c r="Z189" s="337"/>
      <c r="AA189" s="337"/>
      <c r="AB189" s="28"/>
    </row>
    <row r="190" spans="1:32" ht="18" customHeight="1">
      <c r="A190" s="26"/>
      <c r="C190" s="334">
        <v>1</v>
      </c>
      <c r="D190" s="334"/>
      <c r="E190" s="47" t="s">
        <v>55</v>
      </c>
      <c r="F190" s="40"/>
      <c r="G190" s="40"/>
      <c r="H190" s="40"/>
      <c r="I190" s="40"/>
      <c r="J190" s="40"/>
      <c r="K190" s="40"/>
      <c r="L190" s="39" t="str">
        <f>"パラメータ．"&amp;E190</f>
        <v>パラメータ．案件コード</v>
      </c>
      <c r="M190" s="40"/>
      <c r="N190" s="40"/>
      <c r="O190" s="40"/>
      <c r="P190" s="40"/>
      <c r="Q190" s="40"/>
      <c r="R190" s="40"/>
      <c r="S190" s="40"/>
      <c r="T190" s="40"/>
      <c r="U190" s="40"/>
      <c r="V190" s="40"/>
      <c r="W190" s="40"/>
      <c r="X190" s="40"/>
      <c r="Y190" s="40"/>
      <c r="Z190" s="40"/>
      <c r="AA190" s="41"/>
      <c r="AB190" s="28"/>
      <c r="AD190" s="27" t="e">
        <f>"{"""&amp;#REF!&amp;""":""example"&amp;#REF!&amp;""","</f>
        <v>#REF!</v>
      </c>
    </row>
    <row r="191" spans="1:32" ht="18" customHeight="1">
      <c r="A191" s="26"/>
      <c r="C191" s="334">
        <v>2</v>
      </c>
      <c r="D191" s="334"/>
      <c r="E191" s="47" t="s">
        <v>259</v>
      </c>
      <c r="F191" s="40"/>
      <c r="G191" s="40"/>
      <c r="H191" s="40"/>
      <c r="I191" s="40"/>
      <c r="J191" s="40"/>
      <c r="K191" s="40"/>
      <c r="L191" s="51" t="s">
        <v>860</v>
      </c>
      <c r="M191" s="40"/>
      <c r="N191" s="40"/>
      <c r="O191" s="40"/>
      <c r="P191" s="40"/>
      <c r="Q191" s="40"/>
      <c r="R191" s="40"/>
      <c r="S191" s="40"/>
      <c r="T191" s="40"/>
      <c r="U191" s="40"/>
      <c r="V191" s="40"/>
      <c r="W191" s="40"/>
      <c r="X191" s="40"/>
      <c r="Y191" s="40"/>
      <c r="Z191" s="40"/>
      <c r="AA191" s="41"/>
      <c r="AB191" s="28"/>
      <c r="AD191" s="27" t="e">
        <f>""""&amp;#REF!&amp;""":""example"&amp;#REF!&amp;""","</f>
        <v>#REF!</v>
      </c>
    </row>
    <row r="192" spans="1:32" ht="18" customHeight="1">
      <c r="A192" s="26"/>
      <c r="C192" s="334">
        <v>3</v>
      </c>
      <c r="D192" s="334"/>
      <c r="E192" s="47" t="s">
        <v>134</v>
      </c>
      <c r="F192" s="40"/>
      <c r="G192" s="40"/>
      <c r="H192" s="40"/>
      <c r="I192" s="40"/>
      <c r="J192" s="40"/>
      <c r="K192" s="40"/>
      <c r="L192" s="51" t="s">
        <v>423</v>
      </c>
      <c r="M192" s="40"/>
      <c r="N192" s="40"/>
      <c r="O192" s="40"/>
      <c r="P192" s="40"/>
      <c r="Q192" s="40"/>
      <c r="R192" s="40"/>
      <c r="S192" s="40"/>
      <c r="T192" s="40"/>
      <c r="U192" s="40"/>
      <c r="V192" s="40"/>
      <c r="W192" s="40"/>
      <c r="X192" s="40"/>
      <c r="Y192" s="40"/>
      <c r="Z192" s="40"/>
      <c r="AA192" s="41"/>
      <c r="AB192" s="28"/>
      <c r="AD192" s="27" t="e">
        <f>""""&amp;#REF!&amp;""":""example"&amp;#REF!&amp;""","</f>
        <v>#REF!</v>
      </c>
    </row>
    <row r="193" spans="1:30" ht="18" customHeight="1">
      <c r="A193" s="26"/>
      <c r="C193" s="334">
        <v>4</v>
      </c>
      <c r="D193" s="334"/>
      <c r="E193" s="47" t="s">
        <v>389</v>
      </c>
      <c r="F193" s="40"/>
      <c r="G193" s="40"/>
      <c r="H193" s="40"/>
      <c r="I193" s="40"/>
      <c r="J193" s="40"/>
      <c r="K193" s="40"/>
      <c r="L193" s="39" t="str">
        <f>"パラメータ．"&amp;E193</f>
        <v>パラメータ．案件名</v>
      </c>
      <c r="M193" s="40"/>
      <c r="N193" s="40"/>
      <c r="O193" s="40"/>
      <c r="P193" s="40"/>
      <c r="Q193" s="40"/>
      <c r="R193" s="40"/>
      <c r="S193" s="40"/>
      <c r="T193" s="40"/>
      <c r="U193" s="40"/>
      <c r="V193" s="40"/>
      <c r="W193" s="40"/>
      <c r="X193" s="40"/>
      <c r="Y193" s="40"/>
      <c r="Z193" s="40"/>
      <c r="AA193" s="41"/>
      <c r="AB193" s="28"/>
      <c r="AD193" s="27" t="str">
        <f>""""&amp;L192&amp;""":""example"&amp;L192&amp;""","</f>
        <v>"”１”（最新）":"example”１”（最新）",</v>
      </c>
    </row>
    <row r="194" spans="1:30" ht="18" customHeight="1">
      <c r="A194" s="26"/>
      <c r="C194" s="334">
        <v>5</v>
      </c>
      <c r="D194" s="334"/>
      <c r="E194" s="47" t="s">
        <v>390</v>
      </c>
      <c r="F194" s="40"/>
      <c r="G194" s="40"/>
      <c r="H194" s="40"/>
      <c r="I194" s="40"/>
      <c r="J194" s="40"/>
      <c r="K194" s="40"/>
      <c r="L194" s="39" t="str">
        <f>"パラメータ．"&amp;E194</f>
        <v>パラメータ．案件カナ名</v>
      </c>
      <c r="M194" s="40"/>
      <c r="N194" s="40"/>
      <c r="O194" s="40"/>
      <c r="P194" s="40"/>
      <c r="Q194" s="40"/>
      <c r="R194" s="40"/>
      <c r="S194" s="40"/>
      <c r="T194" s="40"/>
      <c r="U194" s="40"/>
      <c r="V194" s="40"/>
      <c r="W194" s="40"/>
      <c r="X194" s="40"/>
      <c r="Y194" s="40"/>
      <c r="Z194" s="40"/>
      <c r="AA194" s="41"/>
      <c r="AB194" s="28"/>
      <c r="AD194" s="27" t="e">
        <f>""""&amp;#REF!&amp;""":""example"&amp;#REF!&amp;""","</f>
        <v>#REF!</v>
      </c>
    </row>
    <row r="195" spans="1:30" ht="18" customHeight="1">
      <c r="A195" s="26"/>
      <c r="C195" s="336">
        <v>6</v>
      </c>
      <c r="D195" s="336"/>
      <c r="E195" s="113" t="s">
        <v>748</v>
      </c>
      <c r="F195" s="114"/>
      <c r="G195" s="114"/>
      <c r="H195" s="114"/>
      <c r="I195" s="114"/>
      <c r="J195" s="114"/>
      <c r="K195" s="114"/>
      <c r="L195" s="115" t="s">
        <v>832</v>
      </c>
      <c r="M195" s="114"/>
      <c r="N195" s="114"/>
      <c r="O195" s="114"/>
      <c r="P195" s="114"/>
      <c r="Q195" s="114"/>
      <c r="R195" s="114"/>
      <c r="S195" s="114"/>
      <c r="T195" s="114"/>
      <c r="U195" s="114"/>
      <c r="V195" s="114"/>
      <c r="W195" s="114"/>
      <c r="X195" s="114"/>
      <c r="Y195" s="114"/>
      <c r="Z195" s="114"/>
      <c r="AA195" s="116"/>
      <c r="AB195" s="28"/>
      <c r="AC195" s="111" t="s">
        <v>834</v>
      </c>
      <c r="AD195" s="27" t="str">
        <f>"{"""&amp;L196&amp;""":""example"&amp;L196&amp;""","</f>
        <v>{"パラメータ．対象現場コード":"exampleパラメータ．対象現場コード",</v>
      </c>
    </row>
    <row r="196" spans="1:30" ht="18" customHeight="1">
      <c r="A196" s="26"/>
      <c r="C196" s="335">
        <v>7</v>
      </c>
      <c r="D196" s="335"/>
      <c r="E196" s="81" t="s">
        <v>752</v>
      </c>
      <c r="F196" s="72"/>
      <c r="G196" s="72"/>
      <c r="H196" s="72"/>
      <c r="I196" s="72"/>
      <c r="J196" s="72"/>
      <c r="K196" s="72"/>
      <c r="L196" s="71" t="str">
        <f t="shared" ref="L196:L238" si="0">"パラメータ．"&amp;E196</f>
        <v>パラメータ．対象現場コード</v>
      </c>
      <c r="M196" s="72"/>
      <c r="N196" s="72"/>
      <c r="O196" s="72"/>
      <c r="P196" s="72"/>
      <c r="Q196" s="72"/>
      <c r="R196" s="72"/>
      <c r="S196" s="72"/>
      <c r="T196" s="72"/>
      <c r="U196" s="72"/>
      <c r="V196" s="72"/>
      <c r="W196" s="72"/>
      <c r="X196" s="72"/>
      <c r="Y196" s="72"/>
      <c r="Z196" s="72"/>
      <c r="AA196" s="73"/>
      <c r="AB196" s="28"/>
      <c r="AC196" s="70" t="s">
        <v>750</v>
      </c>
      <c r="AD196" s="27" t="str">
        <f>""""&amp;L223&amp;""":""example"&amp;L223&amp;""","</f>
        <v>"パラメータ．階数（地上）":"exampleパラメータ．階数（地上）",</v>
      </c>
    </row>
    <row r="197" spans="1:30" ht="18" customHeight="1">
      <c r="A197" s="26"/>
      <c r="C197" s="334">
        <v>6</v>
      </c>
      <c r="D197" s="334"/>
      <c r="E197" s="47" t="s">
        <v>135</v>
      </c>
      <c r="F197" s="40"/>
      <c r="G197" s="40"/>
      <c r="H197" s="40"/>
      <c r="I197" s="40"/>
      <c r="J197" s="40"/>
      <c r="K197" s="40"/>
      <c r="L197" s="39" t="str">
        <f t="shared" si="0"/>
        <v>パラメータ．受注状態コード</v>
      </c>
      <c r="M197" s="40"/>
      <c r="N197" s="40"/>
      <c r="O197" s="40"/>
      <c r="P197" s="40"/>
      <c r="Q197" s="40"/>
      <c r="R197" s="40"/>
      <c r="S197" s="40"/>
      <c r="T197" s="40"/>
      <c r="U197" s="40"/>
      <c r="V197" s="40"/>
      <c r="W197" s="40"/>
      <c r="X197" s="40"/>
      <c r="Y197" s="40"/>
      <c r="Z197" s="40"/>
      <c r="AA197" s="41"/>
      <c r="AB197" s="28"/>
      <c r="AD197" s="27" t="str">
        <f>"{"""&amp;L198&amp;""":""example"&amp;L198&amp;""","</f>
        <v>{"パラメータ．顧客支店コード":"exampleパラメータ．顧客支店コード",</v>
      </c>
    </row>
    <row r="198" spans="1:30" ht="18" customHeight="1">
      <c r="A198" s="26"/>
      <c r="C198" s="334">
        <v>7</v>
      </c>
      <c r="D198" s="334"/>
      <c r="E198" s="47" t="s">
        <v>367</v>
      </c>
      <c r="F198" s="40"/>
      <c r="G198" s="40"/>
      <c r="H198" s="40"/>
      <c r="I198" s="40"/>
      <c r="J198" s="40"/>
      <c r="K198" s="40"/>
      <c r="L198" s="39" t="str">
        <f t="shared" si="0"/>
        <v>パラメータ．顧客支店コード</v>
      </c>
      <c r="M198" s="40"/>
      <c r="N198" s="40"/>
      <c r="O198" s="40"/>
      <c r="P198" s="40"/>
      <c r="Q198" s="40"/>
      <c r="R198" s="40"/>
      <c r="S198" s="40"/>
      <c r="T198" s="40"/>
      <c r="U198" s="40"/>
      <c r="V198" s="40"/>
      <c r="W198" s="40"/>
      <c r="X198" s="40"/>
      <c r="Y198" s="40"/>
      <c r="Z198" s="40"/>
      <c r="AA198" s="41"/>
      <c r="AB198" s="28"/>
      <c r="AD198" s="27" t="str">
        <f>""""&amp;L225&amp;""":""example"&amp;L225&amp;""","</f>
        <v>"パラメータ．工事経費率":"exampleパラメータ．工事経費率",</v>
      </c>
    </row>
    <row r="199" spans="1:30" ht="18" customHeight="1">
      <c r="A199" s="26"/>
      <c r="C199" s="334">
        <v>8</v>
      </c>
      <c r="D199" s="334"/>
      <c r="E199" s="47" t="s">
        <v>136</v>
      </c>
      <c r="F199" s="40"/>
      <c r="G199" s="40"/>
      <c r="H199" s="40"/>
      <c r="I199" s="40"/>
      <c r="J199" s="40"/>
      <c r="K199" s="40"/>
      <c r="L199" s="39" t="str">
        <f t="shared" si="0"/>
        <v>パラメータ．想定金額</v>
      </c>
      <c r="M199" s="40"/>
      <c r="N199" s="40"/>
      <c r="O199" s="40"/>
      <c r="P199" s="40"/>
      <c r="Q199" s="40"/>
      <c r="R199" s="40"/>
      <c r="S199" s="40"/>
      <c r="T199" s="40"/>
      <c r="U199" s="40"/>
      <c r="V199" s="40"/>
      <c r="W199" s="40"/>
      <c r="X199" s="40"/>
      <c r="Y199" s="40"/>
      <c r="Z199" s="40"/>
      <c r="AA199" s="41"/>
      <c r="AB199" s="28"/>
      <c r="AD199" s="27" t="str">
        <f>""""&amp;L226&amp;""":""example"&amp;L226&amp;""","</f>
        <v>"パラメータ．工事経費金額":"exampleパラメータ．工事経費金額",</v>
      </c>
    </row>
    <row r="200" spans="1:30" ht="18" customHeight="1">
      <c r="A200" s="26"/>
      <c r="C200" s="334">
        <v>9</v>
      </c>
      <c r="D200" s="334"/>
      <c r="E200" s="47" t="s">
        <v>137</v>
      </c>
      <c r="F200" s="40"/>
      <c r="G200" s="40"/>
      <c r="H200" s="40"/>
      <c r="I200" s="40"/>
      <c r="J200" s="40"/>
      <c r="K200" s="40"/>
      <c r="L200" s="39" t="str">
        <f t="shared" si="0"/>
        <v>パラメータ．郵便番号</v>
      </c>
      <c r="M200" s="40"/>
      <c r="N200" s="40"/>
      <c r="O200" s="40"/>
      <c r="P200" s="40"/>
      <c r="Q200" s="40"/>
      <c r="R200" s="40"/>
      <c r="S200" s="40"/>
      <c r="T200" s="40"/>
      <c r="U200" s="40"/>
      <c r="V200" s="40"/>
      <c r="W200" s="40"/>
      <c r="X200" s="40"/>
      <c r="Y200" s="40"/>
      <c r="Z200" s="40"/>
      <c r="AA200" s="41"/>
      <c r="AB200" s="28"/>
      <c r="AD200" s="27" t="e">
        <f>""""&amp;#REF!&amp;""":""example"&amp;#REF!&amp;""","</f>
        <v>#REF!</v>
      </c>
    </row>
    <row r="201" spans="1:30" ht="18" customHeight="1">
      <c r="A201" s="26"/>
      <c r="C201" s="334">
        <v>10</v>
      </c>
      <c r="D201" s="334"/>
      <c r="E201" s="47" t="s">
        <v>138</v>
      </c>
      <c r="F201" s="40"/>
      <c r="G201" s="40"/>
      <c r="H201" s="40"/>
      <c r="I201" s="40"/>
      <c r="J201" s="40"/>
      <c r="K201" s="40"/>
      <c r="L201" s="39" t="str">
        <f t="shared" si="0"/>
        <v>パラメータ．現場住所１</v>
      </c>
      <c r="M201" s="40"/>
      <c r="N201" s="40"/>
      <c r="O201" s="40"/>
      <c r="P201" s="40"/>
      <c r="Q201" s="40"/>
      <c r="R201" s="40"/>
      <c r="S201" s="40"/>
      <c r="T201" s="40"/>
      <c r="U201" s="40"/>
      <c r="V201" s="40"/>
      <c r="W201" s="40"/>
      <c r="X201" s="40"/>
      <c r="Y201" s="40"/>
      <c r="Z201" s="40"/>
      <c r="AA201" s="41"/>
      <c r="AB201" s="28"/>
      <c r="AD201" s="27" t="str">
        <f>""""&amp;L227&amp;""":""example"&amp;L227&amp;"""},"</f>
        <v>"パラメータ．販売管理費率":"exampleパラメータ．販売管理費率"},</v>
      </c>
    </row>
    <row r="202" spans="1:30" ht="18" customHeight="1">
      <c r="A202" s="26"/>
      <c r="C202" s="334">
        <v>11</v>
      </c>
      <c r="D202" s="334"/>
      <c r="E202" s="47" t="s">
        <v>139</v>
      </c>
      <c r="F202" s="40"/>
      <c r="G202" s="40"/>
      <c r="H202" s="40"/>
      <c r="I202" s="40"/>
      <c r="J202" s="40"/>
      <c r="K202" s="40"/>
      <c r="L202" s="39" t="str">
        <f t="shared" si="0"/>
        <v>パラメータ．現場住所２</v>
      </c>
      <c r="M202" s="40"/>
      <c r="N202" s="40"/>
      <c r="O202" s="40"/>
      <c r="P202" s="40"/>
      <c r="Q202" s="40"/>
      <c r="R202" s="40"/>
      <c r="S202" s="40"/>
      <c r="T202" s="40"/>
      <c r="U202" s="40"/>
      <c r="V202" s="40"/>
      <c r="W202" s="40"/>
      <c r="X202" s="40"/>
      <c r="Y202" s="40"/>
      <c r="Z202" s="40"/>
      <c r="AA202" s="41"/>
      <c r="AB202" s="28"/>
      <c r="AD202" s="27" t="e">
        <f>""""&amp;#REF!&amp;""":""example"&amp;#REF!&amp;"""},"</f>
        <v>#REF!</v>
      </c>
    </row>
    <row r="203" spans="1:30" ht="18" customHeight="1">
      <c r="A203" s="26"/>
      <c r="C203" s="334">
        <v>12</v>
      </c>
      <c r="D203" s="334"/>
      <c r="E203" s="47" t="s">
        <v>64</v>
      </c>
      <c r="F203" s="40"/>
      <c r="G203" s="40"/>
      <c r="H203" s="40"/>
      <c r="I203" s="40"/>
      <c r="J203" s="40"/>
      <c r="K203" s="40"/>
      <c r="L203" s="39" t="str">
        <f t="shared" si="0"/>
        <v>パラメータ．受注見込日</v>
      </c>
      <c r="M203" s="40"/>
      <c r="N203" s="40"/>
      <c r="O203" s="40"/>
      <c r="P203" s="40"/>
      <c r="Q203" s="40"/>
      <c r="R203" s="40"/>
      <c r="S203" s="40"/>
      <c r="T203" s="40"/>
      <c r="U203" s="40"/>
      <c r="V203" s="40"/>
      <c r="W203" s="40"/>
      <c r="X203" s="40"/>
      <c r="Y203" s="40"/>
      <c r="Z203" s="40"/>
      <c r="AA203" s="41"/>
      <c r="AB203" s="28"/>
      <c r="AD203" s="27" t="e">
        <f>""""&amp;#REF!&amp;""": ["</f>
        <v>#REF!</v>
      </c>
    </row>
    <row r="204" spans="1:30" ht="18" customHeight="1">
      <c r="A204" s="26"/>
      <c r="C204" s="334">
        <v>13</v>
      </c>
      <c r="D204" s="334"/>
      <c r="E204" s="47" t="s">
        <v>65</v>
      </c>
      <c r="F204" s="40"/>
      <c r="G204" s="40"/>
      <c r="H204" s="40"/>
      <c r="I204" s="40"/>
      <c r="J204" s="40"/>
      <c r="K204" s="40"/>
      <c r="L204" s="39" t="str">
        <f t="shared" si="0"/>
        <v>パラメータ．着工希望日</v>
      </c>
      <c r="M204" s="40"/>
      <c r="N204" s="40"/>
      <c r="O204" s="40"/>
      <c r="P204" s="40"/>
      <c r="Q204" s="40"/>
      <c r="R204" s="40"/>
      <c r="S204" s="40"/>
      <c r="T204" s="40"/>
      <c r="U204" s="40"/>
      <c r="V204" s="40"/>
      <c r="W204" s="40"/>
      <c r="X204" s="40"/>
      <c r="Y204" s="40"/>
      <c r="Z204" s="40"/>
      <c r="AA204" s="41"/>
      <c r="AB204" s="28"/>
      <c r="AD204" s="27" t="e">
        <f>"{"""&amp;#REF!&amp;""":""example"&amp;#REF!&amp;""","</f>
        <v>#REF!</v>
      </c>
    </row>
    <row r="205" spans="1:30" ht="18" customHeight="1">
      <c r="A205" s="26"/>
      <c r="C205" s="334">
        <v>14</v>
      </c>
      <c r="D205" s="334"/>
      <c r="E205" s="47" t="s">
        <v>391</v>
      </c>
      <c r="F205" s="40"/>
      <c r="G205" s="40"/>
      <c r="H205" s="40"/>
      <c r="I205" s="40"/>
      <c r="J205" s="40"/>
      <c r="K205" s="40"/>
      <c r="L205" s="39" t="str">
        <f t="shared" si="0"/>
        <v>パラメータ．完了希望日</v>
      </c>
      <c r="M205" s="40"/>
      <c r="N205" s="40"/>
      <c r="O205" s="40"/>
      <c r="P205" s="40"/>
      <c r="Q205" s="40"/>
      <c r="R205" s="40"/>
      <c r="S205" s="40"/>
      <c r="T205" s="40"/>
      <c r="U205" s="40"/>
      <c r="V205" s="40"/>
      <c r="W205" s="40"/>
      <c r="X205" s="40"/>
      <c r="Y205" s="40"/>
      <c r="Z205" s="40"/>
      <c r="AA205" s="41"/>
      <c r="AB205" s="28"/>
      <c r="AD205" s="27" t="str">
        <f>""""&amp;L229&amp;""":""example"&amp;L229&amp;""","</f>
        <v>"パラメータ．調整金額":"exampleパラメータ．調整金額",</v>
      </c>
    </row>
    <row r="206" spans="1:30" ht="18" customHeight="1">
      <c r="A206" s="26"/>
      <c r="C206" s="334">
        <v>15</v>
      </c>
      <c r="D206" s="334"/>
      <c r="E206" s="47" t="s">
        <v>392</v>
      </c>
      <c r="F206" s="40"/>
      <c r="G206" s="40"/>
      <c r="H206" s="40"/>
      <c r="I206" s="40"/>
      <c r="J206" s="40"/>
      <c r="K206" s="40"/>
      <c r="L206" s="39" t="str">
        <f t="shared" si="0"/>
        <v>パラメータ．営業部門ID</v>
      </c>
      <c r="M206" s="40"/>
      <c r="N206" s="40"/>
      <c r="O206" s="40"/>
      <c r="P206" s="40"/>
      <c r="Q206" s="40"/>
      <c r="R206" s="40"/>
      <c r="S206" s="40"/>
      <c r="T206" s="40"/>
      <c r="U206" s="40"/>
      <c r="V206" s="40"/>
      <c r="W206" s="40"/>
      <c r="X206" s="40"/>
      <c r="Y206" s="40"/>
      <c r="Z206" s="40"/>
      <c r="AA206" s="41"/>
      <c r="AB206" s="28"/>
      <c r="AD206" s="27" t="e">
        <f>""""&amp;#REF!&amp;""":""example"&amp;#REF!&amp;"""},"</f>
        <v>#REF!</v>
      </c>
    </row>
    <row r="207" spans="1:30" ht="18" customHeight="1">
      <c r="A207" s="26"/>
      <c r="C207" s="334">
        <v>16</v>
      </c>
      <c r="D207" s="334"/>
      <c r="E207" s="47" t="s">
        <v>140</v>
      </c>
      <c r="F207" s="40"/>
      <c r="G207" s="40"/>
      <c r="H207" s="40"/>
      <c r="I207" s="40"/>
      <c r="J207" s="40"/>
      <c r="K207" s="40"/>
      <c r="L207" s="39" t="str">
        <f t="shared" si="0"/>
        <v>パラメータ．営業管理職コード</v>
      </c>
      <c r="M207" s="40"/>
      <c r="N207" s="40"/>
      <c r="O207" s="40"/>
      <c r="P207" s="40"/>
      <c r="Q207" s="40"/>
      <c r="R207" s="40"/>
      <c r="S207" s="40"/>
      <c r="T207" s="40"/>
      <c r="U207" s="40"/>
      <c r="V207" s="40"/>
      <c r="W207" s="40"/>
      <c r="X207" s="40"/>
      <c r="Y207" s="40"/>
      <c r="Z207" s="40"/>
      <c r="AA207" s="41"/>
      <c r="AB207" s="28"/>
      <c r="AD207" s="27" t="str">
        <f>""""&amp;L232&amp;""":""example"&amp;L232&amp;""","</f>
        <v>"パラメータ．介護保険率":"exampleパラメータ．介護保険率",</v>
      </c>
    </row>
    <row r="208" spans="1:30" ht="18" customHeight="1">
      <c r="A208" s="26"/>
      <c r="C208" s="334">
        <v>17</v>
      </c>
      <c r="D208" s="334"/>
      <c r="E208" s="47" t="s">
        <v>141</v>
      </c>
      <c r="F208" s="40"/>
      <c r="G208" s="40"/>
      <c r="H208" s="40"/>
      <c r="I208" s="40"/>
      <c r="J208" s="40"/>
      <c r="K208" s="40"/>
      <c r="L208" s="39" t="str">
        <f t="shared" si="0"/>
        <v>パラメータ．営業担当者コード</v>
      </c>
      <c r="M208" s="40"/>
      <c r="N208" s="40"/>
      <c r="O208" s="40"/>
      <c r="P208" s="40"/>
      <c r="Q208" s="40"/>
      <c r="R208" s="40"/>
      <c r="S208" s="40"/>
      <c r="T208" s="40"/>
      <c r="U208" s="40"/>
      <c r="V208" s="40"/>
      <c r="W208" s="40"/>
      <c r="X208" s="40"/>
      <c r="Y208" s="40"/>
      <c r="Z208" s="40"/>
      <c r="AA208" s="41"/>
      <c r="AB208" s="28"/>
      <c r="AD208" s="27" t="str">
        <f>""""&amp;L234&amp;""":""example"&amp;L234&amp;""","</f>
        <v>"パラメータ．締日区分":"exampleパラメータ．締日区分",</v>
      </c>
    </row>
    <row r="209" spans="1:30" ht="18" customHeight="1">
      <c r="A209" s="26"/>
      <c r="C209" s="334">
        <v>18</v>
      </c>
      <c r="D209" s="334"/>
      <c r="E209" s="47" t="s">
        <v>393</v>
      </c>
      <c r="F209" s="40"/>
      <c r="G209" s="40"/>
      <c r="H209" s="40"/>
      <c r="I209" s="40"/>
      <c r="J209" s="40"/>
      <c r="K209" s="40"/>
      <c r="L209" s="39" t="str">
        <f t="shared" si="0"/>
        <v>パラメータ．設計業者名</v>
      </c>
      <c r="M209" s="40"/>
      <c r="N209" s="40"/>
      <c r="O209" s="40"/>
      <c r="P209" s="40"/>
      <c r="Q209" s="40"/>
      <c r="R209" s="40"/>
      <c r="S209" s="40"/>
      <c r="T209" s="40"/>
      <c r="U209" s="40"/>
      <c r="V209" s="40"/>
      <c r="W209" s="40"/>
      <c r="X209" s="40"/>
      <c r="Y209" s="40"/>
      <c r="Z209" s="40"/>
      <c r="AA209" s="41"/>
      <c r="AB209" s="28"/>
      <c r="AD209" s="27" t="str">
        <f>""""&amp;L236&amp;""":""example"&amp;L236&amp;""","</f>
        <v>"パラメータ．支払日区分":"exampleパラメータ．支払日区分",</v>
      </c>
    </row>
    <row r="210" spans="1:30" ht="18" customHeight="1">
      <c r="A210" s="26"/>
      <c r="C210" s="334">
        <v>19</v>
      </c>
      <c r="D210" s="334"/>
      <c r="E210" s="47" t="s">
        <v>394</v>
      </c>
      <c r="F210" s="40"/>
      <c r="G210" s="40"/>
      <c r="H210" s="40"/>
      <c r="I210" s="40"/>
      <c r="J210" s="40"/>
      <c r="K210" s="40"/>
      <c r="L210" s="39" t="str">
        <f t="shared" si="0"/>
        <v>パラメータ．設計担当者名</v>
      </c>
      <c r="M210" s="40"/>
      <c r="N210" s="40"/>
      <c r="O210" s="40"/>
      <c r="P210" s="40"/>
      <c r="Q210" s="40"/>
      <c r="R210" s="40"/>
      <c r="S210" s="40"/>
      <c r="T210" s="40"/>
      <c r="U210" s="40"/>
      <c r="V210" s="40"/>
      <c r="W210" s="40"/>
      <c r="X210" s="40"/>
      <c r="Y210" s="40"/>
      <c r="Z210" s="40"/>
      <c r="AA210" s="41"/>
      <c r="AB210" s="28"/>
      <c r="AD210" s="27" t="str">
        <f>""""&amp;L237&amp;""":""example"&amp;L237&amp;"""},"</f>
        <v>"パラメータ．不成約理由":"exampleパラメータ．不成約理由"},</v>
      </c>
    </row>
    <row r="211" spans="1:30" ht="18" customHeight="1">
      <c r="A211" s="26"/>
      <c r="C211" s="334">
        <v>20</v>
      </c>
      <c r="D211" s="334"/>
      <c r="E211" s="47" t="s">
        <v>142</v>
      </c>
      <c r="F211" s="40"/>
      <c r="G211" s="40"/>
      <c r="H211" s="40"/>
      <c r="I211" s="40"/>
      <c r="J211" s="40"/>
      <c r="K211" s="40"/>
      <c r="L211" s="39" t="str">
        <f t="shared" si="0"/>
        <v>パラメータ．進捗度コード</v>
      </c>
      <c r="M211" s="40"/>
      <c r="N211" s="40"/>
      <c r="O211" s="40"/>
      <c r="P211" s="40"/>
      <c r="Q211" s="40"/>
      <c r="R211" s="40"/>
      <c r="S211" s="40"/>
      <c r="T211" s="40"/>
      <c r="U211" s="40"/>
      <c r="V211" s="40"/>
      <c r="W211" s="40"/>
      <c r="X211" s="40"/>
      <c r="Y211" s="40"/>
      <c r="Z211" s="40"/>
      <c r="AA211" s="41"/>
      <c r="AB211" s="28"/>
      <c r="AD211" s="27" t="e">
        <f>""""&amp;#REF!&amp;""":""example"&amp;#REF!&amp;"""},"</f>
        <v>#REF!</v>
      </c>
    </row>
    <row r="212" spans="1:30" ht="18" customHeight="1">
      <c r="A212" s="26"/>
      <c r="C212" s="334">
        <v>21</v>
      </c>
      <c r="D212" s="334"/>
      <c r="E212" s="47" t="s">
        <v>143</v>
      </c>
      <c r="F212" s="40"/>
      <c r="G212" s="40"/>
      <c r="H212" s="40"/>
      <c r="I212" s="40"/>
      <c r="J212" s="40"/>
      <c r="K212" s="40"/>
      <c r="L212" s="39" t="str">
        <f t="shared" si="0"/>
        <v>パラメータ．案件区分</v>
      </c>
      <c r="M212" s="40"/>
      <c r="N212" s="40"/>
      <c r="O212" s="40"/>
      <c r="P212" s="40"/>
      <c r="Q212" s="40"/>
      <c r="R212" s="40"/>
      <c r="S212" s="40"/>
      <c r="T212" s="40"/>
      <c r="U212" s="40"/>
      <c r="V212" s="40"/>
      <c r="W212" s="40"/>
      <c r="X212" s="40"/>
      <c r="Y212" s="40"/>
      <c r="Z212" s="40"/>
      <c r="AA212" s="41"/>
      <c r="AB212" s="28"/>
      <c r="AD212" s="27" t="e">
        <f>""""&amp;#REF!&amp;""":""example"&amp;#REF!&amp;"""},"</f>
        <v>#REF!</v>
      </c>
    </row>
    <row r="213" spans="1:30" ht="18" customHeight="1">
      <c r="A213" s="26"/>
      <c r="C213" s="334">
        <v>22</v>
      </c>
      <c r="D213" s="334"/>
      <c r="E213" s="47" t="s">
        <v>61</v>
      </c>
      <c r="F213" s="40"/>
      <c r="G213" s="40"/>
      <c r="H213" s="40"/>
      <c r="I213" s="40"/>
      <c r="J213" s="40"/>
      <c r="K213" s="40"/>
      <c r="L213" s="39" t="str">
        <f t="shared" si="0"/>
        <v>パラメータ．官民区分</v>
      </c>
      <c r="M213" s="40"/>
      <c r="N213" s="40"/>
      <c r="O213" s="40"/>
      <c r="P213" s="40"/>
      <c r="Q213" s="40"/>
      <c r="R213" s="40"/>
      <c r="S213" s="40"/>
      <c r="T213" s="40"/>
      <c r="U213" s="40"/>
      <c r="V213" s="40"/>
      <c r="W213" s="40"/>
      <c r="X213" s="40"/>
      <c r="Y213" s="40"/>
      <c r="Z213" s="40"/>
      <c r="AA213" s="41"/>
      <c r="AB213" s="28"/>
      <c r="AD213" s="27" t="e">
        <f>""""&amp;#REF!&amp;""": ["</f>
        <v>#REF!</v>
      </c>
    </row>
    <row r="214" spans="1:30" ht="18" customHeight="1">
      <c r="A214" s="26"/>
      <c r="C214" s="334">
        <v>23</v>
      </c>
      <c r="D214" s="334"/>
      <c r="E214" s="47" t="s">
        <v>395</v>
      </c>
      <c r="F214" s="40"/>
      <c r="G214" s="40"/>
      <c r="H214" s="40"/>
      <c r="I214" s="40"/>
      <c r="J214" s="40"/>
      <c r="K214" s="40"/>
      <c r="L214" s="39" t="str">
        <f t="shared" si="0"/>
        <v>パラメータ．グリンサイトフラグ</v>
      </c>
      <c r="M214" s="40"/>
      <c r="N214" s="40"/>
      <c r="O214" s="40"/>
      <c r="P214" s="40"/>
      <c r="Q214" s="40"/>
      <c r="R214" s="40"/>
      <c r="S214" s="40"/>
      <c r="T214" s="40"/>
      <c r="U214" s="40"/>
      <c r="V214" s="40"/>
      <c r="W214" s="40"/>
      <c r="X214" s="40"/>
      <c r="Y214" s="40"/>
      <c r="Z214" s="40"/>
      <c r="AA214" s="41"/>
      <c r="AB214" s="28"/>
      <c r="AD214" s="27" t="e">
        <f>""""&amp;#REF!&amp;""": ["</f>
        <v>#REF!</v>
      </c>
    </row>
    <row r="215" spans="1:30" ht="18" customHeight="1">
      <c r="A215" s="26"/>
      <c r="C215" s="334">
        <v>24</v>
      </c>
      <c r="D215" s="334"/>
      <c r="E215" s="47" t="s">
        <v>62</v>
      </c>
      <c r="F215" s="40"/>
      <c r="G215" s="40"/>
      <c r="H215" s="40"/>
      <c r="I215" s="40"/>
      <c r="J215" s="40"/>
      <c r="K215" s="40"/>
      <c r="L215" s="39" t="str">
        <f t="shared" si="0"/>
        <v>パラメータ．見積提出期限</v>
      </c>
      <c r="M215" s="40"/>
      <c r="N215" s="40"/>
      <c r="O215" s="40"/>
      <c r="P215" s="40"/>
      <c r="Q215" s="40"/>
      <c r="R215" s="40"/>
      <c r="S215" s="40"/>
      <c r="T215" s="40"/>
      <c r="U215" s="40"/>
      <c r="V215" s="40"/>
      <c r="W215" s="40"/>
      <c r="X215" s="40"/>
      <c r="Y215" s="40"/>
      <c r="Z215" s="40"/>
      <c r="AA215" s="41"/>
      <c r="AB215" s="28"/>
    </row>
    <row r="216" spans="1:30" ht="18" customHeight="1">
      <c r="A216" s="26"/>
      <c r="C216" s="334">
        <v>25</v>
      </c>
      <c r="D216" s="334"/>
      <c r="E216" s="47" t="s">
        <v>144</v>
      </c>
      <c r="F216" s="40"/>
      <c r="G216" s="40"/>
      <c r="H216" s="40"/>
      <c r="I216" s="40"/>
      <c r="J216" s="40"/>
      <c r="K216" s="40"/>
      <c r="L216" s="39" t="str">
        <f t="shared" si="0"/>
        <v>パラメータ．敷地面積</v>
      </c>
      <c r="M216" s="40"/>
      <c r="N216" s="40"/>
      <c r="O216" s="40"/>
      <c r="P216" s="40"/>
      <c r="Q216" s="40"/>
      <c r="R216" s="40"/>
      <c r="S216" s="40"/>
      <c r="T216" s="40"/>
      <c r="U216" s="40"/>
      <c r="V216" s="40"/>
      <c r="W216" s="40"/>
      <c r="X216" s="40"/>
      <c r="Y216" s="40"/>
      <c r="Z216" s="40"/>
      <c r="AA216" s="41"/>
      <c r="AB216" s="28"/>
    </row>
    <row r="217" spans="1:30" ht="18" customHeight="1">
      <c r="A217" s="26"/>
      <c r="C217" s="334">
        <v>26</v>
      </c>
      <c r="D217" s="334"/>
      <c r="E217" s="47" t="s">
        <v>145</v>
      </c>
      <c r="F217" s="40"/>
      <c r="G217" s="40"/>
      <c r="H217" s="40"/>
      <c r="I217" s="40"/>
      <c r="J217" s="40"/>
      <c r="K217" s="40"/>
      <c r="L217" s="39" t="str">
        <f t="shared" si="0"/>
        <v>パラメータ．建築面積</v>
      </c>
      <c r="M217" s="40"/>
      <c r="N217" s="40"/>
      <c r="O217" s="40"/>
      <c r="P217" s="40"/>
      <c r="Q217" s="40"/>
      <c r="R217" s="40"/>
      <c r="S217" s="40"/>
      <c r="T217" s="40"/>
      <c r="U217" s="40"/>
      <c r="V217" s="40"/>
      <c r="W217" s="40"/>
      <c r="X217" s="40"/>
      <c r="Y217" s="40"/>
      <c r="Z217" s="40"/>
      <c r="AA217" s="41"/>
      <c r="AB217" s="28"/>
      <c r="AD217" s="27" t="e">
        <f>"{"""&amp;#REF!&amp;""":""example"&amp;#REF!&amp;""","</f>
        <v>#REF!</v>
      </c>
    </row>
    <row r="218" spans="1:30" ht="18" customHeight="1">
      <c r="A218" s="26"/>
      <c r="C218" s="334">
        <v>27</v>
      </c>
      <c r="D218" s="334"/>
      <c r="E218" s="47" t="s">
        <v>146</v>
      </c>
      <c r="F218" s="40"/>
      <c r="G218" s="40"/>
      <c r="H218" s="40"/>
      <c r="I218" s="40"/>
      <c r="J218" s="40"/>
      <c r="K218" s="40"/>
      <c r="L218" s="39" t="str">
        <f t="shared" si="0"/>
        <v>パラメータ．延床面積</v>
      </c>
      <c r="M218" s="40"/>
      <c r="N218" s="40"/>
      <c r="O218" s="40"/>
      <c r="P218" s="40"/>
      <c r="Q218" s="40"/>
      <c r="R218" s="40"/>
      <c r="S218" s="40"/>
      <c r="T218" s="40"/>
      <c r="U218" s="40"/>
      <c r="V218" s="40"/>
      <c r="W218" s="40"/>
      <c r="X218" s="40"/>
      <c r="Y218" s="40"/>
      <c r="Z218" s="40"/>
      <c r="AA218" s="41"/>
      <c r="AB218" s="28"/>
      <c r="AD218" s="27" t="e">
        <f>"{"""&amp;#REF!&amp;""":""example"&amp;#REF!&amp;""","</f>
        <v>#REF!</v>
      </c>
    </row>
    <row r="219" spans="1:30" ht="18" customHeight="1">
      <c r="A219" s="26"/>
      <c r="C219" s="334">
        <v>28</v>
      </c>
      <c r="D219" s="334"/>
      <c r="E219" s="47" t="s">
        <v>147</v>
      </c>
      <c r="F219" s="40"/>
      <c r="G219" s="40"/>
      <c r="H219" s="40"/>
      <c r="I219" s="40"/>
      <c r="J219" s="40"/>
      <c r="K219" s="40"/>
      <c r="L219" s="39" t="str">
        <f t="shared" si="0"/>
        <v>パラメータ．施工床面積</v>
      </c>
      <c r="M219" s="40"/>
      <c r="N219" s="40"/>
      <c r="O219" s="40"/>
      <c r="P219" s="40"/>
      <c r="Q219" s="40"/>
      <c r="R219" s="40"/>
      <c r="S219" s="40"/>
      <c r="T219" s="40"/>
      <c r="U219" s="40"/>
      <c r="V219" s="40"/>
      <c r="W219" s="40"/>
      <c r="X219" s="40"/>
      <c r="Y219" s="40"/>
      <c r="Z219" s="40"/>
      <c r="AA219" s="41"/>
      <c r="AB219" s="28"/>
    </row>
    <row r="220" spans="1:30" ht="18" customHeight="1">
      <c r="A220" s="26"/>
      <c r="C220" s="334">
        <v>29</v>
      </c>
      <c r="D220" s="334"/>
      <c r="E220" s="47" t="s">
        <v>148</v>
      </c>
      <c r="F220" s="40"/>
      <c r="G220" s="40"/>
      <c r="H220" s="40"/>
      <c r="I220" s="40"/>
      <c r="J220" s="40"/>
      <c r="K220" s="40"/>
      <c r="L220" s="39" t="str">
        <f t="shared" si="0"/>
        <v>パラメータ．専有面積</v>
      </c>
      <c r="M220" s="40"/>
      <c r="N220" s="40"/>
      <c r="O220" s="40"/>
      <c r="P220" s="40"/>
      <c r="Q220" s="40"/>
      <c r="R220" s="40"/>
      <c r="S220" s="40"/>
      <c r="T220" s="40"/>
      <c r="U220" s="40"/>
      <c r="V220" s="40"/>
      <c r="W220" s="40"/>
      <c r="X220" s="40"/>
      <c r="Y220" s="40"/>
      <c r="Z220" s="40"/>
      <c r="AA220" s="41"/>
      <c r="AB220" s="28"/>
    </row>
    <row r="221" spans="1:30" ht="18" customHeight="1">
      <c r="A221" s="26"/>
      <c r="C221" s="334">
        <v>30</v>
      </c>
      <c r="D221" s="334"/>
      <c r="E221" s="47" t="s">
        <v>149</v>
      </c>
      <c r="F221" s="40"/>
      <c r="G221" s="40"/>
      <c r="H221" s="40"/>
      <c r="I221" s="40"/>
      <c r="J221" s="40"/>
      <c r="K221" s="40"/>
      <c r="L221" s="39" t="str">
        <f t="shared" si="0"/>
        <v>パラメータ．施工面積</v>
      </c>
      <c r="M221" s="40"/>
      <c r="N221" s="40"/>
      <c r="O221" s="40"/>
      <c r="P221" s="40"/>
      <c r="Q221" s="40"/>
      <c r="R221" s="40"/>
      <c r="S221" s="40"/>
      <c r="T221" s="40"/>
      <c r="U221" s="40"/>
      <c r="V221" s="40"/>
      <c r="W221" s="40"/>
      <c r="X221" s="40"/>
      <c r="Y221" s="40"/>
      <c r="Z221" s="40"/>
      <c r="AA221" s="41"/>
      <c r="AB221" s="28"/>
    </row>
    <row r="222" spans="1:30" ht="18" customHeight="1">
      <c r="A222" s="26"/>
      <c r="C222" s="334">
        <v>31</v>
      </c>
      <c r="D222" s="334"/>
      <c r="E222" s="47" t="s">
        <v>63</v>
      </c>
      <c r="F222" s="40"/>
      <c r="G222" s="40"/>
      <c r="H222" s="40"/>
      <c r="I222" s="40"/>
      <c r="J222" s="40"/>
      <c r="K222" s="40"/>
      <c r="L222" s="39" t="str">
        <f t="shared" si="0"/>
        <v>パラメータ．戸数</v>
      </c>
      <c r="M222" s="40"/>
      <c r="N222" s="40"/>
      <c r="O222" s="40"/>
      <c r="P222" s="40"/>
      <c r="Q222" s="40"/>
      <c r="R222" s="40"/>
      <c r="S222" s="40"/>
      <c r="T222" s="40"/>
      <c r="U222" s="40"/>
      <c r="V222" s="40"/>
      <c r="W222" s="40"/>
      <c r="X222" s="40"/>
      <c r="Y222" s="40"/>
      <c r="Z222" s="40"/>
      <c r="AA222" s="41"/>
      <c r="AB222" s="28"/>
    </row>
    <row r="223" spans="1:30" ht="18" customHeight="1">
      <c r="A223" s="26"/>
      <c r="C223" s="334">
        <v>32</v>
      </c>
      <c r="D223" s="334"/>
      <c r="E223" s="47" t="s">
        <v>150</v>
      </c>
      <c r="F223" s="40"/>
      <c r="G223" s="40"/>
      <c r="H223" s="40"/>
      <c r="I223" s="40"/>
      <c r="J223" s="40"/>
      <c r="K223" s="40"/>
      <c r="L223" s="39" t="str">
        <f t="shared" si="0"/>
        <v>パラメータ．階数（地上）</v>
      </c>
      <c r="M223" s="40"/>
      <c r="N223" s="40"/>
      <c r="O223" s="40"/>
      <c r="P223" s="40"/>
      <c r="Q223" s="40"/>
      <c r="R223" s="40"/>
      <c r="S223" s="40"/>
      <c r="T223" s="40"/>
      <c r="U223" s="40"/>
      <c r="V223" s="40"/>
      <c r="W223" s="40"/>
      <c r="X223" s="40"/>
      <c r="Y223" s="40"/>
      <c r="Z223" s="40"/>
      <c r="AA223" s="41"/>
      <c r="AB223" s="28"/>
    </row>
    <row r="224" spans="1:30" ht="18" customHeight="1">
      <c r="A224" s="26"/>
      <c r="C224" s="334">
        <v>33</v>
      </c>
      <c r="D224" s="334"/>
      <c r="E224" s="47" t="s">
        <v>151</v>
      </c>
      <c r="F224" s="40"/>
      <c r="G224" s="40"/>
      <c r="H224" s="40"/>
      <c r="I224" s="40"/>
      <c r="J224" s="40"/>
      <c r="K224" s="40"/>
      <c r="L224" s="39" t="str">
        <f t="shared" si="0"/>
        <v>パラメータ．階数（地下）</v>
      </c>
      <c r="M224" s="40"/>
      <c r="N224" s="40"/>
      <c r="O224" s="40"/>
      <c r="P224" s="40"/>
      <c r="Q224" s="40"/>
      <c r="R224" s="40"/>
      <c r="S224" s="40"/>
      <c r="T224" s="40"/>
      <c r="U224" s="40"/>
      <c r="V224" s="40"/>
      <c r="W224" s="40"/>
      <c r="X224" s="40"/>
      <c r="Y224" s="40"/>
      <c r="Z224" s="40"/>
      <c r="AA224" s="41"/>
      <c r="AB224" s="28"/>
    </row>
    <row r="225" spans="1:30" ht="18" customHeight="1">
      <c r="A225" s="26"/>
      <c r="C225" s="334">
        <v>34</v>
      </c>
      <c r="D225" s="334"/>
      <c r="E225" s="47" t="s">
        <v>396</v>
      </c>
      <c r="F225" s="40"/>
      <c r="G225" s="40"/>
      <c r="H225" s="40"/>
      <c r="I225" s="40"/>
      <c r="J225" s="40"/>
      <c r="K225" s="40"/>
      <c r="L225" s="39" t="str">
        <f t="shared" si="0"/>
        <v>パラメータ．工事経費率</v>
      </c>
      <c r="M225" s="40"/>
      <c r="N225" s="40"/>
      <c r="O225" s="40"/>
      <c r="P225" s="40"/>
      <c r="Q225" s="40"/>
      <c r="R225" s="40"/>
      <c r="S225" s="40"/>
      <c r="T225" s="40"/>
      <c r="U225" s="40"/>
      <c r="V225" s="40"/>
      <c r="W225" s="40"/>
      <c r="X225" s="40"/>
      <c r="Y225" s="40"/>
      <c r="Z225" s="40"/>
      <c r="AA225" s="41"/>
      <c r="AB225" s="28"/>
    </row>
    <row r="226" spans="1:30" ht="18" customHeight="1">
      <c r="A226" s="26"/>
      <c r="C226" s="334">
        <v>35</v>
      </c>
      <c r="D226" s="334"/>
      <c r="E226" s="47" t="s">
        <v>397</v>
      </c>
      <c r="F226" s="40"/>
      <c r="G226" s="40"/>
      <c r="H226" s="40"/>
      <c r="I226" s="40"/>
      <c r="J226" s="40"/>
      <c r="K226" s="40"/>
      <c r="L226" s="39" t="str">
        <f t="shared" si="0"/>
        <v>パラメータ．工事経費金額</v>
      </c>
      <c r="M226" s="40"/>
      <c r="N226" s="40"/>
      <c r="O226" s="40"/>
      <c r="P226" s="40"/>
      <c r="Q226" s="40"/>
      <c r="R226" s="40"/>
      <c r="S226" s="40"/>
      <c r="T226" s="40"/>
      <c r="U226" s="40"/>
      <c r="V226" s="40"/>
      <c r="W226" s="40"/>
      <c r="X226" s="40"/>
      <c r="Y226" s="40"/>
      <c r="Z226" s="40"/>
      <c r="AA226" s="41"/>
      <c r="AB226" s="28"/>
    </row>
    <row r="227" spans="1:30" ht="18" customHeight="1">
      <c r="A227" s="26"/>
      <c r="C227" s="334">
        <v>36</v>
      </c>
      <c r="D227" s="334"/>
      <c r="E227" s="47" t="s">
        <v>398</v>
      </c>
      <c r="F227" s="40"/>
      <c r="G227" s="40"/>
      <c r="H227" s="40"/>
      <c r="I227" s="40"/>
      <c r="J227" s="40"/>
      <c r="K227" s="40"/>
      <c r="L227" s="39" t="str">
        <f t="shared" si="0"/>
        <v>パラメータ．販売管理費率</v>
      </c>
      <c r="M227" s="40"/>
      <c r="N227" s="40"/>
      <c r="O227" s="40"/>
      <c r="P227" s="40"/>
      <c r="Q227" s="40"/>
      <c r="R227" s="40"/>
      <c r="S227" s="40"/>
      <c r="T227" s="40"/>
      <c r="U227" s="40"/>
      <c r="V227" s="40"/>
      <c r="W227" s="40"/>
      <c r="X227" s="40"/>
      <c r="Y227" s="40"/>
      <c r="Z227" s="40"/>
      <c r="AA227" s="41"/>
      <c r="AB227" s="28"/>
    </row>
    <row r="228" spans="1:30" ht="18" customHeight="1">
      <c r="A228" s="26"/>
      <c r="C228" s="334">
        <v>37</v>
      </c>
      <c r="D228" s="334"/>
      <c r="E228" s="47" t="s">
        <v>399</v>
      </c>
      <c r="F228" s="40"/>
      <c r="G228" s="40"/>
      <c r="H228" s="40"/>
      <c r="I228" s="40"/>
      <c r="J228" s="40"/>
      <c r="K228" s="40"/>
      <c r="L228" s="39" t="str">
        <f t="shared" si="0"/>
        <v>パラメータ．販売管理費金額</v>
      </c>
      <c r="M228" s="40"/>
      <c r="N228" s="40"/>
      <c r="O228" s="40"/>
      <c r="P228" s="40"/>
      <c r="Q228" s="40"/>
      <c r="R228" s="40"/>
      <c r="S228" s="40"/>
      <c r="T228" s="40"/>
      <c r="U228" s="40"/>
      <c r="V228" s="40"/>
      <c r="W228" s="40"/>
      <c r="X228" s="40"/>
      <c r="Y228" s="40"/>
      <c r="Z228" s="40"/>
      <c r="AA228" s="41"/>
      <c r="AB228" s="28"/>
    </row>
    <row r="229" spans="1:30" ht="18" customHeight="1">
      <c r="A229" s="26"/>
      <c r="C229" s="334">
        <v>38</v>
      </c>
      <c r="D229" s="334"/>
      <c r="E229" s="47" t="s">
        <v>400</v>
      </c>
      <c r="F229" s="40"/>
      <c r="G229" s="40"/>
      <c r="H229" s="40"/>
      <c r="I229" s="40"/>
      <c r="J229" s="40"/>
      <c r="K229" s="40"/>
      <c r="L229" s="39" t="str">
        <f t="shared" si="0"/>
        <v>パラメータ．調整金額</v>
      </c>
      <c r="M229" s="40"/>
      <c r="N229" s="40"/>
      <c r="O229" s="40"/>
      <c r="P229" s="40"/>
      <c r="Q229" s="40"/>
      <c r="R229" s="40"/>
      <c r="S229" s="40"/>
      <c r="T229" s="40"/>
      <c r="U229" s="40"/>
      <c r="V229" s="40"/>
      <c r="W229" s="40"/>
      <c r="X229" s="40"/>
      <c r="Y229" s="40"/>
      <c r="Z229" s="40"/>
      <c r="AA229" s="41"/>
      <c r="AB229" s="28"/>
    </row>
    <row r="230" spans="1:30" ht="18" customHeight="1">
      <c r="A230" s="26"/>
      <c r="C230" s="334">
        <v>39</v>
      </c>
      <c r="D230" s="334"/>
      <c r="E230" s="47" t="s">
        <v>401</v>
      </c>
      <c r="F230" s="40"/>
      <c r="G230" s="40"/>
      <c r="H230" s="40"/>
      <c r="I230" s="40"/>
      <c r="J230" s="40"/>
      <c r="K230" s="40"/>
      <c r="L230" s="39" t="str">
        <f t="shared" si="0"/>
        <v>パラメータ．雇用保険率</v>
      </c>
      <c r="M230" s="40"/>
      <c r="N230" s="40"/>
      <c r="O230" s="40"/>
      <c r="P230" s="40"/>
      <c r="Q230" s="40"/>
      <c r="R230" s="40"/>
      <c r="S230" s="40"/>
      <c r="T230" s="40"/>
      <c r="U230" s="40"/>
      <c r="V230" s="40"/>
      <c r="W230" s="40"/>
      <c r="X230" s="40"/>
      <c r="Y230" s="40"/>
      <c r="Z230" s="40"/>
      <c r="AA230" s="41"/>
      <c r="AB230" s="28"/>
    </row>
    <row r="231" spans="1:30" ht="18" customHeight="1">
      <c r="A231" s="26"/>
      <c r="C231" s="334">
        <v>40</v>
      </c>
      <c r="D231" s="334"/>
      <c r="E231" s="47" t="s">
        <v>402</v>
      </c>
      <c r="F231" s="40"/>
      <c r="G231" s="40"/>
      <c r="H231" s="40"/>
      <c r="I231" s="40"/>
      <c r="J231" s="40"/>
      <c r="K231" s="40"/>
      <c r="L231" s="39" t="str">
        <f t="shared" si="0"/>
        <v>パラメータ．健康保険保険率</v>
      </c>
      <c r="M231" s="40"/>
      <c r="N231" s="40"/>
      <c r="O231" s="40"/>
      <c r="P231" s="40"/>
      <c r="Q231" s="40"/>
      <c r="R231" s="40"/>
      <c r="S231" s="40"/>
      <c r="T231" s="40"/>
      <c r="U231" s="40"/>
      <c r="V231" s="40"/>
      <c r="W231" s="40"/>
      <c r="X231" s="40"/>
      <c r="Y231" s="40"/>
      <c r="Z231" s="40"/>
      <c r="AA231" s="41"/>
      <c r="AB231" s="28"/>
    </row>
    <row r="232" spans="1:30" ht="18" customHeight="1">
      <c r="A232" s="26"/>
      <c r="C232" s="334">
        <v>41</v>
      </c>
      <c r="D232" s="334"/>
      <c r="E232" s="47" t="s">
        <v>403</v>
      </c>
      <c r="F232" s="40"/>
      <c r="G232" s="40"/>
      <c r="H232" s="40"/>
      <c r="I232" s="40"/>
      <c r="J232" s="40"/>
      <c r="K232" s="40"/>
      <c r="L232" s="39" t="str">
        <f t="shared" si="0"/>
        <v>パラメータ．介護保険率</v>
      </c>
      <c r="M232" s="40"/>
      <c r="N232" s="40"/>
      <c r="O232" s="40"/>
      <c r="P232" s="40"/>
      <c r="Q232" s="40"/>
      <c r="R232" s="40"/>
      <c r="S232" s="40"/>
      <c r="T232" s="40"/>
      <c r="U232" s="40"/>
      <c r="V232" s="40"/>
      <c r="W232" s="40"/>
      <c r="X232" s="40"/>
      <c r="Y232" s="40"/>
      <c r="Z232" s="40"/>
      <c r="AA232" s="41"/>
      <c r="AB232" s="28"/>
      <c r="AD232" s="27" t="str">
        <f>""""&amp;L262&amp;""":""example"&amp;L262&amp;""","</f>
        <v>"パラメータ．請求条件明細リスト．割合":"exampleパラメータ．請求条件明細リスト．割合",</v>
      </c>
    </row>
    <row r="233" spans="1:30" ht="18" customHeight="1">
      <c r="A233" s="26"/>
      <c r="C233" s="334">
        <v>42</v>
      </c>
      <c r="D233" s="334"/>
      <c r="E233" s="47" t="s">
        <v>404</v>
      </c>
      <c r="F233" s="40"/>
      <c r="G233" s="40"/>
      <c r="H233" s="40"/>
      <c r="I233" s="40"/>
      <c r="J233" s="40"/>
      <c r="K233" s="40"/>
      <c r="L233" s="39" t="str">
        <f t="shared" si="0"/>
        <v>パラメータ．厚生年金率</v>
      </c>
      <c r="M233" s="40"/>
      <c r="N233" s="40"/>
      <c r="O233" s="40"/>
      <c r="P233" s="40"/>
      <c r="Q233" s="40"/>
      <c r="R233" s="40"/>
      <c r="S233" s="40"/>
      <c r="T233" s="40"/>
      <c r="U233" s="40"/>
      <c r="V233" s="40"/>
      <c r="W233" s="40"/>
      <c r="X233" s="40"/>
      <c r="Y233" s="40"/>
      <c r="Z233" s="40"/>
      <c r="AA233" s="41"/>
      <c r="AB233" s="28"/>
      <c r="AD233" s="27" t="str">
        <f>""""&amp;L263&amp;""":""example"&amp;L263&amp;""","</f>
        <v>"パラメータ．請求条件明細リスト．税抜請求金額":"exampleパラメータ．請求条件明細リスト．税抜請求金額",</v>
      </c>
    </row>
    <row r="234" spans="1:30" ht="18" customHeight="1">
      <c r="A234" s="26"/>
      <c r="C234" s="334">
        <v>43</v>
      </c>
      <c r="D234" s="334"/>
      <c r="E234" s="47" t="s">
        <v>405</v>
      </c>
      <c r="F234" s="40"/>
      <c r="G234" s="40"/>
      <c r="H234" s="40"/>
      <c r="I234" s="40"/>
      <c r="J234" s="40"/>
      <c r="K234" s="40"/>
      <c r="L234" s="39" t="str">
        <f t="shared" si="0"/>
        <v>パラメータ．締日区分</v>
      </c>
      <c r="M234" s="40"/>
      <c r="N234" s="40"/>
      <c r="O234" s="40"/>
      <c r="P234" s="40"/>
      <c r="Q234" s="40"/>
      <c r="R234" s="40"/>
      <c r="S234" s="40"/>
      <c r="T234" s="40"/>
      <c r="U234" s="40"/>
      <c r="V234" s="40"/>
      <c r="W234" s="40"/>
      <c r="X234" s="40"/>
      <c r="Y234" s="40"/>
      <c r="Z234" s="40"/>
      <c r="AA234" s="41"/>
      <c r="AB234" s="28"/>
      <c r="AD234" s="27" t="e">
        <f>""""&amp;#REF!&amp;""":""example"&amp;#REF!&amp;"""},"</f>
        <v>#REF!</v>
      </c>
    </row>
    <row r="235" spans="1:30" ht="18" customHeight="1">
      <c r="A235" s="26"/>
      <c r="C235" s="334">
        <v>44</v>
      </c>
      <c r="D235" s="334"/>
      <c r="E235" s="47" t="s">
        <v>406</v>
      </c>
      <c r="F235" s="40"/>
      <c r="G235" s="40"/>
      <c r="H235" s="40"/>
      <c r="I235" s="40"/>
      <c r="J235" s="40"/>
      <c r="K235" s="40"/>
      <c r="L235" s="39" t="str">
        <f t="shared" si="0"/>
        <v>パラメータ．支払区分</v>
      </c>
      <c r="M235" s="40"/>
      <c r="N235" s="40"/>
      <c r="O235" s="40"/>
      <c r="P235" s="40"/>
      <c r="Q235" s="40"/>
      <c r="R235" s="40"/>
      <c r="S235" s="40"/>
      <c r="T235" s="40"/>
      <c r="U235" s="40"/>
      <c r="V235" s="40"/>
      <c r="W235" s="40"/>
      <c r="X235" s="40"/>
      <c r="Y235" s="40"/>
      <c r="Z235" s="40"/>
      <c r="AA235" s="41"/>
      <c r="AB235" s="28"/>
      <c r="AD235" s="27" t="e">
        <f>""""&amp;#REF!&amp;""":""example"&amp;#REF!&amp;"""},"</f>
        <v>#REF!</v>
      </c>
    </row>
    <row r="236" spans="1:30" ht="18" customHeight="1">
      <c r="A236" s="26"/>
      <c r="C236" s="334">
        <v>45</v>
      </c>
      <c r="D236" s="334"/>
      <c r="E236" s="47" t="s">
        <v>164</v>
      </c>
      <c r="F236" s="40"/>
      <c r="G236" s="40"/>
      <c r="H236" s="40"/>
      <c r="I236" s="40"/>
      <c r="J236" s="40"/>
      <c r="K236" s="40"/>
      <c r="L236" s="39" t="str">
        <f t="shared" si="0"/>
        <v>パラメータ．支払日区分</v>
      </c>
      <c r="M236" s="40"/>
      <c r="N236" s="40"/>
      <c r="O236" s="40"/>
      <c r="P236" s="40"/>
      <c r="Q236" s="40"/>
      <c r="R236" s="40"/>
      <c r="S236" s="40"/>
      <c r="T236" s="40"/>
      <c r="U236" s="40"/>
      <c r="V236" s="40"/>
      <c r="W236" s="40"/>
      <c r="X236" s="40"/>
      <c r="Y236" s="40"/>
      <c r="Z236" s="40"/>
      <c r="AA236" s="41"/>
      <c r="AB236" s="28"/>
      <c r="AD236" s="27" t="e">
        <f>""""&amp;#REF!&amp;""":""example"&amp;#REF!&amp;"""},"</f>
        <v>#REF!</v>
      </c>
    </row>
    <row r="237" spans="1:30" ht="18" customHeight="1">
      <c r="A237" s="26"/>
      <c r="C237" s="334">
        <v>46</v>
      </c>
      <c r="D237" s="334"/>
      <c r="E237" s="47" t="s">
        <v>154</v>
      </c>
      <c r="F237" s="40"/>
      <c r="G237" s="40"/>
      <c r="H237" s="40"/>
      <c r="I237" s="40"/>
      <c r="J237" s="40"/>
      <c r="K237" s="40"/>
      <c r="L237" s="39" t="str">
        <f t="shared" si="0"/>
        <v>パラメータ．不成約理由</v>
      </c>
      <c r="M237" s="40"/>
      <c r="N237" s="40"/>
      <c r="O237" s="40"/>
      <c r="P237" s="40"/>
      <c r="Q237" s="40"/>
      <c r="R237" s="40"/>
      <c r="S237" s="40"/>
      <c r="T237" s="40"/>
      <c r="U237" s="40"/>
      <c r="V237" s="40"/>
      <c r="W237" s="40"/>
      <c r="X237" s="40"/>
      <c r="Y237" s="40"/>
      <c r="Z237" s="40"/>
      <c r="AA237" s="41"/>
      <c r="AB237" s="28"/>
    </row>
    <row r="238" spans="1:30" ht="18" customHeight="1">
      <c r="A238" s="26"/>
      <c r="C238" s="334">
        <v>47</v>
      </c>
      <c r="D238" s="334"/>
      <c r="E238" s="47" t="s">
        <v>738</v>
      </c>
      <c r="F238" s="40"/>
      <c r="G238" s="40"/>
      <c r="H238" s="40"/>
      <c r="I238" s="40"/>
      <c r="J238" s="40"/>
      <c r="K238" s="40"/>
      <c r="L238" s="39" t="str">
        <f t="shared" si="0"/>
        <v>パラメータ．出来高請求案件フラグ</v>
      </c>
      <c r="M238" s="40"/>
      <c r="N238" s="40"/>
      <c r="O238" s="40"/>
      <c r="P238" s="40"/>
      <c r="Q238" s="40"/>
      <c r="R238" s="40"/>
      <c r="S238" s="40"/>
      <c r="T238" s="40"/>
      <c r="U238" s="40"/>
      <c r="V238" s="40"/>
      <c r="W238" s="40"/>
      <c r="X238" s="40"/>
      <c r="Y238" s="40"/>
      <c r="Z238" s="40"/>
      <c r="AA238" s="41"/>
      <c r="AB238" s="28"/>
      <c r="AC238" s="70" t="s">
        <v>737</v>
      </c>
    </row>
    <row r="239" spans="1:30" ht="18" customHeight="1">
      <c r="A239" s="26"/>
      <c r="C239" s="38"/>
      <c r="D239" s="38"/>
      <c r="AB239" s="28"/>
    </row>
    <row r="240" spans="1:30" ht="18" customHeight="1">
      <c r="A240" s="26"/>
      <c r="C240" s="35" t="s">
        <v>861</v>
      </c>
      <c r="AB240" s="28"/>
      <c r="AD240" s="27" t="e">
        <f>""""&amp;#REF!&amp;""": ["</f>
        <v>#REF!</v>
      </c>
    </row>
    <row r="241" spans="1:32" ht="18" customHeight="1">
      <c r="A241" s="26"/>
      <c r="C241" s="274" t="s">
        <v>15</v>
      </c>
      <c r="D241" s="275"/>
      <c r="E241" s="275"/>
      <c r="F241" s="275"/>
      <c r="G241" s="275"/>
      <c r="H241" s="275"/>
      <c r="I241" s="275"/>
      <c r="J241" s="275"/>
      <c r="K241" s="275"/>
      <c r="L241" s="275"/>
      <c r="M241" s="275"/>
      <c r="N241" s="275"/>
      <c r="O241" s="275"/>
      <c r="P241" s="275"/>
      <c r="Q241" s="275"/>
      <c r="R241" s="275"/>
      <c r="S241" s="275"/>
      <c r="T241" s="275"/>
      <c r="U241" s="275"/>
      <c r="V241" s="275"/>
      <c r="W241" s="275"/>
      <c r="X241" s="275"/>
      <c r="Y241" s="275"/>
      <c r="Z241" s="275"/>
      <c r="AA241" s="276"/>
      <c r="AB241" s="28"/>
      <c r="AD241" s="27" t="e">
        <f>""""&amp;#REF!&amp;""": ["</f>
        <v>#REF!</v>
      </c>
    </row>
    <row r="242" spans="1:32" ht="18" customHeight="1">
      <c r="A242" s="26"/>
      <c r="C242" s="337" t="s">
        <v>16</v>
      </c>
      <c r="D242" s="337"/>
      <c r="E242" s="337"/>
      <c r="F242" s="337"/>
      <c r="G242" s="333">
        <v>201</v>
      </c>
      <c r="H242" s="333"/>
      <c r="I242" s="333"/>
      <c r="J242" s="333"/>
      <c r="K242" s="333"/>
      <c r="L242" s="333"/>
      <c r="M242" s="333"/>
      <c r="N242" s="333"/>
      <c r="O242" s="333"/>
      <c r="P242" s="333"/>
      <c r="Q242" s="333"/>
      <c r="R242" s="333"/>
      <c r="S242" s="333"/>
      <c r="T242" s="333"/>
      <c r="U242" s="333"/>
      <c r="V242" s="333"/>
      <c r="W242" s="333"/>
      <c r="X242" s="333"/>
      <c r="Y242" s="333"/>
      <c r="Z242" s="333"/>
      <c r="AA242" s="333"/>
      <c r="AB242" s="28"/>
      <c r="AD242" s="27" t="e">
        <f>""""&amp;#REF!&amp;""": ["</f>
        <v>#REF!</v>
      </c>
    </row>
    <row r="243" spans="1:32" ht="18" customHeight="1">
      <c r="A243" s="26"/>
      <c r="C243" s="38"/>
      <c r="D243" s="38"/>
      <c r="AB243" s="28"/>
      <c r="AD243" s="27" t="e">
        <f>""""&amp;#REF!&amp;""":""example"&amp;#REF!&amp;""","</f>
        <v>#REF!</v>
      </c>
    </row>
    <row r="244" spans="1:32" ht="18" customHeight="1">
      <c r="A244" s="26"/>
      <c r="C244" s="35" t="s">
        <v>862</v>
      </c>
      <c r="AB244" s="28"/>
      <c r="AC244" s="70" t="s">
        <v>732</v>
      </c>
      <c r="AD244" s="27" t="e">
        <f>""""&amp;#REF!&amp;""":""example"&amp;#REF!&amp;""","</f>
        <v>#REF!</v>
      </c>
    </row>
    <row r="245" spans="1:32" ht="18" customHeight="1">
      <c r="A245" s="26"/>
      <c r="C245" s="319" t="s">
        <v>483</v>
      </c>
      <c r="D245" s="319"/>
      <c r="E245" s="319"/>
      <c r="F245" s="319"/>
      <c r="G245" s="333" t="s">
        <v>615</v>
      </c>
      <c r="H245" s="333"/>
      <c r="I245" s="333"/>
      <c r="J245" s="333"/>
      <c r="K245" s="333"/>
      <c r="L245" s="333"/>
      <c r="M245" s="333"/>
      <c r="N245" s="333"/>
      <c r="O245" s="333"/>
      <c r="P245" s="333"/>
      <c r="Q245" s="333"/>
      <c r="R245" s="333"/>
      <c r="S245" s="333"/>
      <c r="T245" s="333"/>
      <c r="U245" s="333"/>
      <c r="V245" s="333"/>
      <c r="W245" s="333"/>
      <c r="X245" s="333"/>
      <c r="Y245" s="333"/>
      <c r="Z245" s="333"/>
      <c r="AA245" s="333"/>
      <c r="AB245" s="28"/>
      <c r="AC245" s="70"/>
      <c r="AD245" s="36"/>
      <c r="AF245" s="27"/>
    </row>
    <row r="246" spans="1:32" ht="19.899999999999999" customHeight="1">
      <c r="A246" s="26"/>
      <c r="C246" s="323" t="s">
        <v>35</v>
      </c>
      <c r="D246" s="324"/>
      <c r="E246" s="324"/>
      <c r="F246" s="325"/>
      <c r="G246" s="332" t="s">
        <v>616</v>
      </c>
      <c r="H246" s="332"/>
      <c r="I246" s="332"/>
      <c r="J246" s="332"/>
      <c r="K246" s="332"/>
      <c r="L246" s="332"/>
      <c r="M246" s="332"/>
      <c r="N246" s="332"/>
      <c r="O246" s="332"/>
      <c r="P246" s="332"/>
      <c r="Q246" s="332"/>
      <c r="R246" s="332"/>
      <c r="S246" s="332"/>
      <c r="T246" s="332"/>
      <c r="U246" s="332"/>
      <c r="V246" s="332"/>
      <c r="W246" s="332"/>
      <c r="X246" s="332"/>
      <c r="Y246" s="332"/>
      <c r="Z246" s="332"/>
      <c r="AA246" s="332"/>
      <c r="AB246" s="28"/>
      <c r="AC246" s="70"/>
      <c r="AF246" s="27"/>
    </row>
    <row r="247" spans="1:32" ht="18" customHeight="1">
      <c r="A247" s="26"/>
      <c r="C247" s="326"/>
      <c r="D247" s="327"/>
      <c r="E247" s="327"/>
      <c r="F247" s="328"/>
      <c r="G247" s="333" t="s">
        <v>727</v>
      </c>
      <c r="H247" s="333"/>
      <c r="I247" s="333"/>
      <c r="J247" s="333"/>
      <c r="K247" s="333"/>
      <c r="L247" s="333"/>
      <c r="M247" s="333"/>
      <c r="N247" s="333"/>
      <c r="O247" s="333"/>
      <c r="P247" s="333"/>
      <c r="Q247" s="333"/>
      <c r="R247" s="333"/>
      <c r="S247" s="333"/>
      <c r="T247" s="333"/>
      <c r="U247" s="333"/>
      <c r="V247" s="333"/>
      <c r="W247" s="333"/>
      <c r="X247" s="333"/>
      <c r="Y247" s="333"/>
      <c r="Z247" s="333"/>
      <c r="AA247" s="333"/>
      <c r="AB247" s="28"/>
      <c r="AC247" s="70"/>
      <c r="AF247" s="27"/>
    </row>
    <row r="248" spans="1:32" ht="18" customHeight="1">
      <c r="A248" s="26"/>
      <c r="C248" s="329"/>
      <c r="D248" s="330"/>
      <c r="E248" s="330"/>
      <c r="F248" s="331"/>
      <c r="G248" s="333" t="s">
        <v>728</v>
      </c>
      <c r="H248" s="333"/>
      <c r="I248" s="333"/>
      <c r="J248" s="333"/>
      <c r="K248" s="333"/>
      <c r="L248" s="333"/>
      <c r="M248" s="333"/>
      <c r="N248" s="333"/>
      <c r="O248" s="333"/>
      <c r="P248" s="333"/>
      <c r="Q248" s="333"/>
      <c r="R248" s="333"/>
      <c r="S248" s="333"/>
      <c r="T248" s="333"/>
      <c r="U248" s="333"/>
      <c r="V248" s="333"/>
      <c r="W248" s="333"/>
      <c r="X248" s="333"/>
      <c r="Y248" s="333"/>
      <c r="Z248" s="333"/>
      <c r="AA248" s="333"/>
      <c r="AB248" s="28"/>
      <c r="AC248" s="70"/>
      <c r="AF248" s="27"/>
    </row>
    <row r="249" spans="1:32" ht="18" customHeight="1">
      <c r="A249" s="26"/>
      <c r="C249" s="38"/>
      <c r="D249" s="38"/>
      <c r="F249" s="52"/>
      <c r="AB249" s="28"/>
      <c r="AC249" s="70"/>
      <c r="AD249" s="27" t="e">
        <f>""""&amp;#REF!&amp;""":""example"&amp;#REF!&amp;"""},"</f>
        <v>#REF!</v>
      </c>
    </row>
    <row r="250" spans="1:32" ht="18" customHeight="1">
      <c r="A250" s="26"/>
      <c r="C250" s="35" t="s">
        <v>863</v>
      </c>
      <c r="AB250" s="28"/>
      <c r="AC250" s="70"/>
      <c r="AF250" s="27"/>
    </row>
    <row r="251" spans="1:32" ht="18" customHeight="1">
      <c r="A251" s="26"/>
      <c r="C251" s="337" t="s">
        <v>7</v>
      </c>
      <c r="D251" s="337"/>
      <c r="E251" s="343" t="s">
        <v>9</v>
      </c>
      <c r="F251" s="344"/>
      <c r="G251" s="344"/>
      <c r="H251" s="344"/>
      <c r="I251" s="344"/>
      <c r="J251" s="344"/>
      <c r="K251" s="345"/>
      <c r="L251" s="343" t="s">
        <v>18</v>
      </c>
      <c r="M251" s="344"/>
      <c r="N251" s="344"/>
      <c r="O251" s="344"/>
      <c r="P251" s="344"/>
      <c r="Q251" s="344"/>
      <c r="R251" s="344"/>
      <c r="S251" s="344"/>
      <c r="T251" s="344"/>
      <c r="U251" s="344"/>
      <c r="V251" s="344"/>
      <c r="W251" s="344"/>
      <c r="X251" s="344"/>
      <c r="Y251" s="344"/>
      <c r="Z251" s="344"/>
      <c r="AA251" s="345"/>
      <c r="AB251" s="28"/>
      <c r="AC251" s="70"/>
      <c r="AF251" s="27"/>
    </row>
    <row r="252" spans="1:32" ht="18" customHeight="1">
      <c r="A252" s="26"/>
      <c r="C252" s="334">
        <v>1</v>
      </c>
      <c r="D252" s="334"/>
      <c r="E252" s="34" t="s">
        <v>179</v>
      </c>
      <c r="F252" s="40"/>
      <c r="G252" s="40"/>
      <c r="H252" s="40"/>
      <c r="I252" s="40"/>
      <c r="J252" s="40"/>
      <c r="K252" s="41"/>
      <c r="L252" s="39" t="s">
        <v>735</v>
      </c>
      <c r="M252" s="40"/>
      <c r="N252" s="40"/>
      <c r="O252" s="40"/>
      <c r="P252" s="40"/>
      <c r="Q252" s="40"/>
      <c r="R252" s="40"/>
      <c r="S252" s="40"/>
      <c r="T252" s="40"/>
      <c r="U252" s="40"/>
      <c r="V252" s="40"/>
      <c r="W252" s="40"/>
      <c r="X252" s="40"/>
      <c r="Y252" s="40"/>
      <c r="Z252" s="40"/>
      <c r="AA252" s="41"/>
      <c r="AB252" s="28"/>
      <c r="AC252" s="70"/>
      <c r="AF252" s="27"/>
    </row>
    <row r="253" spans="1:32" ht="18" customHeight="1">
      <c r="A253" s="2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28"/>
      <c r="AC253" s="70"/>
      <c r="AF253" s="27"/>
    </row>
    <row r="254" spans="1:32" ht="18" customHeight="1">
      <c r="A254" s="26"/>
      <c r="B254" s="35" t="s">
        <v>864</v>
      </c>
      <c r="C254" s="53"/>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28"/>
    </row>
    <row r="255" spans="1:32" customFormat="1" ht="20.100000000000001" customHeight="1">
      <c r="A255" s="27"/>
      <c r="B255" s="35"/>
      <c r="C255" s="337" t="s">
        <v>653</v>
      </c>
      <c r="D255" s="337"/>
      <c r="E255" s="337"/>
      <c r="F255" s="337"/>
      <c r="G255" s="333" t="s">
        <v>656</v>
      </c>
      <c r="H255" s="333"/>
      <c r="I255" s="333"/>
      <c r="J255" s="333"/>
      <c r="K255" s="333"/>
      <c r="L255" s="333"/>
      <c r="M255" s="333"/>
      <c r="N255" s="333"/>
      <c r="O255" s="333"/>
      <c r="P255" s="333"/>
      <c r="Q255" s="333"/>
      <c r="R255" s="333"/>
      <c r="S255" s="333"/>
      <c r="T255" s="333"/>
      <c r="U255" s="333"/>
      <c r="V255" s="333"/>
      <c r="W255" s="333"/>
      <c r="X255" s="333"/>
      <c r="Y255" s="333"/>
      <c r="Z255" s="333"/>
      <c r="AA255" s="333"/>
      <c r="AB255" s="28"/>
      <c r="AC255" s="36"/>
      <c r="AE255" s="112"/>
    </row>
    <row r="256" spans="1:32" ht="18" customHeight="1">
      <c r="A256" s="26"/>
      <c r="C256" s="337" t="s">
        <v>417</v>
      </c>
      <c r="D256" s="337"/>
      <c r="E256" s="337"/>
      <c r="F256" s="337"/>
      <c r="G256" s="333" t="s">
        <v>422</v>
      </c>
      <c r="H256" s="333"/>
      <c r="I256" s="333"/>
      <c r="J256" s="333"/>
      <c r="K256" s="333"/>
      <c r="L256" s="333"/>
      <c r="M256" s="333"/>
      <c r="N256" s="333"/>
      <c r="O256" s="333"/>
      <c r="P256" s="333"/>
      <c r="Q256" s="333"/>
      <c r="R256" s="333"/>
      <c r="S256" s="333"/>
      <c r="T256" s="333"/>
      <c r="U256" s="333"/>
      <c r="V256" s="333"/>
      <c r="W256" s="333"/>
      <c r="X256" s="333"/>
      <c r="Y256" s="333"/>
      <c r="Z256" s="333"/>
      <c r="AA256" s="333"/>
      <c r="AB256" s="28"/>
      <c r="AD256" s="67"/>
      <c r="AF256" s="27"/>
    </row>
    <row r="257" spans="1:32" ht="18" customHeight="1">
      <c r="A257" s="26"/>
      <c r="C257" s="337" t="s">
        <v>7</v>
      </c>
      <c r="D257" s="337"/>
      <c r="E257" s="343" t="s">
        <v>9</v>
      </c>
      <c r="F257" s="344"/>
      <c r="G257" s="344"/>
      <c r="H257" s="344"/>
      <c r="I257" s="344"/>
      <c r="J257" s="344"/>
      <c r="K257" s="345"/>
      <c r="L257" s="337" t="s">
        <v>407</v>
      </c>
      <c r="M257" s="337"/>
      <c r="N257" s="337"/>
      <c r="O257" s="337"/>
      <c r="P257" s="337"/>
      <c r="Q257" s="337"/>
      <c r="R257" s="337"/>
      <c r="S257" s="337"/>
      <c r="T257" s="337"/>
      <c r="U257" s="337"/>
      <c r="V257" s="337"/>
      <c r="W257" s="337"/>
      <c r="X257" s="337"/>
      <c r="Y257" s="337"/>
      <c r="Z257" s="337"/>
      <c r="AA257" s="337"/>
      <c r="AB257" s="28"/>
    </row>
    <row r="258" spans="1:32" ht="18" customHeight="1">
      <c r="A258" s="26"/>
      <c r="C258" s="334">
        <v>1</v>
      </c>
      <c r="D258" s="334"/>
      <c r="E258" s="47" t="s">
        <v>179</v>
      </c>
      <c r="F258" s="40"/>
      <c r="G258" s="40"/>
      <c r="H258" s="40"/>
      <c r="I258" s="40"/>
      <c r="J258" s="40"/>
      <c r="K258" s="66"/>
      <c r="L258" s="39" t="s">
        <v>736</v>
      </c>
      <c r="M258" s="40"/>
      <c r="N258" s="40"/>
      <c r="O258" s="40"/>
      <c r="P258" s="40"/>
      <c r="Q258" s="40"/>
      <c r="R258" s="40"/>
      <c r="S258" s="40"/>
      <c r="T258" s="40"/>
      <c r="U258" s="40"/>
      <c r="V258" s="40"/>
      <c r="W258" s="40"/>
      <c r="X258" s="40"/>
      <c r="Y258" s="40"/>
      <c r="Z258" s="40"/>
      <c r="AA258" s="41"/>
      <c r="AB258" s="28"/>
      <c r="AC258" s="70" t="s">
        <v>732</v>
      </c>
      <c r="AD258" s="27" t="e">
        <f>""""&amp;#REF!&amp;""":""example"&amp;#REF!&amp;""","</f>
        <v>#REF!</v>
      </c>
    </row>
    <row r="259" spans="1:32" ht="18" customHeight="1">
      <c r="A259" s="26"/>
      <c r="C259" s="334">
        <v>2</v>
      </c>
      <c r="D259" s="334"/>
      <c r="E259" s="47" t="s">
        <v>374</v>
      </c>
      <c r="F259" s="40"/>
      <c r="G259" s="40"/>
      <c r="H259" s="40"/>
      <c r="I259" s="40"/>
      <c r="J259" s="40"/>
      <c r="K259" s="66"/>
      <c r="L259" s="39" t="str">
        <f t="shared" ref="L259:L266" si="1">"パラメータ．請求条件明細リスト．"&amp;E259</f>
        <v>パラメータ．請求条件明細リスト．連番</v>
      </c>
      <c r="M259" s="40"/>
      <c r="N259" s="40"/>
      <c r="O259" s="40"/>
      <c r="P259" s="40"/>
      <c r="Q259" s="40"/>
      <c r="R259" s="40"/>
      <c r="S259" s="40"/>
      <c r="T259" s="40"/>
      <c r="U259" s="40"/>
      <c r="V259" s="40"/>
      <c r="W259" s="40"/>
      <c r="X259" s="40"/>
      <c r="Y259" s="40"/>
      <c r="Z259" s="40"/>
      <c r="AA259" s="41"/>
      <c r="AB259" s="28"/>
      <c r="AD259" s="27" t="e">
        <f>""""&amp;#REF!&amp;""":""example"&amp;#REF!&amp;""","</f>
        <v>#REF!</v>
      </c>
    </row>
    <row r="260" spans="1:32" ht="18" customHeight="1">
      <c r="A260" s="26"/>
      <c r="C260" s="334">
        <v>3</v>
      </c>
      <c r="D260" s="334"/>
      <c r="E260" s="47" t="s">
        <v>366</v>
      </c>
      <c r="F260" s="40"/>
      <c r="G260" s="40"/>
      <c r="H260" s="40"/>
      <c r="I260" s="40"/>
      <c r="J260" s="40"/>
      <c r="K260" s="66"/>
      <c r="L260" s="39" t="str">
        <f t="shared" si="1"/>
        <v>パラメータ．請求条件明細リスト．棟コード</v>
      </c>
      <c r="M260" s="40"/>
      <c r="N260" s="40"/>
      <c r="O260" s="40"/>
      <c r="P260" s="40"/>
      <c r="Q260" s="40"/>
      <c r="R260" s="40"/>
      <c r="S260" s="40"/>
      <c r="T260" s="40"/>
      <c r="U260" s="40"/>
      <c r="V260" s="40"/>
      <c r="W260" s="40"/>
      <c r="X260" s="40"/>
      <c r="Y260" s="40"/>
      <c r="Z260" s="40"/>
      <c r="AA260" s="41"/>
      <c r="AB260" s="28"/>
      <c r="AD260" s="27" t="e">
        <f>""""&amp;#REF!&amp;""":""example"&amp;#REF!&amp;"""},"</f>
        <v>#REF!</v>
      </c>
    </row>
    <row r="261" spans="1:32" ht="18" customHeight="1">
      <c r="A261" s="26"/>
      <c r="C261" s="334">
        <v>4</v>
      </c>
      <c r="D261" s="334"/>
      <c r="E261" s="47" t="s">
        <v>408</v>
      </c>
      <c r="F261" s="40"/>
      <c r="G261" s="40"/>
      <c r="H261" s="40"/>
      <c r="I261" s="40"/>
      <c r="J261" s="40"/>
      <c r="K261" s="66"/>
      <c r="L261" s="39" t="str">
        <f t="shared" si="1"/>
        <v>パラメータ．請求条件明細リスト．請求条件コード</v>
      </c>
      <c r="M261" s="40"/>
      <c r="N261" s="40"/>
      <c r="O261" s="40"/>
      <c r="P261" s="40"/>
      <c r="Q261" s="40"/>
      <c r="R261" s="40"/>
      <c r="S261" s="40"/>
      <c r="T261" s="40"/>
      <c r="U261" s="40"/>
      <c r="V261" s="40"/>
      <c r="W261" s="40"/>
      <c r="X261" s="40"/>
      <c r="Y261" s="40"/>
      <c r="Z261" s="40"/>
      <c r="AA261" s="41"/>
      <c r="AB261" s="28"/>
      <c r="AD261" s="27" t="e">
        <f>""""&amp;#REF!&amp;""":""example"&amp;#REF!&amp;"""},"</f>
        <v>#REF!</v>
      </c>
    </row>
    <row r="262" spans="1:32" ht="18" customHeight="1">
      <c r="A262" s="26"/>
      <c r="C262" s="334">
        <v>5</v>
      </c>
      <c r="D262" s="334"/>
      <c r="E262" s="47" t="s">
        <v>409</v>
      </c>
      <c r="F262" s="40"/>
      <c r="G262" s="40"/>
      <c r="H262" s="40"/>
      <c r="I262" s="40"/>
      <c r="J262" s="40"/>
      <c r="K262" s="66"/>
      <c r="L262" s="39" t="str">
        <f t="shared" si="1"/>
        <v>パラメータ．請求条件明細リスト．割合</v>
      </c>
      <c r="M262" s="40"/>
      <c r="N262" s="40"/>
      <c r="O262" s="40"/>
      <c r="P262" s="40"/>
      <c r="Q262" s="40"/>
      <c r="R262" s="40"/>
      <c r="S262" s="40"/>
      <c r="T262" s="40"/>
      <c r="U262" s="40"/>
      <c r="V262" s="40"/>
      <c r="W262" s="40"/>
      <c r="X262" s="40"/>
      <c r="Y262" s="40"/>
      <c r="Z262" s="40"/>
      <c r="AA262" s="41"/>
      <c r="AB262" s="28"/>
      <c r="AD262" s="27" t="e">
        <f>""""&amp;#REF!&amp;""":""example"&amp;#REF!&amp;"""},"</f>
        <v>#REF!</v>
      </c>
    </row>
    <row r="263" spans="1:32" ht="18" customHeight="1">
      <c r="A263" s="26"/>
      <c r="C263" s="334">
        <v>6</v>
      </c>
      <c r="D263" s="334"/>
      <c r="E263" s="47" t="s">
        <v>410</v>
      </c>
      <c r="F263" s="40"/>
      <c r="G263" s="40"/>
      <c r="H263" s="40"/>
      <c r="I263" s="40"/>
      <c r="J263" s="40"/>
      <c r="K263" s="66"/>
      <c r="L263" s="39" t="str">
        <f t="shared" si="1"/>
        <v>パラメータ．請求条件明細リスト．税抜請求金額</v>
      </c>
      <c r="M263" s="40"/>
      <c r="N263" s="40"/>
      <c r="O263" s="40"/>
      <c r="P263" s="40"/>
      <c r="Q263" s="40"/>
      <c r="R263" s="40"/>
      <c r="S263" s="40"/>
      <c r="T263" s="40"/>
      <c r="U263" s="40"/>
      <c r="V263" s="40"/>
      <c r="W263" s="40"/>
      <c r="X263" s="40"/>
      <c r="Y263" s="40"/>
      <c r="Z263" s="40"/>
      <c r="AA263" s="41"/>
      <c r="AB263" s="28"/>
    </row>
    <row r="264" spans="1:32" ht="18" customHeight="1">
      <c r="A264" s="26"/>
      <c r="C264" s="334">
        <v>7</v>
      </c>
      <c r="D264" s="334"/>
      <c r="E264" s="47" t="s">
        <v>411</v>
      </c>
      <c r="F264" s="40"/>
      <c r="G264" s="40"/>
      <c r="H264" s="40"/>
      <c r="I264" s="40"/>
      <c r="J264" s="40"/>
      <c r="K264" s="66"/>
      <c r="L264" s="39" t="str">
        <f t="shared" si="1"/>
        <v>パラメータ．請求条件明細リスト．税込請求金額</v>
      </c>
      <c r="M264" s="40"/>
      <c r="N264" s="40"/>
      <c r="O264" s="40"/>
      <c r="P264" s="40"/>
      <c r="Q264" s="40"/>
      <c r="R264" s="40"/>
      <c r="S264" s="40"/>
      <c r="T264" s="40"/>
      <c r="U264" s="40"/>
      <c r="V264" s="40"/>
      <c r="W264" s="40"/>
      <c r="X264" s="40"/>
      <c r="Y264" s="40"/>
      <c r="Z264" s="40"/>
      <c r="AA264" s="41"/>
      <c r="AB264" s="28"/>
    </row>
    <row r="265" spans="1:32" ht="18" customHeight="1">
      <c r="A265" s="26"/>
      <c r="C265" s="334">
        <v>8</v>
      </c>
      <c r="D265" s="334"/>
      <c r="E265" s="47" t="s">
        <v>412</v>
      </c>
      <c r="F265" s="40"/>
      <c r="G265" s="40"/>
      <c r="H265" s="40"/>
      <c r="I265" s="40"/>
      <c r="J265" s="40"/>
      <c r="K265" s="66"/>
      <c r="L265" s="39" t="str">
        <f t="shared" si="1"/>
        <v>パラメータ．請求条件明細リスト．消費税率ID</v>
      </c>
      <c r="M265" s="40"/>
      <c r="N265" s="40"/>
      <c r="O265" s="40"/>
      <c r="P265" s="40"/>
      <c r="Q265" s="40"/>
      <c r="R265" s="40"/>
      <c r="S265" s="40"/>
      <c r="T265" s="40"/>
      <c r="U265" s="40"/>
      <c r="V265" s="40"/>
      <c r="W265" s="40"/>
      <c r="X265" s="40"/>
      <c r="Y265" s="40"/>
      <c r="Z265" s="40"/>
      <c r="AA265" s="41"/>
      <c r="AB265" s="28"/>
    </row>
    <row r="266" spans="1:32" ht="18" customHeight="1">
      <c r="A266" s="26"/>
      <c r="C266" s="334">
        <v>9</v>
      </c>
      <c r="D266" s="334"/>
      <c r="E266" s="47" t="s">
        <v>413</v>
      </c>
      <c r="F266" s="40"/>
      <c r="G266" s="40"/>
      <c r="H266" s="40"/>
      <c r="I266" s="40"/>
      <c r="J266" s="40"/>
      <c r="K266" s="41"/>
      <c r="L266" s="39" t="str">
        <f t="shared" si="1"/>
        <v>パラメータ．請求条件明細リスト．消費税金額</v>
      </c>
      <c r="M266" s="40"/>
      <c r="N266" s="40"/>
      <c r="O266" s="40"/>
      <c r="P266" s="40"/>
      <c r="Q266" s="40"/>
      <c r="R266" s="40"/>
      <c r="S266" s="40"/>
      <c r="T266" s="40"/>
      <c r="U266" s="40"/>
      <c r="V266" s="40"/>
      <c r="W266" s="40"/>
      <c r="X266" s="40"/>
      <c r="Y266" s="40"/>
      <c r="Z266" s="40"/>
      <c r="AA266" s="41"/>
      <c r="AB266" s="28"/>
      <c r="AD266" s="27" t="e">
        <f>""""&amp;#REF!&amp;""":""example"&amp;#REF!&amp;""","</f>
        <v>#REF!</v>
      </c>
    </row>
    <row r="267" spans="1:32" ht="18" customHeight="1">
      <c r="A267" s="26"/>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28"/>
      <c r="AD267" s="27" t="e">
        <f>""""&amp;#REF!&amp;""":""example"&amp;#REF!&amp;""","</f>
        <v>#REF!</v>
      </c>
    </row>
    <row r="268" spans="1:32" ht="18" customHeight="1">
      <c r="A268" s="26"/>
      <c r="B268" s="35" t="s">
        <v>865</v>
      </c>
      <c r="C268" s="53"/>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28"/>
      <c r="AD268" s="27" t="e">
        <f>""""&amp;#REF!&amp;""":""example"&amp;#REF!&amp;"""},"</f>
        <v>#REF!</v>
      </c>
    </row>
    <row r="269" spans="1:32" customFormat="1" ht="20.100000000000001" customHeight="1">
      <c r="A269" s="27"/>
      <c r="B269" s="35"/>
      <c r="C269" s="337" t="s">
        <v>653</v>
      </c>
      <c r="D269" s="337"/>
      <c r="E269" s="337"/>
      <c r="F269" s="337"/>
      <c r="G269" s="333" t="s">
        <v>656</v>
      </c>
      <c r="H269" s="333"/>
      <c r="I269" s="333"/>
      <c r="J269" s="333"/>
      <c r="K269" s="333"/>
      <c r="L269" s="333"/>
      <c r="M269" s="333"/>
      <c r="N269" s="333"/>
      <c r="O269" s="333"/>
      <c r="P269" s="333"/>
      <c r="Q269" s="333"/>
      <c r="R269" s="333"/>
      <c r="S269" s="333"/>
      <c r="T269" s="333"/>
      <c r="U269" s="333"/>
      <c r="V269" s="333"/>
      <c r="W269" s="333"/>
      <c r="X269" s="333"/>
      <c r="Y269" s="333"/>
      <c r="Z269" s="333"/>
      <c r="AA269" s="333"/>
      <c r="AB269" s="28"/>
      <c r="AC269" s="36"/>
      <c r="AE269" s="112"/>
    </row>
    <row r="270" spans="1:32" ht="18" customHeight="1">
      <c r="A270" s="26"/>
      <c r="C270" s="337" t="s">
        <v>417</v>
      </c>
      <c r="D270" s="337"/>
      <c r="E270" s="337"/>
      <c r="F270" s="337"/>
      <c r="G270" s="333" t="s">
        <v>421</v>
      </c>
      <c r="H270" s="333"/>
      <c r="I270" s="333"/>
      <c r="J270" s="333"/>
      <c r="K270" s="333"/>
      <c r="L270" s="333"/>
      <c r="M270" s="333"/>
      <c r="N270" s="333"/>
      <c r="O270" s="333"/>
      <c r="P270" s="333"/>
      <c r="Q270" s="333"/>
      <c r="R270" s="333"/>
      <c r="S270" s="333"/>
      <c r="T270" s="333"/>
      <c r="U270" s="333"/>
      <c r="V270" s="333"/>
      <c r="W270" s="333"/>
      <c r="X270" s="333"/>
      <c r="Y270" s="333"/>
      <c r="Z270" s="333"/>
      <c r="AA270" s="333"/>
      <c r="AB270" s="28"/>
      <c r="AD270" s="67"/>
      <c r="AF270" s="27"/>
    </row>
    <row r="271" spans="1:32" ht="18" customHeight="1">
      <c r="A271" s="26"/>
      <c r="C271" s="337" t="s">
        <v>7</v>
      </c>
      <c r="D271" s="337"/>
      <c r="E271" s="343" t="s">
        <v>9</v>
      </c>
      <c r="F271" s="344"/>
      <c r="G271" s="344"/>
      <c r="H271" s="344"/>
      <c r="I271" s="344"/>
      <c r="J271" s="344"/>
      <c r="K271" s="345"/>
      <c r="L271" s="343" t="s">
        <v>18</v>
      </c>
      <c r="M271" s="344"/>
      <c r="N271" s="344"/>
      <c r="O271" s="344"/>
      <c r="P271" s="344"/>
      <c r="Q271" s="344"/>
      <c r="R271" s="344"/>
      <c r="S271" s="344"/>
      <c r="T271" s="344"/>
      <c r="U271" s="344"/>
      <c r="V271" s="344"/>
      <c r="W271" s="344"/>
      <c r="X271" s="344"/>
      <c r="Y271" s="344"/>
      <c r="Z271" s="344"/>
      <c r="AA271" s="345"/>
      <c r="AB271" s="28"/>
      <c r="AD271" s="27" t="e">
        <f>""""&amp;#REF!&amp;""":""example"&amp;#REF!&amp;"""},"</f>
        <v>#REF!</v>
      </c>
    </row>
    <row r="272" spans="1:32" ht="18" customHeight="1">
      <c r="A272" s="26"/>
      <c r="C272" s="334">
        <v>1</v>
      </c>
      <c r="D272" s="334"/>
      <c r="E272" s="47" t="s">
        <v>179</v>
      </c>
      <c r="F272" s="40"/>
      <c r="G272" s="40"/>
      <c r="H272" s="40"/>
      <c r="I272" s="40"/>
      <c r="J272" s="40"/>
      <c r="K272" s="41"/>
      <c r="L272" s="39" t="s">
        <v>736</v>
      </c>
      <c r="M272" s="40"/>
      <c r="N272" s="40"/>
      <c r="O272" s="40"/>
      <c r="P272" s="40"/>
      <c r="Q272" s="40"/>
      <c r="R272" s="40"/>
      <c r="S272" s="40"/>
      <c r="T272" s="40"/>
      <c r="U272" s="40"/>
      <c r="V272" s="40"/>
      <c r="W272" s="40"/>
      <c r="X272" s="40"/>
      <c r="Y272" s="40"/>
      <c r="Z272" s="40"/>
      <c r="AA272" s="41"/>
      <c r="AB272" s="28"/>
      <c r="AC272" s="70" t="s">
        <v>732</v>
      </c>
      <c r="AD272" s="27" t="e">
        <f>""""&amp;#REF!&amp;""":""example"&amp;#REF!&amp;"""},"</f>
        <v>#REF!</v>
      </c>
    </row>
    <row r="273" spans="1:32" ht="18" customHeight="1">
      <c r="A273" s="26"/>
      <c r="C273" s="334">
        <v>2</v>
      </c>
      <c r="D273" s="334"/>
      <c r="E273" s="47" t="s">
        <v>180</v>
      </c>
      <c r="F273" s="40"/>
      <c r="G273" s="40"/>
      <c r="H273" s="40"/>
      <c r="I273" s="40"/>
      <c r="J273" s="40"/>
      <c r="K273" s="41"/>
      <c r="L273" s="39" t="str">
        <f>"パラメータ．現場棟明細リスト．"&amp;E273</f>
        <v>パラメータ．現場棟明細リスト．連番</v>
      </c>
      <c r="M273" s="40"/>
      <c r="N273" s="40"/>
      <c r="O273" s="40"/>
      <c r="P273" s="40"/>
      <c r="Q273" s="40"/>
      <c r="R273" s="40"/>
      <c r="S273" s="40"/>
      <c r="T273" s="40"/>
      <c r="U273" s="40"/>
      <c r="V273" s="40"/>
      <c r="W273" s="40"/>
      <c r="X273" s="40"/>
      <c r="Y273" s="40"/>
      <c r="Z273" s="40"/>
      <c r="AA273" s="41"/>
      <c r="AB273" s="28"/>
      <c r="AD273" s="27" t="e">
        <f>""""&amp;#REF!&amp;""":""example"&amp;#REF!&amp;"""},"</f>
        <v>#REF!</v>
      </c>
    </row>
    <row r="274" spans="1:32" ht="18" customHeight="1">
      <c r="A274" s="26"/>
      <c r="C274" s="334">
        <v>3</v>
      </c>
      <c r="D274" s="334"/>
      <c r="E274" s="47" t="s">
        <v>190</v>
      </c>
      <c r="F274" s="40"/>
      <c r="G274" s="40"/>
      <c r="H274" s="40"/>
      <c r="I274" s="40"/>
      <c r="J274" s="40"/>
      <c r="K274" s="41"/>
      <c r="L274" s="39" t="str">
        <f>"パラメータ．現場棟明細リスト．"&amp;E274</f>
        <v>パラメータ．現場棟明細リスト．棟コード</v>
      </c>
      <c r="M274" s="40"/>
      <c r="N274" s="40"/>
      <c r="O274" s="40"/>
      <c r="P274" s="40"/>
      <c r="Q274" s="40"/>
      <c r="R274" s="40"/>
      <c r="S274" s="40"/>
      <c r="T274" s="40"/>
      <c r="U274" s="40"/>
      <c r="V274" s="40"/>
      <c r="W274" s="40"/>
      <c r="X274" s="40"/>
      <c r="Y274" s="40"/>
      <c r="Z274" s="40"/>
      <c r="AA274" s="41"/>
      <c r="AB274" s="28"/>
    </row>
    <row r="275" spans="1:32" ht="18" customHeight="1">
      <c r="A275" s="26"/>
      <c r="C275" s="334">
        <v>4</v>
      </c>
      <c r="D275" s="334"/>
      <c r="E275" s="47" t="s">
        <v>191</v>
      </c>
      <c r="F275" s="54"/>
      <c r="G275" s="40"/>
      <c r="H275" s="40"/>
      <c r="I275" s="40"/>
      <c r="J275" s="40"/>
      <c r="K275" s="41"/>
      <c r="L275" s="39" t="str">
        <f>"パラメータ．現場棟明細リスト．"&amp;E275</f>
        <v>パラメータ．現場棟明細リスト．棟番号工事名</v>
      </c>
      <c r="M275" s="40"/>
      <c r="N275" s="40"/>
      <c r="O275" s="40"/>
      <c r="P275" s="40"/>
      <c r="Q275" s="40"/>
      <c r="R275" s="40"/>
      <c r="S275" s="40"/>
      <c r="T275" s="40"/>
      <c r="U275" s="40"/>
      <c r="V275" s="40"/>
      <c r="W275" s="40"/>
      <c r="X275" s="40"/>
      <c r="Y275" s="40"/>
      <c r="Z275" s="40"/>
      <c r="AA275" s="41"/>
      <c r="AB275" s="28"/>
    </row>
    <row r="276" spans="1:32" ht="18" customHeight="1">
      <c r="A276" s="26"/>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28"/>
      <c r="AD276" s="27" t="e">
        <f>""""&amp;#REF!&amp;""":""example"&amp;#REF!&amp;"""},"</f>
        <v>#REF!</v>
      </c>
    </row>
    <row r="277" spans="1:32" ht="18" customHeight="1">
      <c r="A277" s="26"/>
      <c r="B277" s="35" t="s">
        <v>866</v>
      </c>
      <c r="C277" s="53"/>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28"/>
      <c r="AD277" s="27" t="e">
        <f>""""&amp;#REF!&amp;""":""example"&amp;#REF!&amp;"""},"</f>
        <v>#REF!</v>
      </c>
    </row>
    <row r="278" spans="1:32" customFormat="1" ht="20.100000000000001" customHeight="1">
      <c r="A278" s="27"/>
      <c r="B278" s="35"/>
      <c r="C278" s="337" t="s">
        <v>653</v>
      </c>
      <c r="D278" s="337"/>
      <c r="E278" s="337"/>
      <c r="F278" s="337"/>
      <c r="G278" s="333" t="s">
        <v>656</v>
      </c>
      <c r="H278" s="333"/>
      <c r="I278" s="333"/>
      <c r="J278" s="333"/>
      <c r="K278" s="333"/>
      <c r="L278" s="333"/>
      <c r="M278" s="333"/>
      <c r="N278" s="333"/>
      <c r="O278" s="333"/>
      <c r="P278" s="333"/>
      <c r="Q278" s="333"/>
      <c r="R278" s="333"/>
      <c r="S278" s="333"/>
      <c r="T278" s="333"/>
      <c r="U278" s="333"/>
      <c r="V278" s="333"/>
      <c r="W278" s="333"/>
      <c r="X278" s="333"/>
      <c r="Y278" s="333"/>
      <c r="Z278" s="333"/>
      <c r="AA278" s="333"/>
      <c r="AB278" s="28"/>
      <c r="AC278" s="36"/>
      <c r="AE278" s="112"/>
    </row>
    <row r="279" spans="1:32" ht="18" customHeight="1">
      <c r="A279" s="26"/>
      <c r="C279" s="337" t="s">
        <v>417</v>
      </c>
      <c r="D279" s="337"/>
      <c r="E279" s="337"/>
      <c r="F279" s="337"/>
      <c r="G279" s="333" t="s">
        <v>420</v>
      </c>
      <c r="H279" s="333"/>
      <c r="I279" s="333"/>
      <c r="J279" s="333"/>
      <c r="K279" s="333"/>
      <c r="L279" s="333"/>
      <c r="M279" s="333"/>
      <c r="N279" s="333"/>
      <c r="O279" s="333"/>
      <c r="P279" s="333"/>
      <c r="Q279" s="333"/>
      <c r="R279" s="333"/>
      <c r="S279" s="333"/>
      <c r="T279" s="333"/>
      <c r="U279" s="333"/>
      <c r="V279" s="333"/>
      <c r="W279" s="333"/>
      <c r="X279" s="333"/>
      <c r="Y279" s="333"/>
      <c r="Z279" s="333"/>
      <c r="AA279" s="333"/>
      <c r="AB279" s="28"/>
      <c r="AD279" s="67"/>
      <c r="AF279" s="27"/>
    </row>
    <row r="280" spans="1:32" ht="18" customHeight="1">
      <c r="A280" s="26"/>
      <c r="C280" s="337" t="s">
        <v>7</v>
      </c>
      <c r="D280" s="337"/>
      <c r="E280" s="343" t="s">
        <v>9</v>
      </c>
      <c r="F280" s="344"/>
      <c r="G280" s="344"/>
      <c r="H280" s="344"/>
      <c r="I280" s="344"/>
      <c r="J280" s="344"/>
      <c r="K280" s="345"/>
      <c r="L280" s="343" t="s">
        <v>18</v>
      </c>
      <c r="M280" s="344"/>
      <c r="N280" s="344"/>
      <c r="O280" s="344"/>
      <c r="P280" s="344"/>
      <c r="Q280" s="344"/>
      <c r="R280" s="344"/>
      <c r="S280" s="344"/>
      <c r="T280" s="344"/>
      <c r="U280" s="344"/>
      <c r="V280" s="344"/>
      <c r="W280" s="344"/>
      <c r="X280" s="344"/>
      <c r="Y280" s="344"/>
      <c r="Z280" s="344"/>
      <c r="AA280" s="345"/>
      <c r="AB280" s="28"/>
      <c r="AD280" s="27" t="e">
        <f>""""&amp;#REF!&amp;""":""example"&amp;#REF!&amp;"""},"</f>
        <v>#REF!</v>
      </c>
    </row>
    <row r="281" spans="1:32" ht="18" customHeight="1">
      <c r="A281" s="26"/>
      <c r="C281" s="334">
        <v>1</v>
      </c>
      <c r="D281" s="334"/>
      <c r="E281" s="47" t="s">
        <v>179</v>
      </c>
      <c r="F281" s="40"/>
      <c r="G281" s="40"/>
      <c r="H281" s="40"/>
      <c r="I281" s="40"/>
      <c r="J281" s="40"/>
      <c r="K281" s="40"/>
      <c r="L281" s="39" t="s">
        <v>736</v>
      </c>
      <c r="M281" s="40"/>
      <c r="N281" s="40"/>
      <c r="O281" s="40"/>
      <c r="P281" s="40"/>
      <c r="Q281" s="40"/>
      <c r="R281" s="40"/>
      <c r="S281" s="40"/>
      <c r="T281" s="40"/>
      <c r="U281" s="40"/>
      <c r="V281" s="40"/>
      <c r="W281" s="40"/>
      <c r="X281" s="40"/>
      <c r="Y281" s="40"/>
      <c r="Z281" s="40"/>
      <c r="AA281" s="41"/>
      <c r="AB281" s="28"/>
      <c r="AC281" s="70" t="s">
        <v>732</v>
      </c>
    </row>
    <row r="282" spans="1:32" ht="18" customHeight="1">
      <c r="A282" s="26"/>
      <c r="C282" s="334">
        <v>2</v>
      </c>
      <c r="D282" s="334"/>
      <c r="E282" s="47" t="s">
        <v>374</v>
      </c>
      <c r="F282" s="40"/>
      <c r="G282" s="40"/>
      <c r="H282" s="40"/>
      <c r="I282" s="40"/>
      <c r="J282" s="40"/>
      <c r="K282" s="40"/>
      <c r="L282" s="39" t="s">
        <v>660</v>
      </c>
      <c r="M282" s="40"/>
      <c r="N282" s="40"/>
      <c r="O282" s="40"/>
      <c r="P282" s="40"/>
      <c r="Q282" s="40"/>
      <c r="R282" s="40"/>
      <c r="S282" s="40"/>
      <c r="T282" s="40"/>
      <c r="U282" s="40"/>
      <c r="V282" s="40"/>
      <c r="W282" s="40"/>
      <c r="X282" s="40"/>
      <c r="Y282" s="40"/>
      <c r="Z282" s="40"/>
      <c r="AA282" s="41"/>
      <c r="AB282" s="28"/>
    </row>
    <row r="283" spans="1:32" ht="18" customHeight="1">
      <c r="A283" s="26"/>
      <c r="C283" s="334">
        <v>3</v>
      </c>
      <c r="D283" s="334"/>
      <c r="E283" s="47" t="s">
        <v>414</v>
      </c>
      <c r="F283" s="40"/>
      <c r="G283" s="40"/>
      <c r="H283" s="40"/>
      <c r="I283" s="40"/>
      <c r="J283" s="40"/>
      <c r="K283" s="40"/>
      <c r="L283" s="39" t="s">
        <v>661</v>
      </c>
      <c r="M283" s="40"/>
      <c r="N283" s="40"/>
      <c r="O283" s="40"/>
      <c r="P283" s="40"/>
      <c r="Q283" s="40"/>
      <c r="R283" s="40"/>
      <c r="S283" s="40"/>
      <c r="T283" s="40"/>
      <c r="U283" s="40"/>
      <c r="V283" s="40"/>
      <c r="W283" s="40"/>
      <c r="X283" s="40"/>
      <c r="Y283" s="40"/>
      <c r="Z283" s="40"/>
      <c r="AA283" s="41"/>
      <c r="AB283" s="28"/>
    </row>
    <row r="284" spans="1:32" ht="18" customHeight="1">
      <c r="A284" s="26"/>
      <c r="C284" s="334">
        <v>4</v>
      </c>
      <c r="D284" s="334"/>
      <c r="E284" s="47" t="s">
        <v>415</v>
      </c>
      <c r="F284" s="54"/>
      <c r="G284" s="40"/>
      <c r="H284" s="40"/>
      <c r="I284" s="40"/>
      <c r="J284" s="40"/>
      <c r="K284" s="40"/>
      <c r="L284" s="39" t="s">
        <v>662</v>
      </c>
      <c r="M284" s="40"/>
      <c r="N284" s="40"/>
      <c r="O284" s="40"/>
      <c r="P284" s="40"/>
      <c r="Q284" s="40"/>
      <c r="R284" s="40"/>
      <c r="S284" s="40"/>
      <c r="T284" s="40"/>
      <c r="U284" s="40"/>
      <c r="V284" s="40"/>
      <c r="W284" s="40"/>
      <c r="X284" s="40"/>
      <c r="Y284" s="40"/>
      <c r="Z284" s="40"/>
      <c r="AA284" s="41"/>
      <c r="AB284" s="28"/>
    </row>
    <row r="285" spans="1:32" ht="18" customHeight="1">
      <c r="A285" s="26"/>
      <c r="C285" s="334">
        <v>5</v>
      </c>
      <c r="D285" s="334"/>
      <c r="E285" s="47" t="s">
        <v>416</v>
      </c>
      <c r="F285" s="54"/>
      <c r="G285" s="40"/>
      <c r="H285" s="40"/>
      <c r="I285" s="40"/>
      <c r="J285" s="40"/>
      <c r="K285" s="40"/>
      <c r="L285" s="39" t="s">
        <v>663</v>
      </c>
      <c r="M285" s="40"/>
      <c r="N285" s="40"/>
      <c r="O285" s="40"/>
      <c r="P285" s="40"/>
      <c r="Q285" s="40"/>
      <c r="R285" s="40"/>
      <c r="S285" s="40"/>
      <c r="T285" s="40"/>
      <c r="U285" s="40"/>
      <c r="V285" s="40"/>
      <c r="W285" s="40"/>
      <c r="X285" s="40"/>
      <c r="Y285" s="40"/>
      <c r="Z285" s="40"/>
      <c r="AA285" s="41"/>
      <c r="AB285" s="28"/>
      <c r="AD285" s="27" t="e">
        <f>""""&amp;#REF!&amp;""":""example"&amp;#REF!&amp;""","</f>
        <v>#REF!</v>
      </c>
    </row>
    <row r="286" spans="1:32" ht="18" customHeight="1">
      <c r="A286" s="26"/>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28"/>
      <c r="AD286" s="27" t="e">
        <f>""""&amp;#REF!&amp;""":""example"&amp;#REF!&amp;""","</f>
        <v>#REF!</v>
      </c>
    </row>
    <row r="287" spans="1:32" ht="18" customHeight="1">
      <c r="A287" s="26"/>
      <c r="B287" s="35" t="s">
        <v>867</v>
      </c>
      <c r="C287" s="53"/>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28"/>
      <c r="AD287" s="27" t="e">
        <f>""""&amp;#REF!&amp;""":""example"&amp;#REF!&amp;"""},"</f>
        <v>#REF!</v>
      </c>
    </row>
    <row r="288" spans="1:32" customFormat="1" ht="20.100000000000001" customHeight="1">
      <c r="A288" s="27"/>
      <c r="B288" s="35"/>
      <c r="C288" s="337" t="s">
        <v>653</v>
      </c>
      <c r="D288" s="337"/>
      <c r="E288" s="337"/>
      <c r="F288" s="337"/>
      <c r="G288" s="333" t="s">
        <v>656</v>
      </c>
      <c r="H288" s="333"/>
      <c r="I288" s="333"/>
      <c r="J288" s="333"/>
      <c r="K288" s="333"/>
      <c r="L288" s="333"/>
      <c r="M288" s="333"/>
      <c r="N288" s="333"/>
      <c r="O288" s="333"/>
      <c r="P288" s="333"/>
      <c r="Q288" s="333"/>
      <c r="R288" s="333"/>
      <c r="S288" s="333"/>
      <c r="T288" s="333"/>
      <c r="U288" s="333"/>
      <c r="V288" s="333"/>
      <c r="W288" s="333"/>
      <c r="X288" s="333"/>
      <c r="Y288" s="333"/>
      <c r="Z288" s="333"/>
      <c r="AA288" s="333"/>
      <c r="AB288" s="28"/>
      <c r="AC288" s="36"/>
      <c r="AE288" s="112"/>
    </row>
    <row r="289" spans="1:32" ht="18" customHeight="1">
      <c r="A289" s="26"/>
      <c r="C289" s="337" t="s">
        <v>417</v>
      </c>
      <c r="D289" s="337"/>
      <c r="E289" s="337"/>
      <c r="F289" s="337"/>
      <c r="G289" s="333" t="s">
        <v>419</v>
      </c>
      <c r="H289" s="333"/>
      <c r="I289" s="333"/>
      <c r="J289" s="333"/>
      <c r="K289" s="333"/>
      <c r="L289" s="333"/>
      <c r="M289" s="333"/>
      <c r="N289" s="333"/>
      <c r="O289" s="333"/>
      <c r="P289" s="333"/>
      <c r="Q289" s="333"/>
      <c r="R289" s="333"/>
      <c r="S289" s="333"/>
      <c r="T289" s="333"/>
      <c r="U289" s="333"/>
      <c r="V289" s="333"/>
      <c r="W289" s="333"/>
      <c r="X289" s="333"/>
      <c r="Y289" s="333"/>
      <c r="Z289" s="333"/>
      <c r="AA289" s="333"/>
      <c r="AB289" s="28"/>
      <c r="AD289" s="67"/>
      <c r="AF289" s="27"/>
    </row>
    <row r="290" spans="1:32" ht="18" customHeight="1">
      <c r="A290" s="26"/>
      <c r="C290" s="337" t="s">
        <v>7</v>
      </c>
      <c r="D290" s="337"/>
      <c r="E290" s="343" t="s">
        <v>9</v>
      </c>
      <c r="F290" s="344"/>
      <c r="G290" s="344"/>
      <c r="H290" s="344"/>
      <c r="I290" s="344"/>
      <c r="J290" s="344"/>
      <c r="K290" s="345"/>
      <c r="L290" s="343" t="s">
        <v>18</v>
      </c>
      <c r="M290" s="344"/>
      <c r="N290" s="344"/>
      <c r="O290" s="344"/>
      <c r="P290" s="344"/>
      <c r="Q290" s="344"/>
      <c r="R290" s="344"/>
      <c r="S290" s="344"/>
      <c r="T290" s="344"/>
      <c r="U290" s="344"/>
      <c r="V290" s="344"/>
      <c r="W290" s="344"/>
      <c r="X290" s="344"/>
      <c r="Y290" s="344"/>
      <c r="Z290" s="344"/>
      <c r="AA290" s="345"/>
      <c r="AB290" s="28"/>
      <c r="AD290" s="27" t="e">
        <f>""""&amp;#REF!&amp;""":""example"&amp;#REF!&amp;"""},"</f>
        <v>#REF!</v>
      </c>
    </row>
    <row r="291" spans="1:32" ht="18" customHeight="1">
      <c r="A291" s="26"/>
      <c r="C291" s="334">
        <v>1</v>
      </c>
      <c r="D291" s="334"/>
      <c r="E291" s="47" t="s">
        <v>179</v>
      </c>
      <c r="F291" s="40"/>
      <c r="G291" s="40"/>
      <c r="H291" s="40"/>
      <c r="I291" s="40"/>
      <c r="J291" s="40"/>
      <c r="K291" s="40"/>
      <c r="L291" s="39" t="s">
        <v>736</v>
      </c>
      <c r="M291" s="40"/>
      <c r="N291" s="40"/>
      <c r="O291" s="40"/>
      <c r="P291" s="40"/>
      <c r="Q291" s="40"/>
      <c r="R291" s="40"/>
      <c r="S291" s="40"/>
      <c r="T291" s="40"/>
      <c r="U291" s="40"/>
      <c r="V291" s="40"/>
      <c r="W291" s="40"/>
      <c r="X291" s="40"/>
      <c r="Y291" s="40"/>
      <c r="Z291" s="40"/>
      <c r="AA291" s="41"/>
      <c r="AB291" s="28"/>
      <c r="AC291" s="70" t="s">
        <v>732</v>
      </c>
      <c r="AD291" s="27" t="e">
        <f>""""&amp;#REF!&amp;""":""example"&amp;#REF!&amp;"""},"</f>
        <v>#REF!</v>
      </c>
    </row>
    <row r="292" spans="1:32" ht="18" customHeight="1">
      <c r="A292" s="26"/>
      <c r="C292" s="334">
        <v>2</v>
      </c>
      <c r="D292" s="334"/>
      <c r="E292" s="47" t="s">
        <v>374</v>
      </c>
      <c r="F292" s="40"/>
      <c r="G292" s="40"/>
      <c r="H292" s="40"/>
      <c r="I292" s="40"/>
      <c r="J292" s="40"/>
      <c r="K292" s="40"/>
      <c r="L292" s="39" t="str">
        <f t="shared" ref="L292:L305" si="2">"パラメータ．先行作業内諾書明細リスト．"&amp;E292</f>
        <v>パラメータ．先行作業内諾書明細リスト．連番</v>
      </c>
      <c r="M292" s="40"/>
      <c r="N292" s="40"/>
      <c r="O292" s="40"/>
      <c r="P292" s="40"/>
      <c r="Q292" s="40"/>
      <c r="R292" s="40"/>
      <c r="S292" s="40"/>
      <c r="T292" s="40"/>
      <c r="U292" s="40"/>
      <c r="V292" s="40"/>
      <c r="W292" s="40"/>
      <c r="X292" s="40"/>
      <c r="Y292" s="40"/>
      <c r="Z292" s="40"/>
      <c r="AA292" s="41"/>
      <c r="AB292" s="28"/>
      <c r="AD292" s="27" t="e">
        <f>""""&amp;#REF!&amp;""":""example"&amp;#REF!&amp;"""},"</f>
        <v>#REF!</v>
      </c>
    </row>
    <row r="293" spans="1:32" ht="18" customHeight="1">
      <c r="A293" s="26"/>
      <c r="C293" s="334">
        <v>3</v>
      </c>
      <c r="D293" s="334"/>
      <c r="E293" s="47" t="s">
        <v>376</v>
      </c>
      <c r="F293" s="40"/>
      <c r="G293" s="40"/>
      <c r="H293" s="40"/>
      <c r="I293" s="40"/>
      <c r="J293" s="40"/>
      <c r="K293" s="40"/>
      <c r="L293" s="39" t="str">
        <f t="shared" si="2"/>
        <v>パラメータ．先行作業内諾書明細リスト．大工事コード</v>
      </c>
      <c r="M293" s="40"/>
      <c r="N293" s="40"/>
      <c r="O293" s="40"/>
      <c r="P293" s="40"/>
      <c r="Q293" s="40"/>
      <c r="R293" s="40"/>
      <c r="S293" s="40"/>
      <c r="T293" s="40"/>
      <c r="U293" s="40"/>
      <c r="V293" s="40"/>
      <c r="W293" s="40"/>
      <c r="X293" s="40"/>
      <c r="Y293" s="40"/>
      <c r="Z293" s="40"/>
      <c r="AA293" s="41"/>
      <c r="AB293" s="28"/>
      <c r="AD293" s="27" t="e">
        <f>""""&amp;#REF!&amp;""":""example"&amp;#REF!&amp;"""},"</f>
        <v>#REF!</v>
      </c>
    </row>
    <row r="294" spans="1:32" ht="18" customHeight="1">
      <c r="A294" s="26"/>
      <c r="C294" s="334">
        <v>4</v>
      </c>
      <c r="D294" s="334"/>
      <c r="E294" s="47" t="s">
        <v>377</v>
      </c>
      <c r="F294" s="40"/>
      <c r="G294" s="40"/>
      <c r="H294" s="40"/>
      <c r="I294" s="40"/>
      <c r="J294" s="40"/>
      <c r="K294" s="40"/>
      <c r="L294" s="39" t="str">
        <f t="shared" si="2"/>
        <v>パラメータ．先行作業内諾書明細リスト．小工事コード</v>
      </c>
      <c r="M294" s="40"/>
      <c r="N294" s="40"/>
      <c r="O294" s="40"/>
      <c r="P294" s="40"/>
      <c r="Q294" s="40"/>
      <c r="R294" s="40"/>
      <c r="S294" s="40"/>
      <c r="T294" s="40"/>
      <c r="U294" s="40"/>
      <c r="V294" s="40"/>
      <c r="W294" s="40"/>
      <c r="X294" s="40"/>
      <c r="Y294" s="40"/>
      <c r="Z294" s="40"/>
      <c r="AA294" s="41"/>
      <c r="AB294" s="28"/>
    </row>
    <row r="295" spans="1:32" ht="18" customHeight="1">
      <c r="A295" s="26"/>
      <c r="C295" s="334">
        <v>5</v>
      </c>
      <c r="D295" s="334"/>
      <c r="E295" s="47" t="s">
        <v>378</v>
      </c>
      <c r="F295" s="40"/>
      <c r="G295" s="40"/>
      <c r="H295" s="40"/>
      <c r="I295" s="40"/>
      <c r="J295" s="40"/>
      <c r="K295" s="40"/>
      <c r="L295" s="39" t="str">
        <f t="shared" si="2"/>
        <v>パラメータ．先行作業内諾書明細リスト．工事連番</v>
      </c>
      <c r="M295" s="40"/>
      <c r="N295" s="40"/>
      <c r="O295" s="40"/>
      <c r="P295" s="40"/>
      <c r="Q295" s="40"/>
      <c r="R295" s="40"/>
      <c r="S295" s="40"/>
      <c r="T295" s="40"/>
      <c r="U295" s="40"/>
      <c r="V295" s="40"/>
      <c r="W295" s="40"/>
      <c r="X295" s="40"/>
      <c r="Y295" s="40"/>
      <c r="Z295" s="40"/>
      <c r="AA295" s="41"/>
      <c r="AB295" s="28"/>
    </row>
    <row r="296" spans="1:32" ht="18" customHeight="1">
      <c r="A296" s="26"/>
      <c r="C296" s="334">
        <v>6</v>
      </c>
      <c r="D296" s="334"/>
      <c r="E296" s="47" t="s">
        <v>379</v>
      </c>
      <c r="F296" s="54"/>
      <c r="G296" s="40"/>
      <c r="H296" s="40"/>
      <c r="I296" s="40"/>
      <c r="J296" s="40"/>
      <c r="K296" s="40"/>
      <c r="L296" s="39" t="str">
        <f t="shared" si="2"/>
        <v>パラメータ．先行作業内諾書明細リスト．精積算明細ID</v>
      </c>
      <c r="M296" s="40"/>
      <c r="N296" s="40"/>
      <c r="O296" s="40"/>
      <c r="P296" s="40"/>
      <c r="Q296" s="40"/>
      <c r="R296" s="40"/>
      <c r="S296" s="40"/>
      <c r="T296" s="40"/>
      <c r="U296" s="40"/>
      <c r="V296" s="40"/>
      <c r="W296" s="40"/>
      <c r="X296" s="40"/>
      <c r="Y296" s="40"/>
      <c r="Z296" s="40"/>
      <c r="AA296" s="41"/>
      <c r="AB296" s="28"/>
    </row>
    <row r="297" spans="1:32" ht="18" customHeight="1">
      <c r="A297" s="26"/>
      <c r="C297" s="334">
        <v>7</v>
      </c>
      <c r="D297" s="334"/>
      <c r="E297" s="47" t="s">
        <v>380</v>
      </c>
      <c r="F297" s="40"/>
      <c r="G297" s="40"/>
      <c r="H297" s="40"/>
      <c r="I297" s="40"/>
      <c r="J297" s="40"/>
      <c r="K297" s="40"/>
      <c r="L297" s="39" t="str">
        <f t="shared" si="2"/>
        <v>パラメータ．先行作業内諾書明細リスト．見積日</v>
      </c>
      <c r="M297" s="40"/>
      <c r="N297" s="40"/>
      <c r="O297" s="40"/>
      <c r="P297" s="40"/>
      <c r="Q297" s="40"/>
      <c r="R297" s="40"/>
      <c r="S297" s="40"/>
      <c r="T297" s="40"/>
      <c r="U297" s="40"/>
      <c r="V297" s="40"/>
      <c r="W297" s="40"/>
      <c r="X297" s="40"/>
      <c r="Y297" s="40"/>
      <c r="Z297" s="40"/>
      <c r="AA297" s="41"/>
      <c r="AB297" s="28"/>
    </row>
    <row r="298" spans="1:32" ht="18" customHeight="1">
      <c r="A298" s="26"/>
      <c r="C298" s="334">
        <v>8</v>
      </c>
      <c r="D298" s="334"/>
      <c r="E298" s="47" t="s">
        <v>381</v>
      </c>
      <c r="F298" s="40"/>
      <c r="G298" s="40"/>
      <c r="H298" s="40"/>
      <c r="I298" s="40"/>
      <c r="J298" s="40"/>
      <c r="K298" s="40"/>
      <c r="L298" s="39" t="str">
        <f t="shared" si="2"/>
        <v>パラメータ．先行作業内諾書明細リスト．計画概要</v>
      </c>
      <c r="M298" s="40"/>
      <c r="N298" s="40"/>
      <c r="O298" s="40"/>
      <c r="P298" s="40"/>
      <c r="Q298" s="40"/>
      <c r="R298" s="40"/>
      <c r="S298" s="40"/>
      <c r="T298" s="40"/>
      <c r="U298" s="40"/>
      <c r="V298" s="40"/>
      <c r="W298" s="40"/>
      <c r="X298" s="40"/>
      <c r="Y298" s="40"/>
      <c r="Z298" s="40"/>
      <c r="AA298" s="41"/>
      <c r="AB298" s="28"/>
      <c r="AD298" s="27" t="e">
        <f>""""&amp;#REF!&amp;""":""example"&amp;#REF!&amp;""","</f>
        <v>#REF!</v>
      </c>
    </row>
    <row r="299" spans="1:32" ht="18" customHeight="1">
      <c r="A299" s="26"/>
      <c r="C299" s="334">
        <v>9</v>
      </c>
      <c r="D299" s="334"/>
      <c r="E299" s="47" t="s">
        <v>382</v>
      </c>
      <c r="F299" s="40"/>
      <c r="G299" s="40"/>
      <c r="H299" s="40"/>
      <c r="I299" s="40"/>
      <c r="J299" s="40"/>
      <c r="K299" s="40"/>
      <c r="L299" s="39" t="str">
        <f t="shared" si="2"/>
        <v>パラメータ．先行作業内諾書明細リスト．先行工事内容</v>
      </c>
      <c r="M299" s="40"/>
      <c r="N299" s="40"/>
      <c r="O299" s="40"/>
      <c r="P299" s="40"/>
      <c r="Q299" s="40"/>
      <c r="R299" s="40"/>
      <c r="S299" s="40"/>
      <c r="T299" s="40"/>
      <c r="U299" s="40"/>
      <c r="V299" s="40"/>
      <c r="W299" s="40"/>
      <c r="X299" s="40"/>
      <c r="Y299" s="40"/>
      <c r="Z299" s="40"/>
      <c r="AA299" s="41"/>
      <c r="AB299" s="28"/>
      <c r="AD299" s="27" t="e">
        <f>""""&amp;#REF!&amp;""":""example"&amp;#REF!&amp;""","</f>
        <v>#REF!</v>
      </c>
    </row>
    <row r="300" spans="1:32" ht="18" customHeight="1">
      <c r="A300" s="26"/>
      <c r="C300" s="334">
        <v>10</v>
      </c>
      <c r="D300" s="334"/>
      <c r="E300" s="47" t="s">
        <v>383</v>
      </c>
      <c r="F300" s="54"/>
      <c r="G300" s="40"/>
      <c r="H300" s="40"/>
      <c r="I300" s="40"/>
      <c r="J300" s="40"/>
      <c r="K300" s="40"/>
      <c r="L300" s="39" t="str">
        <f t="shared" si="2"/>
        <v>パラメータ．先行作業内諾書明細リスト．工事原価</v>
      </c>
      <c r="M300" s="40"/>
      <c r="N300" s="40"/>
      <c r="O300" s="40"/>
      <c r="P300" s="40"/>
      <c r="Q300" s="40"/>
      <c r="R300" s="40"/>
      <c r="S300" s="40"/>
      <c r="T300" s="40"/>
      <c r="U300" s="40"/>
      <c r="V300" s="40"/>
      <c r="W300" s="40"/>
      <c r="X300" s="40"/>
      <c r="Y300" s="40"/>
      <c r="Z300" s="40"/>
      <c r="AA300" s="41"/>
      <c r="AB300" s="28"/>
      <c r="AD300" s="27" t="e">
        <f>""""&amp;#REF!&amp;""":""example"&amp;#REF!&amp;""","</f>
        <v>#REF!</v>
      </c>
    </row>
    <row r="301" spans="1:32" ht="18" customHeight="1">
      <c r="A301" s="26"/>
      <c r="C301" s="334">
        <v>11</v>
      </c>
      <c r="D301" s="334"/>
      <c r="E301" s="47" t="s">
        <v>384</v>
      </c>
      <c r="F301" s="54"/>
      <c r="G301" s="40"/>
      <c r="H301" s="40"/>
      <c r="I301" s="40"/>
      <c r="J301" s="40"/>
      <c r="K301" s="40"/>
      <c r="L301" s="39" t="str">
        <f t="shared" si="2"/>
        <v>パラメータ．先行作業内諾書明細リスト．支払条件</v>
      </c>
      <c r="M301" s="40"/>
      <c r="N301" s="40"/>
      <c r="O301" s="40"/>
      <c r="P301" s="40"/>
      <c r="Q301" s="40"/>
      <c r="R301" s="40"/>
      <c r="S301" s="40"/>
      <c r="T301" s="40"/>
      <c r="U301" s="40"/>
      <c r="V301" s="40"/>
      <c r="W301" s="40"/>
      <c r="X301" s="40"/>
      <c r="Y301" s="40"/>
      <c r="Z301" s="40"/>
      <c r="AA301" s="41"/>
      <c r="AB301" s="28"/>
      <c r="AD301" s="27" t="e">
        <f>""""&amp;#REF!&amp;""":""example"&amp;#REF!&amp;"""},"</f>
        <v>#REF!</v>
      </c>
    </row>
    <row r="302" spans="1:32" ht="18" customHeight="1">
      <c r="A302" s="26"/>
      <c r="C302" s="334">
        <v>12</v>
      </c>
      <c r="D302" s="334"/>
      <c r="E302" s="47" t="s">
        <v>385</v>
      </c>
      <c r="F302" s="54"/>
      <c r="G302" s="40"/>
      <c r="H302" s="40"/>
      <c r="I302" s="40"/>
      <c r="J302" s="40"/>
      <c r="K302" s="40"/>
      <c r="L302" s="39" t="str">
        <f t="shared" si="2"/>
        <v>パラメータ．先行作業内諾書明細リスト．その他</v>
      </c>
      <c r="M302" s="40"/>
      <c r="N302" s="40"/>
      <c r="O302" s="40"/>
      <c r="P302" s="40"/>
      <c r="Q302" s="40"/>
      <c r="R302" s="40"/>
      <c r="S302" s="40"/>
      <c r="T302" s="40"/>
      <c r="U302" s="40"/>
      <c r="V302" s="40"/>
      <c r="W302" s="40"/>
      <c r="X302" s="40"/>
      <c r="Y302" s="40"/>
      <c r="Z302" s="40"/>
      <c r="AA302" s="41"/>
      <c r="AB302" s="28"/>
      <c r="AD302" s="27" t="e">
        <f>""""&amp;#REF!&amp;""":""example"&amp;#REF!&amp;"""},"</f>
        <v>#REF!</v>
      </c>
    </row>
    <row r="303" spans="1:32" ht="18" customHeight="1">
      <c r="A303" s="26"/>
      <c r="C303" s="334">
        <v>13</v>
      </c>
      <c r="D303" s="334"/>
      <c r="E303" s="47" t="s">
        <v>386</v>
      </c>
      <c r="F303" s="40"/>
      <c r="G303" s="40"/>
      <c r="H303" s="40"/>
      <c r="I303" s="40"/>
      <c r="J303" s="40"/>
      <c r="K303" s="40"/>
      <c r="L303" s="39" t="str">
        <f t="shared" si="2"/>
        <v>パラメータ．先行作業内諾書明細リスト．添付ファイルID</v>
      </c>
      <c r="M303" s="40"/>
      <c r="N303" s="40"/>
      <c r="O303" s="40"/>
      <c r="P303" s="40"/>
      <c r="Q303" s="40"/>
      <c r="R303" s="40"/>
      <c r="S303" s="40"/>
      <c r="T303" s="40"/>
      <c r="U303" s="40"/>
      <c r="V303" s="40"/>
      <c r="W303" s="40"/>
      <c r="X303" s="40"/>
      <c r="Y303" s="40"/>
      <c r="Z303" s="40"/>
      <c r="AA303" s="41"/>
      <c r="AB303" s="28"/>
    </row>
    <row r="304" spans="1:32" ht="18" customHeight="1">
      <c r="A304" s="26"/>
      <c r="C304" s="334">
        <v>14</v>
      </c>
      <c r="D304" s="334"/>
      <c r="E304" s="47" t="s">
        <v>387</v>
      </c>
      <c r="F304" s="54"/>
      <c r="G304" s="40"/>
      <c r="H304" s="40"/>
      <c r="I304" s="40"/>
      <c r="J304" s="40"/>
      <c r="K304" s="40"/>
      <c r="L304" s="39" t="str">
        <f t="shared" si="2"/>
        <v>パラメータ．先行作業内諾書明細リスト．先行作業処理区分</v>
      </c>
      <c r="M304" s="40"/>
      <c r="N304" s="40"/>
      <c r="O304" s="40"/>
      <c r="P304" s="40"/>
      <c r="Q304" s="40"/>
      <c r="R304" s="40"/>
      <c r="S304" s="40"/>
      <c r="T304" s="40"/>
      <c r="U304" s="40"/>
      <c r="V304" s="40"/>
      <c r="W304" s="40"/>
      <c r="X304" s="40"/>
      <c r="Y304" s="40"/>
      <c r="Z304" s="40"/>
      <c r="AA304" s="41"/>
      <c r="AB304" s="28"/>
    </row>
    <row r="305" spans="1:32" ht="18" customHeight="1">
      <c r="A305" s="26"/>
      <c r="C305" s="347">
        <v>15</v>
      </c>
      <c r="D305" s="349"/>
      <c r="E305" s="47" t="s">
        <v>388</v>
      </c>
      <c r="F305" s="40"/>
      <c r="G305" s="40"/>
      <c r="H305" s="40"/>
      <c r="I305" s="40"/>
      <c r="J305" s="40"/>
      <c r="K305" s="40"/>
      <c r="L305" s="39" t="str">
        <f t="shared" si="2"/>
        <v>パラメータ．先行作業内諾書明細リスト．注文書ヘッダID</v>
      </c>
      <c r="M305" s="40"/>
      <c r="N305" s="40"/>
      <c r="O305" s="40"/>
      <c r="P305" s="40"/>
      <c r="Q305" s="40"/>
      <c r="R305" s="40"/>
      <c r="S305" s="40"/>
      <c r="T305" s="40"/>
      <c r="U305" s="40"/>
      <c r="V305" s="40"/>
      <c r="W305" s="40"/>
      <c r="X305" s="40"/>
      <c r="Y305" s="40"/>
      <c r="Z305" s="40"/>
      <c r="AA305" s="41"/>
      <c r="AB305" s="28"/>
    </row>
    <row r="306" spans="1:32" ht="18" customHeight="1">
      <c r="A306" s="26"/>
      <c r="C306" s="38"/>
      <c r="D306" s="38"/>
      <c r="J306" s="38"/>
      <c r="K306" s="38"/>
      <c r="AB306" s="28"/>
    </row>
    <row r="307" spans="1:32" ht="18" customHeight="1">
      <c r="A307" s="26"/>
      <c r="B307" s="418" t="s">
        <v>740</v>
      </c>
      <c r="C307" s="418"/>
      <c r="D307" s="418"/>
      <c r="E307" s="418"/>
      <c r="F307" s="418"/>
      <c r="G307" s="418"/>
      <c r="H307" s="418"/>
      <c r="I307" s="418"/>
      <c r="J307" s="418"/>
      <c r="K307" s="418"/>
      <c r="L307" s="418"/>
      <c r="M307" s="418"/>
      <c r="N307" s="418"/>
      <c r="O307" s="418"/>
      <c r="P307" s="418"/>
      <c r="Q307" s="418"/>
      <c r="R307" s="418"/>
      <c r="S307" s="418"/>
      <c r="T307" s="418"/>
      <c r="U307" s="418"/>
      <c r="V307" s="418"/>
      <c r="W307" s="418"/>
      <c r="X307" s="418"/>
      <c r="Y307" s="418"/>
      <c r="Z307" s="418"/>
      <c r="AA307" s="418"/>
      <c r="AB307" s="75"/>
      <c r="AC307" s="70" t="s">
        <v>655</v>
      </c>
    </row>
    <row r="308" spans="1:32" ht="18" customHeight="1">
      <c r="A308" s="26"/>
      <c r="B308" s="418"/>
      <c r="C308" s="418"/>
      <c r="D308" s="418"/>
      <c r="E308" s="418"/>
      <c r="F308" s="418"/>
      <c r="G308" s="418"/>
      <c r="H308" s="418"/>
      <c r="I308" s="418"/>
      <c r="J308" s="418"/>
      <c r="K308" s="418"/>
      <c r="L308" s="418"/>
      <c r="M308" s="418"/>
      <c r="N308" s="418"/>
      <c r="O308" s="418"/>
      <c r="P308" s="418"/>
      <c r="Q308" s="418"/>
      <c r="R308" s="418"/>
      <c r="S308" s="418"/>
      <c r="T308" s="418"/>
      <c r="U308" s="418"/>
      <c r="V308" s="418"/>
      <c r="W308" s="418"/>
      <c r="X308" s="418"/>
      <c r="Y308" s="418"/>
      <c r="Z308" s="418"/>
      <c r="AA308" s="418"/>
      <c r="AB308" s="75"/>
      <c r="AC308" s="70"/>
    </row>
    <row r="309" spans="1:32" ht="18" customHeight="1">
      <c r="B309" s="74"/>
      <c r="C309" s="46" t="s">
        <v>741</v>
      </c>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5"/>
      <c r="AC309" s="70"/>
    </row>
    <row r="310" spans="1:32" customFormat="1" ht="20.100000000000001" customHeight="1">
      <c r="A310" s="27"/>
      <c r="B310" s="35"/>
      <c r="C310" s="337" t="s">
        <v>653</v>
      </c>
      <c r="D310" s="337"/>
      <c r="E310" s="337"/>
      <c r="F310" s="337"/>
      <c r="G310" s="333" t="s">
        <v>656</v>
      </c>
      <c r="H310" s="333"/>
      <c r="I310" s="333"/>
      <c r="J310" s="333"/>
      <c r="K310" s="333"/>
      <c r="L310" s="333"/>
      <c r="M310" s="333"/>
      <c r="N310" s="333"/>
      <c r="O310" s="333"/>
      <c r="P310" s="333"/>
      <c r="Q310" s="333"/>
      <c r="R310" s="333"/>
      <c r="S310" s="333"/>
      <c r="T310" s="333"/>
      <c r="U310" s="333"/>
      <c r="V310" s="333"/>
      <c r="W310" s="333"/>
      <c r="X310" s="333"/>
      <c r="Y310" s="333"/>
      <c r="Z310" s="333"/>
      <c r="AA310" s="333"/>
      <c r="AB310" s="28"/>
      <c r="AC310" s="70"/>
      <c r="AE310" s="112"/>
    </row>
    <row r="311" spans="1:32" ht="18" customHeight="1">
      <c r="A311" s="26"/>
      <c r="C311" s="337" t="s">
        <v>417</v>
      </c>
      <c r="D311" s="337"/>
      <c r="E311" s="337"/>
      <c r="F311" s="337"/>
      <c r="G311" s="333" t="s">
        <v>418</v>
      </c>
      <c r="H311" s="333"/>
      <c r="I311" s="333"/>
      <c r="J311" s="333"/>
      <c r="K311" s="333"/>
      <c r="L311" s="333"/>
      <c r="M311" s="333"/>
      <c r="N311" s="333"/>
      <c r="O311" s="333"/>
      <c r="P311" s="333"/>
      <c r="Q311" s="333"/>
      <c r="R311" s="333"/>
      <c r="S311" s="333"/>
      <c r="T311" s="333"/>
      <c r="U311" s="333"/>
      <c r="V311" s="333"/>
      <c r="W311" s="333"/>
      <c r="X311" s="333"/>
      <c r="Y311" s="333"/>
      <c r="Z311" s="333"/>
      <c r="AA311" s="333"/>
      <c r="AB311" s="28"/>
      <c r="AC311" s="70"/>
      <c r="AD311" s="67"/>
      <c r="AF311" s="27"/>
    </row>
    <row r="312" spans="1:32" ht="18" customHeight="1">
      <c r="A312" s="26"/>
      <c r="C312" s="337" t="s">
        <v>7</v>
      </c>
      <c r="D312" s="337"/>
      <c r="E312" s="343" t="s">
        <v>9</v>
      </c>
      <c r="F312" s="344"/>
      <c r="G312" s="344"/>
      <c r="H312" s="344"/>
      <c r="I312" s="344"/>
      <c r="J312" s="344"/>
      <c r="K312" s="345"/>
      <c r="L312" s="343" t="s">
        <v>18</v>
      </c>
      <c r="M312" s="344"/>
      <c r="N312" s="344"/>
      <c r="O312" s="344"/>
      <c r="P312" s="344"/>
      <c r="Q312" s="344"/>
      <c r="R312" s="344"/>
      <c r="S312" s="344"/>
      <c r="T312" s="344"/>
      <c r="U312" s="344"/>
      <c r="V312" s="344"/>
      <c r="W312" s="344"/>
      <c r="X312" s="344"/>
      <c r="Y312" s="344"/>
      <c r="Z312" s="344"/>
      <c r="AA312" s="345"/>
      <c r="AB312" s="28"/>
      <c r="AC312" s="70"/>
      <c r="AD312" s="27" t="e">
        <f>""""&amp;#REF!&amp;""":""example"&amp;#REF!&amp;"""},"</f>
        <v>#REF!</v>
      </c>
    </row>
    <row r="313" spans="1:32" ht="36" customHeight="1">
      <c r="A313" s="26"/>
      <c r="C313" s="334">
        <v>1</v>
      </c>
      <c r="D313" s="334"/>
      <c r="E313" s="39" t="s">
        <v>56</v>
      </c>
      <c r="F313" s="31"/>
      <c r="G313" s="31"/>
      <c r="H313" s="31"/>
      <c r="I313" s="31"/>
      <c r="J313" s="31"/>
      <c r="K313" s="41"/>
      <c r="L313" s="361" t="s">
        <v>742</v>
      </c>
      <c r="M313" s="416"/>
      <c r="N313" s="416"/>
      <c r="O313" s="416"/>
      <c r="P313" s="416"/>
      <c r="Q313" s="416"/>
      <c r="R313" s="416"/>
      <c r="S313" s="416"/>
      <c r="T313" s="416"/>
      <c r="U313" s="416"/>
      <c r="V313" s="416"/>
      <c r="W313" s="416"/>
      <c r="X313" s="416"/>
      <c r="Y313" s="416"/>
      <c r="Z313" s="416"/>
      <c r="AA313" s="417"/>
      <c r="AB313" s="28"/>
      <c r="AC313" s="70"/>
      <c r="AD313" s="27" t="e">
        <f>""""&amp;#REF!&amp;""":""example"&amp;#REF!&amp;"""},"</f>
        <v>#REF!</v>
      </c>
    </row>
    <row r="314" spans="1:32" ht="18" customHeight="1">
      <c r="A314" s="26"/>
      <c r="C314" s="385">
        <v>2</v>
      </c>
      <c r="D314" s="386"/>
      <c r="E314" s="115" t="s">
        <v>134</v>
      </c>
      <c r="F314" s="119"/>
      <c r="G314" s="119"/>
      <c r="H314" s="119"/>
      <c r="I314" s="119"/>
      <c r="J314" s="119"/>
      <c r="K314" s="116"/>
      <c r="L314" s="115" t="s">
        <v>873</v>
      </c>
      <c r="M314" s="114"/>
      <c r="N314" s="114"/>
      <c r="O314" s="114"/>
      <c r="P314" s="114"/>
      <c r="Q314" s="114"/>
      <c r="R314" s="114"/>
      <c r="S314" s="114"/>
      <c r="T314" s="114"/>
      <c r="U314" s="114"/>
      <c r="V314" s="114"/>
      <c r="W314" s="114"/>
      <c r="X314" s="114"/>
      <c r="Y314" s="114"/>
      <c r="Z314" s="114"/>
      <c r="AA314" s="116"/>
      <c r="AB314" s="28"/>
      <c r="AC314" s="70"/>
      <c r="AD314" s="27" t="e">
        <f>""""&amp;#REF!&amp;""":""example"&amp;#REF!&amp;""","</f>
        <v>#REF!</v>
      </c>
      <c r="AE314" s="111" t="s">
        <v>875</v>
      </c>
    </row>
    <row r="315" spans="1:32" ht="18" customHeight="1">
      <c r="A315" s="26"/>
      <c r="C315" s="334">
        <v>3</v>
      </c>
      <c r="D315" s="334"/>
      <c r="E315" s="27" t="s">
        <v>57</v>
      </c>
      <c r="F315" s="76"/>
      <c r="G315" s="31"/>
      <c r="H315" s="31"/>
      <c r="I315" s="31"/>
      <c r="J315" s="31"/>
      <c r="K315" s="41"/>
      <c r="L315" s="39" t="s">
        <v>664</v>
      </c>
      <c r="M315" s="40"/>
      <c r="N315" s="40"/>
      <c r="O315" s="40"/>
      <c r="P315" s="40"/>
      <c r="Q315" s="40"/>
      <c r="R315" s="40"/>
      <c r="S315" s="40"/>
      <c r="T315" s="40"/>
      <c r="U315" s="40"/>
      <c r="V315" s="40"/>
      <c r="W315" s="40"/>
      <c r="X315" s="40"/>
      <c r="Y315" s="40"/>
      <c r="Z315" s="40"/>
      <c r="AA315" s="41"/>
      <c r="AB315" s="28"/>
      <c r="AC315" s="70"/>
      <c r="AD315" s="27" t="e">
        <f>""""&amp;#REF!&amp;""":""example"&amp;#REF!&amp;""","</f>
        <v>#REF!</v>
      </c>
    </row>
    <row r="316" spans="1:32" ht="18" customHeight="1">
      <c r="A316" s="26"/>
      <c r="C316" s="347">
        <v>4</v>
      </c>
      <c r="D316" s="349"/>
      <c r="E316" s="39" t="s">
        <v>55</v>
      </c>
      <c r="F316" s="31"/>
      <c r="G316" s="31"/>
      <c r="H316" s="31"/>
      <c r="I316" s="31"/>
      <c r="J316" s="31"/>
      <c r="K316" s="41"/>
      <c r="L316" s="39" t="s">
        <v>665</v>
      </c>
      <c r="M316" s="40"/>
      <c r="N316" s="40"/>
      <c r="O316" s="40"/>
      <c r="P316" s="40"/>
      <c r="Q316" s="40"/>
      <c r="R316" s="40"/>
      <c r="S316" s="40"/>
      <c r="T316" s="40"/>
      <c r="U316" s="40"/>
      <c r="V316" s="40"/>
      <c r="W316" s="40"/>
      <c r="X316" s="40"/>
      <c r="Y316" s="40"/>
      <c r="Z316" s="40"/>
      <c r="AA316" s="41"/>
      <c r="AB316" s="28"/>
      <c r="AC316" s="70"/>
      <c r="AD316" s="27" t="e">
        <f>""""&amp;#REF!&amp;""":""example"&amp;#REF!&amp;"""},"</f>
        <v>#REF!</v>
      </c>
    </row>
    <row r="317" spans="1:32" ht="18" customHeight="1">
      <c r="A317" s="26"/>
      <c r="C317" s="334">
        <v>5</v>
      </c>
      <c r="D317" s="334"/>
      <c r="E317" s="39" t="s">
        <v>366</v>
      </c>
      <c r="F317" s="31"/>
      <c r="G317" s="31"/>
      <c r="H317" s="31"/>
      <c r="I317" s="31"/>
      <c r="J317" s="31"/>
      <c r="K317" s="41"/>
      <c r="L317" s="39" t="s">
        <v>667</v>
      </c>
      <c r="M317" s="40"/>
      <c r="N317" s="40"/>
      <c r="O317" s="40"/>
      <c r="P317" s="40"/>
      <c r="Q317" s="40"/>
      <c r="R317" s="40"/>
      <c r="S317" s="40"/>
      <c r="T317" s="40"/>
      <c r="U317" s="40"/>
      <c r="V317" s="40"/>
      <c r="W317" s="40"/>
      <c r="X317" s="40"/>
      <c r="Y317" s="40"/>
      <c r="Z317" s="40"/>
      <c r="AA317" s="41"/>
      <c r="AB317" s="28"/>
      <c r="AC317" s="70"/>
      <c r="AD317" s="27" t="e">
        <f>""""&amp;#REF!&amp;""":""example"&amp;#REF!&amp;"""},"</f>
        <v>#REF!</v>
      </c>
    </row>
    <row r="318" spans="1:32" ht="18" customHeight="1">
      <c r="A318" s="26"/>
      <c r="C318" s="347">
        <v>6</v>
      </c>
      <c r="D318" s="349"/>
      <c r="E318" s="39" t="s">
        <v>260</v>
      </c>
      <c r="F318" s="76"/>
      <c r="G318" s="31"/>
      <c r="H318" s="31"/>
      <c r="I318" s="31"/>
      <c r="J318" s="31"/>
      <c r="K318" s="41"/>
      <c r="L318" s="39" t="s">
        <v>266</v>
      </c>
      <c r="M318" s="40"/>
      <c r="N318" s="40"/>
      <c r="O318" s="40"/>
      <c r="P318" s="40"/>
      <c r="Q318" s="40"/>
      <c r="R318" s="40"/>
      <c r="S318" s="40"/>
      <c r="T318" s="40"/>
      <c r="U318" s="40"/>
      <c r="V318" s="40"/>
      <c r="W318" s="40"/>
      <c r="X318" s="40"/>
      <c r="Y318" s="40"/>
      <c r="Z318" s="40"/>
      <c r="AA318" s="41"/>
      <c r="AB318" s="28"/>
      <c r="AC318" s="70"/>
      <c r="AD318" s="27" t="e">
        <f>""""&amp;#REF!&amp;""":""example"&amp;#REF!&amp;"""},"</f>
        <v>#REF!</v>
      </c>
    </row>
    <row r="319" spans="1:32" ht="18" customHeight="1">
      <c r="A319" s="26"/>
      <c r="C319" s="334">
        <v>7</v>
      </c>
      <c r="D319" s="334"/>
      <c r="E319" s="27" t="s">
        <v>261</v>
      </c>
      <c r="F319" s="76"/>
      <c r="G319" s="31"/>
      <c r="H319" s="31"/>
      <c r="I319" s="31"/>
      <c r="J319" s="31"/>
      <c r="K319" s="41"/>
      <c r="L319" s="39" t="s">
        <v>266</v>
      </c>
      <c r="M319" s="40"/>
      <c r="N319" s="40"/>
      <c r="O319" s="40"/>
      <c r="P319" s="40"/>
      <c r="Q319" s="40"/>
      <c r="R319" s="40"/>
      <c r="S319" s="40"/>
      <c r="T319" s="40"/>
      <c r="U319" s="40"/>
      <c r="V319" s="40"/>
      <c r="W319" s="40"/>
      <c r="X319" s="40"/>
      <c r="Y319" s="40"/>
      <c r="Z319" s="40"/>
      <c r="AA319" s="41"/>
      <c r="AB319" s="28"/>
      <c r="AC319" s="70"/>
    </row>
    <row r="320" spans="1:32" ht="18" customHeight="1">
      <c r="A320" s="26"/>
      <c r="C320" s="347">
        <v>8</v>
      </c>
      <c r="D320" s="349"/>
      <c r="E320" s="39" t="s">
        <v>262</v>
      </c>
      <c r="F320" s="31"/>
      <c r="G320" s="31"/>
      <c r="H320" s="31"/>
      <c r="I320" s="31"/>
      <c r="J320" s="31"/>
      <c r="K320" s="41"/>
      <c r="L320" s="39" t="s">
        <v>266</v>
      </c>
      <c r="M320" s="40"/>
      <c r="N320" s="40"/>
      <c r="O320" s="40"/>
      <c r="P320" s="40"/>
      <c r="Q320" s="40"/>
      <c r="R320" s="40"/>
      <c r="S320" s="40"/>
      <c r="T320" s="40"/>
      <c r="U320" s="40"/>
      <c r="V320" s="40"/>
      <c r="W320" s="40"/>
      <c r="X320" s="40"/>
      <c r="Y320" s="40"/>
      <c r="Z320" s="40"/>
      <c r="AA320" s="41"/>
      <c r="AB320" s="28"/>
      <c r="AC320" s="70"/>
    </row>
    <row r="321" spans="1:32" ht="18" customHeight="1">
      <c r="A321" s="26"/>
      <c r="C321" s="334">
        <v>9</v>
      </c>
      <c r="D321" s="334"/>
      <c r="E321" s="27" t="s">
        <v>263</v>
      </c>
      <c r="F321" s="31"/>
      <c r="G321" s="31"/>
      <c r="H321" s="31"/>
      <c r="I321" s="31"/>
      <c r="J321" s="31"/>
      <c r="K321" s="41"/>
      <c r="L321" s="39" t="s">
        <v>266</v>
      </c>
      <c r="M321" s="40"/>
      <c r="N321" s="40"/>
      <c r="O321" s="40"/>
      <c r="P321" s="40"/>
      <c r="Q321" s="40"/>
      <c r="R321" s="40"/>
      <c r="S321" s="40"/>
      <c r="T321" s="40"/>
      <c r="U321" s="40"/>
      <c r="V321" s="40"/>
      <c r="W321" s="40"/>
      <c r="X321" s="40"/>
      <c r="Y321" s="40"/>
      <c r="Z321" s="40"/>
      <c r="AA321" s="41"/>
      <c r="AB321" s="28"/>
      <c r="AC321" s="70"/>
    </row>
    <row r="322" spans="1:32" ht="18" customHeight="1">
      <c r="A322" s="26"/>
      <c r="C322" s="347">
        <v>10</v>
      </c>
      <c r="D322" s="349"/>
      <c r="E322" s="58" t="s">
        <v>368</v>
      </c>
      <c r="F322" s="31"/>
      <c r="G322" s="31"/>
      <c r="H322" s="31"/>
      <c r="I322" s="31"/>
      <c r="J322" s="31"/>
      <c r="K322" s="41"/>
      <c r="L322" s="39" t="s">
        <v>266</v>
      </c>
      <c r="M322" s="40"/>
      <c r="N322" s="40"/>
      <c r="O322" s="40"/>
      <c r="P322" s="40"/>
      <c r="Q322" s="40"/>
      <c r="R322" s="40"/>
      <c r="S322" s="40"/>
      <c r="T322" s="40"/>
      <c r="U322" s="40"/>
      <c r="V322" s="40"/>
      <c r="W322" s="40"/>
      <c r="X322" s="40"/>
      <c r="Y322" s="40"/>
      <c r="Z322" s="40"/>
      <c r="AA322" s="41"/>
      <c r="AB322" s="28"/>
      <c r="AC322" s="70"/>
    </row>
    <row r="323" spans="1:32" ht="18" customHeight="1">
      <c r="A323" s="26"/>
      <c r="C323" s="334">
        <v>11</v>
      </c>
      <c r="D323" s="334"/>
      <c r="E323" s="39" t="s">
        <v>369</v>
      </c>
      <c r="F323" s="31"/>
      <c r="G323" s="31"/>
      <c r="H323" s="31"/>
      <c r="I323" s="31"/>
      <c r="J323" s="31"/>
      <c r="K323" s="41"/>
      <c r="L323" s="39" t="s">
        <v>266</v>
      </c>
      <c r="M323" s="40"/>
      <c r="N323" s="40"/>
      <c r="O323" s="40"/>
      <c r="P323" s="40"/>
      <c r="Q323" s="40"/>
      <c r="R323" s="40"/>
      <c r="S323" s="40"/>
      <c r="T323" s="40"/>
      <c r="U323" s="40"/>
      <c r="V323" s="40"/>
      <c r="W323" s="40"/>
      <c r="X323" s="40"/>
      <c r="Y323" s="40"/>
      <c r="Z323" s="40"/>
      <c r="AA323" s="41"/>
      <c r="AB323" s="28"/>
      <c r="AC323" s="70"/>
    </row>
    <row r="324" spans="1:32" ht="18" customHeight="1">
      <c r="A324" s="26"/>
      <c r="C324" s="347">
        <v>12</v>
      </c>
      <c r="D324" s="349"/>
      <c r="E324" s="58" t="s">
        <v>264</v>
      </c>
      <c r="F324" s="31"/>
      <c r="G324" s="31"/>
      <c r="H324" s="31"/>
      <c r="I324" s="31"/>
      <c r="J324" s="31"/>
      <c r="K324" s="41"/>
      <c r="L324" s="39" t="s">
        <v>266</v>
      </c>
      <c r="M324" s="40"/>
      <c r="N324" s="40"/>
      <c r="O324" s="40"/>
      <c r="P324" s="40"/>
      <c r="Q324" s="40"/>
      <c r="R324" s="40"/>
      <c r="S324" s="40"/>
      <c r="T324" s="40"/>
      <c r="U324" s="40"/>
      <c r="V324" s="40"/>
      <c r="W324" s="40"/>
      <c r="X324" s="40"/>
      <c r="Y324" s="40"/>
      <c r="Z324" s="40"/>
      <c r="AA324" s="41"/>
      <c r="AB324" s="28"/>
      <c r="AC324" s="70"/>
    </row>
    <row r="325" spans="1:32" ht="18" customHeight="1">
      <c r="A325" s="26"/>
      <c r="C325" s="334">
        <v>13</v>
      </c>
      <c r="D325" s="334"/>
      <c r="E325" s="39" t="s">
        <v>371</v>
      </c>
      <c r="F325" s="31"/>
      <c r="G325" s="31"/>
      <c r="H325" s="31"/>
      <c r="I325" s="31"/>
      <c r="J325" s="31"/>
      <c r="K325" s="41"/>
      <c r="L325" s="39" t="s">
        <v>424</v>
      </c>
      <c r="M325" s="40"/>
      <c r="N325" s="40"/>
      <c r="O325" s="40"/>
      <c r="P325" s="40"/>
      <c r="Q325" s="40"/>
      <c r="R325" s="40"/>
      <c r="S325" s="40"/>
      <c r="T325" s="40"/>
      <c r="U325" s="40"/>
      <c r="V325" s="40"/>
      <c r="W325" s="40"/>
      <c r="X325" s="40"/>
      <c r="Y325" s="40"/>
      <c r="Z325" s="40"/>
      <c r="AA325" s="41"/>
      <c r="AB325" s="28"/>
      <c r="AC325" s="70"/>
      <c r="AD325" s="27" t="e">
        <f>""""&amp;#REF!&amp;""":""example"&amp;#REF!&amp;"""},"</f>
        <v>#REF!</v>
      </c>
    </row>
    <row r="326" spans="1:32" ht="18" customHeight="1">
      <c r="A326" s="26"/>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28"/>
      <c r="AD326" s="27" t="e">
        <f>""""&amp;#REF!&amp;""":""example"&amp;#REF!&amp;"""},"</f>
        <v>#REF!</v>
      </c>
    </row>
    <row r="327" spans="1:32" ht="18" customHeight="1">
      <c r="A327" s="26"/>
      <c r="B327" s="418" t="s">
        <v>743</v>
      </c>
      <c r="C327" s="418"/>
      <c r="D327" s="418"/>
      <c r="E327" s="418"/>
      <c r="F327" s="418"/>
      <c r="G327" s="418"/>
      <c r="H327" s="418"/>
      <c r="I327" s="418"/>
      <c r="J327" s="418"/>
      <c r="K327" s="418"/>
      <c r="L327" s="418"/>
      <c r="M327" s="418"/>
      <c r="N327" s="418"/>
      <c r="O327" s="418"/>
      <c r="P327" s="418"/>
      <c r="Q327" s="418"/>
      <c r="R327" s="418"/>
      <c r="S327" s="418"/>
      <c r="T327" s="418"/>
      <c r="U327" s="418"/>
      <c r="V327" s="418"/>
      <c r="W327" s="418"/>
      <c r="X327" s="418"/>
      <c r="Y327" s="418"/>
      <c r="Z327" s="418"/>
      <c r="AA327" s="418"/>
      <c r="AB327" s="75"/>
      <c r="AC327" s="70" t="s">
        <v>655</v>
      </c>
    </row>
    <row r="328" spans="1:32" ht="18" customHeight="1">
      <c r="A328" s="26"/>
      <c r="B328" s="418"/>
      <c r="C328" s="418"/>
      <c r="D328" s="418"/>
      <c r="E328" s="418"/>
      <c r="F328" s="418"/>
      <c r="G328" s="418"/>
      <c r="H328" s="418"/>
      <c r="I328" s="418"/>
      <c r="J328" s="418"/>
      <c r="K328" s="418"/>
      <c r="L328" s="418"/>
      <c r="M328" s="418"/>
      <c r="N328" s="418"/>
      <c r="O328" s="418"/>
      <c r="P328" s="418"/>
      <c r="Q328" s="418"/>
      <c r="R328" s="418"/>
      <c r="S328" s="418"/>
      <c r="T328" s="418"/>
      <c r="U328" s="418"/>
      <c r="V328" s="418"/>
      <c r="W328" s="418"/>
      <c r="X328" s="418"/>
      <c r="Y328" s="418"/>
      <c r="Z328" s="418"/>
      <c r="AA328" s="418"/>
      <c r="AB328" s="75"/>
      <c r="AC328" s="70"/>
    </row>
    <row r="329" spans="1:32" ht="18" customHeight="1">
      <c r="B329" s="74"/>
      <c r="C329" s="46" t="s">
        <v>741</v>
      </c>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5"/>
      <c r="AC329" s="70"/>
    </row>
    <row r="330" spans="1:32" customFormat="1" ht="18" customHeight="1">
      <c r="A330" s="27"/>
      <c r="B330" s="35"/>
      <c r="C330" s="337" t="s">
        <v>653</v>
      </c>
      <c r="D330" s="337"/>
      <c r="E330" s="337"/>
      <c r="F330" s="337"/>
      <c r="G330" s="333" t="s">
        <v>656</v>
      </c>
      <c r="H330" s="333"/>
      <c r="I330" s="333"/>
      <c r="J330" s="333"/>
      <c r="K330" s="333"/>
      <c r="L330" s="333"/>
      <c r="M330" s="333"/>
      <c r="N330" s="333"/>
      <c r="O330" s="333"/>
      <c r="P330" s="333"/>
      <c r="Q330" s="333"/>
      <c r="R330" s="333"/>
      <c r="S330" s="333"/>
      <c r="T330" s="333"/>
      <c r="U330" s="333"/>
      <c r="V330" s="333"/>
      <c r="W330" s="333"/>
      <c r="X330" s="333"/>
      <c r="Y330" s="333"/>
      <c r="Z330" s="333"/>
      <c r="AA330" s="333"/>
      <c r="AB330" s="28"/>
      <c r="AC330" s="70"/>
      <c r="AE330" s="112"/>
    </row>
    <row r="331" spans="1:32" ht="18" customHeight="1">
      <c r="A331" s="26"/>
      <c r="C331" s="337" t="s">
        <v>417</v>
      </c>
      <c r="D331" s="337"/>
      <c r="E331" s="337"/>
      <c r="F331" s="337"/>
      <c r="G331" s="333" t="s">
        <v>428</v>
      </c>
      <c r="H331" s="333"/>
      <c r="I331" s="333"/>
      <c r="J331" s="333"/>
      <c r="K331" s="333"/>
      <c r="L331" s="333"/>
      <c r="M331" s="333"/>
      <c r="N331" s="333"/>
      <c r="O331" s="333"/>
      <c r="P331" s="333"/>
      <c r="Q331" s="333"/>
      <c r="R331" s="333"/>
      <c r="S331" s="333"/>
      <c r="T331" s="333"/>
      <c r="U331" s="333"/>
      <c r="V331" s="333"/>
      <c r="W331" s="333"/>
      <c r="X331" s="333"/>
      <c r="Y331" s="333"/>
      <c r="Z331" s="333"/>
      <c r="AA331" s="333"/>
      <c r="AB331" s="28"/>
      <c r="AC331" s="70"/>
      <c r="AD331" s="67"/>
      <c r="AF331" s="27"/>
    </row>
    <row r="332" spans="1:32" ht="18" customHeight="1">
      <c r="A332" s="26"/>
      <c r="C332" s="337" t="s">
        <v>7</v>
      </c>
      <c r="D332" s="337"/>
      <c r="E332" s="343" t="s">
        <v>9</v>
      </c>
      <c r="F332" s="344"/>
      <c r="G332" s="344"/>
      <c r="H332" s="344"/>
      <c r="I332" s="344"/>
      <c r="J332" s="344"/>
      <c r="K332" s="345"/>
      <c r="L332" s="343" t="s">
        <v>18</v>
      </c>
      <c r="M332" s="344"/>
      <c r="N332" s="344"/>
      <c r="O332" s="344"/>
      <c r="P332" s="344"/>
      <c r="Q332" s="344"/>
      <c r="R332" s="344"/>
      <c r="S332" s="344"/>
      <c r="T332" s="344"/>
      <c r="U332" s="344"/>
      <c r="V332" s="344"/>
      <c r="W332" s="344"/>
      <c r="X332" s="344"/>
      <c r="Y332" s="344"/>
      <c r="Z332" s="344"/>
      <c r="AA332" s="345"/>
      <c r="AB332" s="28"/>
      <c r="AC332" s="70"/>
      <c r="AD332" s="27" t="e">
        <f>""""&amp;#REF!&amp;""":""example"&amp;#REF!&amp;"""},"</f>
        <v>#REF!</v>
      </c>
    </row>
    <row r="333" spans="1:32" ht="36" customHeight="1">
      <c r="A333" s="26"/>
      <c r="C333" s="334">
        <v>1</v>
      </c>
      <c r="D333" s="334"/>
      <c r="E333" s="39" t="s">
        <v>268</v>
      </c>
      <c r="F333" s="31"/>
      <c r="G333" s="31"/>
      <c r="H333" s="31"/>
      <c r="I333" s="31"/>
      <c r="J333" s="31"/>
      <c r="K333" s="41"/>
      <c r="L333" s="361" t="s">
        <v>744</v>
      </c>
      <c r="M333" s="416"/>
      <c r="N333" s="416"/>
      <c r="O333" s="416"/>
      <c r="P333" s="416"/>
      <c r="Q333" s="416"/>
      <c r="R333" s="416"/>
      <c r="S333" s="416"/>
      <c r="T333" s="416"/>
      <c r="U333" s="416"/>
      <c r="V333" s="416"/>
      <c r="W333" s="416"/>
      <c r="X333" s="416"/>
      <c r="Y333" s="416"/>
      <c r="Z333" s="416"/>
      <c r="AA333" s="417"/>
      <c r="AB333" s="28"/>
      <c r="AC333" s="70"/>
      <c r="AD333" s="27" t="e">
        <f>""""&amp;#REF!&amp;""":""example"&amp;#REF!&amp;"""},"</f>
        <v>#REF!</v>
      </c>
    </row>
    <row r="334" spans="1:32" ht="18" customHeight="1">
      <c r="A334" s="26"/>
      <c r="C334" s="336">
        <v>2</v>
      </c>
      <c r="D334" s="336"/>
      <c r="E334" s="115" t="s">
        <v>134</v>
      </c>
      <c r="F334" s="119"/>
      <c r="G334" s="119"/>
      <c r="H334" s="119"/>
      <c r="I334" s="119"/>
      <c r="J334" s="119"/>
      <c r="K334" s="116"/>
      <c r="L334" s="115" t="s">
        <v>873</v>
      </c>
      <c r="M334" s="114"/>
      <c r="N334" s="114"/>
      <c r="O334" s="114"/>
      <c r="P334" s="114"/>
      <c r="Q334" s="114"/>
      <c r="R334" s="114"/>
      <c r="S334" s="114"/>
      <c r="T334" s="114"/>
      <c r="U334" s="114"/>
      <c r="V334" s="114"/>
      <c r="W334" s="114"/>
      <c r="X334" s="114"/>
      <c r="Y334" s="114"/>
      <c r="Z334" s="114"/>
      <c r="AA334" s="116"/>
      <c r="AB334" s="28"/>
      <c r="AC334" s="70"/>
      <c r="AE334" s="111" t="s">
        <v>875</v>
      </c>
    </row>
    <row r="335" spans="1:32" ht="18" customHeight="1">
      <c r="A335" s="26"/>
      <c r="C335" s="334">
        <v>3</v>
      </c>
      <c r="D335" s="334"/>
      <c r="E335" s="39" t="s">
        <v>55</v>
      </c>
      <c r="F335" s="56"/>
      <c r="G335" s="31"/>
      <c r="H335" s="31"/>
      <c r="I335" s="31"/>
      <c r="J335" s="31"/>
      <c r="K335" s="41"/>
      <c r="L335" s="39" t="s">
        <v>665</v>
      </c>
      <c r="M335" s="40"/>
      <c r="N335" s="40"/>
      <c r="O335" s="40"/>
      <c r="P335" s="40"/>
      <c r="Q335" s="40"/>
      <c r="R335" s="40"/>
      <c r="S335" s="40"/>
      <c r="T335" s="40"/>
      <c r="U335" s="40"/>
      <c r="V335" s="40"/>
      <c r="W335" s="40"/>
      <c r="X335" s="40"/>
      <c r="Y335" s="40"/>
      <c r="Z335" s="40"/>
      <c r="AA335" s="41"/>
      <c r="AB335" s="28"/>
      <c r="AC335" s="70"/>
    </row>
    <row r="336" spans="1:32" ht="18" customHeight="1">
      <c r="A336" s="26"/>
      <c r="C336" s="334">
        <v>4</v>
      </c>
      <c r="D336" s="334"/>
      <c r="E336" s="39" t="s">
        <v>367</v>
      </c>
      <c r="F336" s="31"/>
      <c r="G336" s="31"/>
      <c r="H336" s="31"/>
      <c r="I336" s="31"/>
      <c r="J336" s="31"/>
      <c r="K336" s="41"/>
      <c r="L336" s="39" t="s">
        <v>668</v>
      </c>
      <c r="M336" s="40"/>
      <c r="N336" s="40"/>
      <c r="O336" s="40"/>
      <c r="P336" s="40"/>
      <c r="Q336" s="40"/>
      <c r="R336" s="40"/>
      <c r="S336" s="40"/>
      <c r="T336" s="40"/>
      <c r="U336" s="40"/>
      <c r="V336" s="40"/>
      <c r="W336" s="40"/>
      <c r="X336" s="40"/>
      <c r="Y336" s="40"/>
      <c r="Z336" s="40"/>
      <c r="AA336" s="41"/>
      <c r="AB336" s="28"/>
      <c r="AC336" s="70"/>
    </row>
    <row r="337" spans="1:32" ht="18" customHeight="1">
      <c r="A337" s="26"/>
      <c r="C337" s="334">
        <v>5</v>
      </c>
      <c r="D337" s="334"/>
      <c r="E337" s="39" t="s">
        <v>366</v>
      </c>
      <c r="F337" s="31"/>
      <c r="G337" s="31"/>
      <c r="H337" s="31"/>
      <c r="I337" s="31"/>
      <c r="J337" s="31"/>
      <c r="K337" s="41"/>
      <c r="L337" s="39" t="s">
        <v>666</v>
      </c>
      <c r="M337" s="40"/>
      <c r="N337" s="40"/>
      <c r="O337" s="40"/>
      <c r="P337" s="40"/>
      <c r="Q337" s="40"/>
      <c r="R337" s="40"/>
      <c r="S337" s="40"/>
      <c r="T337" s="40"/>
      <c r="U337" s="40"/>
      <c r="V337" s="40"/>
      <c r="W337" s="40"/>
      <c r="X337" s="40"/>
      <c r="Y337" s="40"/>
      <c r="Z337" s="40"/>
      <c r="AA337" s="41"/>
      <c r="AB337" s="28"/>
      <c r="AC337" s="70"/>
    </row>
    <row r="338" spans="1:32" ht="18" customHeight="1">
      <c r="A338" s="26"/>
      <c r="C338" s="334">
        <v>6</v>
      </c>
      <c r="D338" s="334"/>
      <c r="E338" s="39" t="s">
        <v>269</v>
      </c>
      <c r="F338" s="56"/>
      <c r="G338" s="31"/>
      <c r="H338" s="31"/>
      <c r="I338" s="31"/>
      <c r="J338" s="31"/>
      <c r="K338" s="41"/>
      <c r="L338" s="39" t="s">
        <v>266</v>
      </c>
      <c r="M338" s="40"/>
      <c r="N338" s="40"/>
      <c r="O338" s="40"/>
      <c r="P338" s="40"/>
      <c r="Q338" s="40"/>
      <c r="R338" s="40"/>
      <c r="S338" s="40"/>
      <c r="T338" s="40"/>
      <c r="U338" s="40"/>
      <c r="V338" s="40"/>
      <c r="W338" s="40"/>
      <c r="X338" s="40"/>
      <c r="Y338" s="40"/>
      <c r="Z338" s="40"/>
      <c r="AA338" s="41"/>
      <c r="AB338" s="28"/>
      <c r="AC338" s="70"/>
    </row>
    <row r="339" spans="1:32" ht="18" customHeight="1">
      <c r="A339" s="26"/>
      <c r="C339" s="334">
        <v>7</v>
      </c>
      <c r="D339" s="334"/>
      <c r="E339" s="39" t="s">
        <v>270</v>
      </c>
      <c r="F339" s="56"/>
      <c r="G339" s="31"/>
      <c r="H339" s="31"/>
      <c r="I339" s="31"/>
      <c r="J339" s="31"/>
      <c r="K339" s="41"/>
      <c r="L339" s="39" t="s">
        <v>266</v>
      </c>
      <c r="M339" s="40"/>
      <c r="N339" s="40"/>
      <c r="O339" s="40"/>
      <c r="P339" s="40"/>
      <c r="Q339" s="40"/>
      <c r="R339" s="40"/>
      <c r="S339" s="40"/>
      <c r="T339" s="40"/>
      <c r="U339" s="40"/>
      <c r="V339" s="40"/>
      <c r="W339" s="40"/>
      <c r="X339" s="40"/>
      <c r="Y339" s="40"/>
      <c r="Z339" s="40"/>
      <c r="AA339" s="41"/>
      <c r="AB339" s="28"/>
      <c r="AC339" s="70"/>
      <c r="AD339" s="27" t="e">
        <f>""""&amp;#REF!&amp;""":""example"&amp;#REF!&amp;"""},"</f>
        <v>#REF!</v>
      </c>
    </row>
    <row r="340" spans="1:32" ht="18" customHeight="1">
      <c r="A340" s="26"/>
      <c r="C340" s="334">
        <v>8</v>
      </c>
      <c r="D340" s="334"/>
      <c r="E340" s="39" t="s">
        <v>271</v>
      </c>
      <c r="F340" s="31"/>
      <c r="G340" s="31"/>
      <c r="H340" s="31"/>
      <c r="I340" s="31"/>
      <c r="J340" s="31"/>
      <c r="K340" s="41"/>
      <c r="L340" s="39" t="s">
        <v>266</v>
      </c>
      <c r="M340" s="40"/>
      <c r="N340" s="40"/>
      <c r="O340" s="40"/>
      <c r="P340" s="40"/>
      <c r="Q340" s="40"/>
      <c r="R340" s="40"/>
      <c r="S340" s="40"/>
      <c r="T340" s="40"/>
      <c r="U340" s="40"/>
      <c r="V340" s="40"/>
      <c r="W340" s="40"/>
      <c r="X340" s="40"/>
      <c r="Y340" s="40"/>
      <c r="Z340" s="40"/>
      <c r="AA340" s="41"/>
      <c r="AB340" s="28"/>
      <c r="AC340" s="70"/>
      <c r="AD340" s="27" t="e">
        <f>""""&amp;#REF!&amp;""":""example"&amp;#REF!&amp;"""},"</f>
        <v>#REF!</v>
      </c>
    </row>
    <row r="341" spans="1:32" ht="18" customHeight="1">
      <c r="A341" s="26"/>
      <c r="C341" s="334">
        <v>9</v>
      </c>
      <c r="D341" s="334"/>
      <c r="E341" s="39" t="s">
        <v>272</v>
      </c>
      <c r="F341" s="31"/>
      <c r="G341" s="31"/>
      <c r="H341" s="31"/>
      <c r="I341" s="31"/>
      <c r="J341" s="31"/>
      <c r="K341" s="41"/>
      <c r="L341" s="39" t="s">
        <v>266</v>
      </c>
      <c r="M341" s="40"/>
      <c r="N341" s="40"/>
      <c r="O341" s="40"/>
      <c r="P341" s="40"/>
      <c r="Q341" s="40"/>
      <c r="R341" s="40"/>
      <c r="S341" s="40"/>
      <c r="T341" s="40"/>
      <c r="U341" s="40"/>
      <c r="V341" s="40"/>
      <c r="W341" s="40"/>
      <c r="X341" s="40"/>
      <c r="Y341" s="40"/>
      <c r="Z341" s="40"/>
      <c r="AA341" s="41"/>
      <c r="AB341" s="28"/>
      <c r="AC341" s="70"/>
      <c r="AD341" s="27" t="e">
        <f>""""&amp;#REF!&amp;""":""example"&amp;#REF!&amp;"""},"</f>
        <v>#REF!</v>
      </c>
    </row>
    <row r="342" spans="1:32" ht="18" customHeight="1">
      <c r="A342" s="26"/>
      <c r="C342" s="334">
        <v>10</v>
      </c>
      <c r="D342" s="334"/>
      <c r="E342" s="39" t="s">
        <v>368</v>
      </c>
      <c r="F342" s="31"/>
      <c r="G342" s="31"/>
      <c r="H342" s="31"/>
      <c r="I342" s="31"/>
      <c r="J342" s="31"/>
      <c r="K342" s="41"/>
      <c r="L342" s="39" t="s">
        <v>266</v>
      </c>
      <c r="M342" s="40"/>
      <c r="N342" s="40"/>
      <c r="O342" s="40"/>
      <c r="P342" s="40"/>
      <c r="Q342" s="40"/>
      <c r="R342" s="40"/>
      <c r="S342" s="40"/>
      <c r="T342" s="40"/>
      <c r="U342" s="40"/>
      <c r="V342" s="40"/>
      <c r="W342" s="40"/>
      <c r="X342" s="40"/>
      <c r="Y342" s="40"/>
      <c r="Z342" s="40"/>
      <c r="AA342" s="41"/>
      <c r="AB342" s="28"/>
      <c r="AC342" s="70"/>
      <c r="AD342" s="27" t="e">
        <f>""""&amp;#REF!&amp;""":""example"&amp;#REF!&amp;"""},"</f>
        <v>#REF!</v>
      </c>
    </row>
    <row r="343" spans="1:32" ht="18" customHeight="1">
      <c r="A343" s="26"/>
      <c r="C343" s="334">
        <v>11</v>
      </c>
      <c r="D343" s="334"/>
      <c r="E343" s="39" t="s">
        <v>369</v>
      </c>
      <c r="F343" s="31"/>
      <c r="G343" s="31"/>
      <c r="H343" s="31"/>
      <c r="I343" s="31"/>
      <c r="J343" s="31"/>
      <c r="K343" s="41"/>
      <c r="L343" s="39" t="s">
        <v>266</v>
      </c>
      <c r="M343" s="40"/>
      <c r="N343" s="40"/>
      <c r="O343" s="40"/>
      <c r="P343" s="40"/>
      <c r="Q343" s="40"/>
      <c r="R343" s="40"/>
      <c r="S343" s="40"/>
      <c r="T343" s="40"/>
      <c r="U343" s="40"/>
      <c r="V343" s="40"/>
      <c r="W343" s="40"/>
      <c r="X343" s="40"/>
      <c r="Y343" s="40"/>
      <c r="Z343" s="40"/>
      <c r="AA343" s="41"/>
      <c r="AB343" s="28"/>
      <c r="AC343" s="70"/>
      <c r="AD343" s="27" t="e">
        <f>""""&amp;#REF!&amp;""":""example"&amp;#REF!&amp;"""},"</f>
        <v>#REF!</v>
      </c>
    </row>
    <row r="344" spans="1:32" ht="18" customHeight="1">
      <c r="A344" s="26"/>
      <c r="C344" s="334">
        <v>12</v>
      </c>
      <c r="D344" s="334"/>
      <c r="E344" s="39" t="s">
        <v>264</v>
      </c>
      <c r="F344" s="31"/>
      <c r="G344" s="31"/>
      <c r="H344" s="31"/>
      <c r="I344" s="31"/>
      <c r="J344" s="31"/>
      <c r="K344" s="41"/>
      <c r="L344" s="39" t="s">
        <v>266</v>
      </c>
      <c r="M344" s="40"/>
      <c r="N344" s="40"/>
      <c r="O344" s="40"/>
      <c r="P344" s="40"/>
      <c r="Q344" s="40"/>
      <c r="R344" s="40"/>
      <c r="S344" s="40"/>
      <c r="T344" s="40"/>
      <c r="U344" s="40"/>
      <c r="V344" s="40"/>
      <c r="W344" s="40"/>
      <c r="X344" s="40"/>
      <c r="Y344" s="40"/>
      <c r="Z344" s="40"/>
      <c r="AA344" s="41"/>
      <c r="AB344" s="28"/>
      <c r="AC344" s="70"/>
    </row>
    <row r="345" spans="1:32" ht="18" customHeight="1">
      <c r="A345" s="26"/>
      <c r="C345" s="334">
        <v>13</v>
      </c>
      <c r="D345" s="334"/>
      <c r="E345" s="39" t="s">
        <v>370</v>
      </c>
      <c r="F345" s="31"/>
      <c r="G345" s="31"/>
      <c r="H345" s="31"/>
      <c r="I345" s="31"/>
      <c r="J345" s="31"/>
      <c r="K345" s="41"/>
      <c r="L345" s="39" t="s">
        <v>424</v>
      </c>
      <c r="M345" s="40"/>
      <c r="N345" s="40"/>
      <c r="O345" s="40"/>
      <c r="P345" s="40"/>
      <c r="Q345" s="40"/>
      <c r="R345" s="40"/>
      <c r="S345" s="40"/>
      <c r="T345" s="40"/>
      <c r="U345" s="40"/>
      <c r="V345" s="40"/>
      <c r="W345" s="40"/>
      <c r="X345" s="40"/>
      <c r="Y345" s="40"/>
      <c r="Z345" s="40"/>
      <c r="AA345" s="41"/>
      <c r="AB345" s="28"/>
      <c r="AC345" s="70"/>
    </row>
    <row r="346" spans="1:32" ht="18" customHeight="1">
      <c r="A346" s="26"/>
      <c r="C346" s="38"/>
      <c r="D346" s="38"/>
      <c r="F346" s="46"/>
      <c r="G346" s="46"/>
      <c r="H346" s="46"/>
      <c r="I346" s="46"/>
      <c r="J346" s="38"/>
      <c r="K346" s="38"/>
      <c r="AB346" s="28"/>
      <c r="AC346" s="70"/>
    </row>
    <row r="347" spans="1:32" ht="18" customHeight="1">
      <c r="A347" s="26"/>
      <c r="C347" s="80" t="s">
        <v>669</v>
      </c>
      <c r="D347" s="78"/>
      <c r="E347" s="79"/>
      <c r="F347" s="77"/>
      <c r="G347" s="77"/>
      <c r="H347" s="77"/>
      <c r="I347" s="77"/>
      <c r="J347" s="78"/>
      <c r="K347" s="78"/>
      <c r="L347" s="79"/>
      <c r="M347" s="79"/>
      <c r="N347" s="79"/>
      <c r="O347" s="79"/>
      <c r="P347" s="79"/>
      <c r="Q347" s="79"/>
      <c r="R347" s="79"/>
      <c r="S347" s="79"/>
      <c r="T347" s="79"/>
      <c r="U347" s="79"/>
      <c r="V347" s="79"/>
      <c r="W347" s="79"/>
      <c r="X347" s="79"/>
      <c r="Y347" s="79"/>
      <c r="Z347" s="79"/>
      <c r="AA347" s="79"/>
      <c r="AB347" s="28"/>
      <c r="AC347" s="70" t="s">
        <v>745</v>
      </c>
    </row>
    <row r="348" spans="1:32" ht="18" customHeight="1">
      <c r="A348" s="26"/>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28"/>
    </row>
    <row r="349" spans="1:32" ht="18" customHeight="1">
      <c r="A349" s="26"/>
      <c r="B349" s="27" t="s">
        <v>836</v>
      </c>
      <c r="C349" s="53"/>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28"/>
    </row>
    <row r="350" spans="1:32" ht="18" customHeight="1">
      <c r="A350" s="26"/>
      <c r="C350" s="55" t="s">
        <v>871</v>
      </c>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28"/>
    </row>
    <row r="351" spans="1:32" customFormat="1" ht="18" customHeight="1">
      <c r="A351" s="27"/>
      <c r="B351" s="35"/>
      <c r="C351" s="337" t="s">
        <v>653</v>
      </c>
      <c r="D351" s="337"/>
      <c r="E351" s="337"/>
      <c r="F351" s="337"/>
      <c r="G351" s="47" t="s">
        <v>656</v>
      </c>
      <c r="H351" s="40"/>
      <c r="I351" s="40"/>
      <c r="J351" s="40"/>
      <c r="K351" s="40"/>
      <c r="L351" s="40"/>
      <c r="M351" s="40"/>
      <c r="N351" s="40"/>
      <c r="O351" s="40"/>
      <c r="P351" s="40"/>
      <c r="Q351" s="40"/>
      <c r="R351" s="40"/>
      <c r="S351" s="40"/>
      <c r="T351" s="40"/>
      <c r="U351" s="40"/>
      <c r="V351" s="40"/>
      <c r="W351" s="40"/>
      <c r="X351" s="40"/>
      <c r="Y351" s="40"/>
      <c r="Z351" s="40"/>
      <c r="AA351" s="41"/>
      <c r="AB351" s="28"/>
      <c r="AC351" s="111" t="s">
        <v>876</v>
      </c>
      <c r="AE351" s="112"/>
    </row>
    <row r="352" spans="1:32" ht="18" customHeight="1">
      <c r="A352" s="26"/>
      <c r="C352" s="337" t="s">
        <v>417</v>
      </c>
      <c r="D352" s="337"/>
      <c r="E352" s="337"/>
      <c r="F352" s="337"/>
      <c r="G352" s="47" t="s">
        <v>429</v>
      </c>
      <c r="H352" s="40"/>
      <c r="I352" s="40"/>
      <c r="J352" s="40"/>
      <c r="K352" s="40"/>
      <c r="L352" s="40"/>
      <c r="M352" s="40"/>
      <c r="N352" s="40"/>
      <c r="O352" s="40"/>
      <c r="P352" s="40"/>
      <c r="Q352" s="40"/>
      <c r="R352" s="40"/>
      <c r="S352" s="40"/>
      <c r="T352" s="40"/>
      <c r="U352" s="40"/>
      <c r="V352" s="40"/>
      <c r="W352" s="40"/>
      <c r="X352" s="40"/>
      <c r="Y352" s="40"/>
      <c r="Z352" s="40"/>
      <c r="AA352" s="41"/>
      <c r="AB352" s="28"/>
      <c r="AC352" s="111"/>
      <c r="AD352" s="67"/>
      <c r="AF352" s="27"/>
    </row>
    <row r="353" spans="1:30" ht="18" customHeight="1">
      <c r="A353" s="26"/>
      <c r="C353" s="337" t="s">
        <v>7</v>
      </c>
      <c r="D353" s="337"/>
      <c r="E353" s="343" t="s">
        <v>9</v>
      </c>
      <c r="F353" s="344"/>
      <c r="G353" s="344"/>
      <c r="H353" s="344"/>
      <c r="I353" s="344"/>
      <c r="J353" s="344"/>
      <c r="K353" s="345"/>
      <c r="L353" s="343" t="s">
        <v>18</v>
      </c>
      <c r="M353" s="344"/>
      <c r="N353" s="344"/>
      <c r="O353" s="344"/>
      <c r="P353" s="344"/>
      <c r="Q353" s="344"/>
      <c r="R353" s="344"/>
      <c r="S353" s="344"/>
      <c r="T353" s="344"/>
      <c r="U353" s="344"/>
      <c r="V353" s="344"/>
      <c r="W353" s="344"/>
      <c r="X353" s="344"/>
      <c r="Y353" s="344"/>
      <c r="Z353" s="344"/>
      <c r="AA353" s="345"/>
      <c r="AB353" s="28"/>
      <c r="AC353" s="111"/>
      <c r="AD353" s="27" t="e">
        <f>""""&amp;#REF!&amp;""":""example"&amp;#REF!&amp;"""},"</f>
        <v>#REF!</v>
      </c>
    </row>
    <row r="354" spans="1:30" ht="36" customHeight="1">
      <c r="A354" s="26"/>
      <c r="C354" s="334">
        <v>1</v>
      </c>
      <c r="D354" s="334"/>
      <c r="E354" s="39" t="s">
        <v>275</v>
      </c>
      <c r="F354" s="56"/>
      <c r="G354" s="31"/>
      <c r="H354" s="31"/>
      <c r="I354" s="31"/>
      <c r="J354" s="31"/>
      <c r="K354" s="41"/>
      <c r="L354" s="361" t="s">
        <v>872</v>
      </c>
      <c r="M354" s="416"/>
      <c r="N354" s="416"/>
      <c r="O354" s="416"/>
      <c r="P354" s="416"/>
      <c r="Q354" s="416"/>
      <c r="R354" s="416"/>
      <c r="S354" s="416"/>
      <c r="T354" s="416"/>
      <c r="U354" s="416"/>
      <c r="V354" s="416"/>
      <c r="W354" s="416"/>
      <c r="X354" s="416"/>
      <c r="Y354" s="416"/>
      <c r="Z354" s="416"/>
      <c r="AA354" s="417"/>
      <c r="AB354" s="28"/>
      <c r="AC354" s="111"/>
    </row>
    <row r="355" spans="1:30" ht="18" customHeight="1">
      <c r="A355" s="26"/>
      <c r="C355" s="334">
        <f>COUNTA($C$353:D354)</f>
        <v>2</v>
      </c>
      <c r="D355" s="334"/>
      <c r="E355" s="39" t="s">
        <v>869</v>
      </c>
      <c r="F355" s="56"/>
      <c r="G355" s="31"/>
      <c r="H355" s="31"/>
      <c r="I355" s="31"/>
      <c r="J355" s="31"/>
      <c r="K355" s="41"/>
      <c r="L355" s="39" t="s">
        <v>265</v>
      </c>
      <c r="M355" s="40"/>
      <c r="N355" s="40"/>
      <c r="O355" s="40"/>
      <c r="P355" s="40"/>
      <c r="Q355" s="40"/>
      <c r="R355" s="40"/>
      <c r="S355" s="40"/>
      <c r="T355" s="40"/>
      <c r="U355" s="40"/>
      <c r="V355" s="40"/>
      <c r="W355" s="40"/>
      <c r="X355" s="40"/>
      <c r="Y355" s="40"/>
      <c r="Z355" s="40"/>
      <c r="AA355" s="41"/>
      <c r="AB355" s="28"/>
      <c r="AC355" s="111"/>
      <c r="AD355" s="27" t="e">
        <f>""""&amp;#REF!&amp;""":""example"&amp;#REF!&amp;"""},"</f>
        <v>#REF!</v>
      </c>
    </row>
    <row r="356" spans="1:30" ht="18" customHeight="1">
      <c r="A356" s="26"/>
      <c r="C356" s="334">
        <f>COUNTA($C$353:D355)</f>
        <v>3</v>
      </c>
      <c r="D356" s="334"/>
      <c r="E356" s="39" t="s">
        <v>134</v>
      </c>
      <c r="F356" s="31"/>
      <c r="G356" s="31"/>
      <c r="H356" s="31"/>
      <c r="I356" s="31"/>
      <c r="J356" s="31"/>
      <c r="K356" s="41"/>
      <c r="L356" s="39" t="s">
        <v>873</v>
      </c>
      <c r="M356" s="40"/>
      <c r="N356" s="40"/>
      <c r="O356" s="40"/>
      <c r="P356" s="40"/>
      <c r="Q356" s="40"/>
      <c r="R356" s="40"/>
      <c r="S356" s="40"/>
      <c r="T356" s="40"/>
      <c r="U356" s="40"/>
      <c r="V356" s="40"/>
      <c r="W356" s="40"/>
      <c r="X356" s="40"/>
      <c r="Y356" s="40"/>
      <c r="Z356" s="40"/>
      <c r="AA356" s="41"/>
      <c r="AB356" s="28"/>
      <c r="AC356" s="111" t="s">
        <v>874</v>
      </c>
      <c r="AD356" s="27" t="e">
        <f>""""&amp;#REF!&amp;""":""example"&amp;#REF!&amp;"""},"</f>
        <v>#REF!</v>
      </c>
    </row>
    <row r="357" spans="1:30" ht="18" customHeight="1">
      <c r="A357" s="26"/>
      <c r="C357" s="334">
        <f>COUNTA($C$353:D356)</f>
        <v>4</v>
      </c>
      <c r="D357" s="334"/>
      <c r="E357" s="39" t="s">
        <v>276</v>
      </c>
      <c r="F357" s="56"/>
      <c r="G357" s="31"/>
      <c r="H357" s="31"/>
      <c r="I357" s="31"/>
      <c r="J357" s="31"/>
      <c r="K357" s="41"/>
      <c r="L357" s="39" t="s">
        <v>877</v>
      </c>
      <c r="M357" s="40"/>
      <c r="N357" s="40"/>
      <c r="O357" s="40"/>
      <c r="P357" s="40"/>
      <c r="Q357" s="40"/>
      <c r="R357" s="40"/>
      <c r="S357" s="40"/>
      <c r="T357" s="40"/>
      <c r="U357" s="40"/>
      <c r="V357" s="40"/>
      <c r="W357" s="40"/>
      <c r="X357" s="40"/>
      <c r="Y357" s="40"/>
      <c r="Z357" s="40"/>
      <c r="AA357" s="41"/>
      <c r="AB357" s="28"/>
      <c r="AC357" s="111"/>
      <c r="AD357" s="27" t="e">
        <f>""""&amp;#REF!&amp;""":""example"&amp;#REF!&amp;"""},"</f>
        <v>#REF!</v>
      </c>
    </row>
    <row r="358" spans="1:30" ht="18" customHeight="1">
      <c r="A358" s="26"/>
      <c r="C358" s="334">
        <f>COUNTA($C$353:D357)</f>
        <v>5</v>
      </c>
      <c r="D358" s="334"/>
      <c r="E358" s="39" t="s">
        <v>277</v>
      </c>
      <c r="F358" s="31"/>
      <c r="G358" s="31"/>
      <c r="H358" s="31"/>
      <c r="I358" s="31"/>
      <c r="J358" s="31"/>
      <c r="K358" s="41"/>
      <c r="L358" s="39" t="s">
        <v>878</v>
      </c>
      <c r="M358" s="40"/>
      <c r="N358" s="40"/>
      <c r="O358" s="40"/>
      <c r="P358" s="40"/>
      <c r="Q358" s="40"/>
      <c r="R358" s="40"/>
      <c r="S358" s="40"/>
      <c r="T358" s="40"/>
      <c r="U358" s="40"/>
      <c r="V358" s="40"/>
      <c r="W358" s="40"/>
      <c r="X358" s="40"/>
      <c r="Y358" s="40"/>
      <c r="Z358" s="40"/>
      <c r="AA358" s="41"/>
      <c r="AB358" s="28"/>
      <c r="AC358" s="111"/>
      <c r="AD358" s="27" t="e">
        <f>""""&amp;#REF!&amp;""":""example"&amp;#REF!&amp;"""},"</f>
        <v>#REF!</v>
      </c>
    </row>
    <row r="359" spans="1:30" ht="18" customHeight="1">
      <c r="A359" s="26"/>
      <c r="C359" s="334">
        <f>COUNTA($C$353:D358)</f>
        <v>6</v>
      </c>
      <c r="D359" s="334"/>
      <c r="E359" s="39" t="s">
        <v>55</v>
      </c>
      <c r="F359" s="56"/>
      <c r="G359" s="31"/>
      <c r="H359" s="31"/>
      <c r="I359" s="31"/>
      <c r="J359" s="31"/>
      <c r="K359" s="41"/>
      <c r="L359" s="39" t="s">
        <v>665</v>
      </c>
      <c r="M359" s="40"/>
      <c r="N359" s="40"/>
      <c r="O359" s="40"/>
      <c r="P359" s="40"/>
      <c r="Q359" s="40"/>
      <c r="R359" s="40"/>
      <c r="S359" s="40"/>
      <c r="T359" s="40"/>
      <c r="U359" s="40"/>
      <c r="V359" s="40"/>
      <c r="W359" s="40"/>
      <c r="X359" s="40"/>
      <c r="Y359" s="40"/>
      <c r="Z359" s="40"/>
      <c r="AA359" s="41"/>
      <c r="AB359" s="28"/>
      <c r="AC359" s="111"/>
      <c r="AD359" s="27" t="e">
        <f>""""&amp;#REF!&amp;""":""example"&amp;#REF!&amp;"""},"</f>
        <v>#REF!</v>
      </c>
    </row>
    <row r="360" spans="1:30" ht="18" customHeight="1">
      <c r="A360" s="26"/>
      <c r="C360" s="334">
        <f>COUNTA($C$353:D359)</f>
        <v>7</v>
      </c>
      <c r="D360" s="334"/>
      <c r="E360" s="39" t="s">
        <v>367</v>
      </c>
      <c r="F360" s="31"/>
      <c r="G360" s="31"/>
      <c r="H360" s="31"/>
      <c r="I360" s="31"/>
      <c r="J360" s="31"/>
      <c r="K360" s="41"/>
      <c r="L360" s="39" t="s">
        <v>668</v>
      </c>
      <c r="M360" s="40"/>
      <c r="N360" s="40"/>
      <c r="O360" s="40"/>
      <c r="P360" s="40"/>
      <c r="Q360" s="40"/>
      <c r="R360" s="40"/>
      <c r="S360" s="40"/>
      <c r="T360" s="40"/>
      <c r="U360" s="40"/>
      <c r="V360" s="40"/>
      <c r="W360" s="40"/>
      <c r="X360" s="40"/>
      <c r="Y360" s="40"/>
      <c r="Z360" s="40"/>
      <c r="AA360" s="41"/>
      <c r="AB360" s="28"/>
      <c r="AC360" s="111"/>
      <c r="AD360" s="27" t="e">
        <f>""""&amp;#REF!&amp;""":""example"&amp;#REF!&amp;"""},"</f>
        <v>#REF!</v>
      </c>
    </row>
    <row r="361" spans="1:30" ht="18" customHeight="1">
      <c r="A361" s="26"/>
      <c r="C361" s="334">
        <f>COUNTA($C$353:D360)</f>
        <v>8</v>
      </c>
      <c r="D361" s="334"/>
      <c r="E361" s="39" t="s">
        <v>278</v>
      </c>
      <c r="F361" s="56"/>
      <c r="G361" s="31"/>
      <c r="H361" s="31"/>
      <c r="I361" s="31"/>
      <c r="J361" s="31"/>
      <c r="K361" s="41"/>
      <c r="L361" s="39" t="s">
        <v>670</v>
      </c>
      <c r="M361" s="40"/>
      <c r="N361" s="40"/>
      <c r="O361" s="40"/>
      <c r="P361" s="40"/>
      <c r="Q361" s="40"/>
      <c r="R361" s="40"/>
      <c r="S361" s="40"/>
      <c r="T361" s="40"/>
      <c r="U361" s="40"/>
      <c r="V361" s="40"/>
      <c r="W361" s="40"/>
      <c r="X361" s="40"/>
      <c r="Y361" s="40"/>
      <c r="Z361" s="40"/>
      <c r="AA361" s="41"/>
      <c r="AB361" s="28"/>
      <c r="AC361" s="111"/>
      <c r="AD361" s="27" t="e">
        <f>""""&amp;#REF!&amp;""":""example"&amp;#REF!&amp;"""},"</f>
        <v>#REF!</v>
      </c>
    </row>
    <row r="362" spans="1:30" ht="18" customHeight="1">
      <c r="A362" s="26"/>
      <c r="C362" s="334">
        <f>COUNTA($C$353:D361)</f>
        <v>9</v>
      </c>
      <c r="D362" s="334"/>
      <c r="E362" s="39" t="s">
        <v>279</v>
      </c>
      <c r="F362" s="56"/>
      <c r="G362" s="31"/>
      <c r="H362" s="31"/>
      <c r="I362" s="31"/>
      <c r="J362" s="31"/>
      <c r="K362" s="41"/>
      <c r="L362" s="39" t="s">
        <v>671</v>
      </c>
      <c r="M362" s="40"/>
      <c r="N362" s="40"/>
      <c r="O362" s="40"/>
      <c r="P362" s="40"/>
      <c r="Q362" s="40"/>
      <c r="R362" s="40"/>
      <c r="S362" s="40"/>
      <c r="T362" s="40"/>
      <c r="U362" s="40"/>
      <c r="V362" s="40"/>
      <c r="W362" s="40"/>
      <c r="X362" s="40"/>
      <c r="Y362" s="40"/>
      <c r="Z362" s="40"/>
      <c r="AA362" s="41"/>
      <c r="AB362" s="28"/>
      <c r="AC362" s="111"/>
      <c r="AD362" s="27" t="e">
        <f>""""&amp;#REF!&amp;""":""example"&amp;#REF!&amp;"""},"</f>
        <v>#REF!</v>
      </c>
    </row>
    <row r="363" spans="1:30" ht="18" customHeight="1">
      <c r="A363" s="26"/>
      <c r="C363" s="334">
        <f>COUNTA($C$353:D362)</f>
        <v>10</v>
      </c>
      <c r="D363" s="334"/>
      <c r="E363" s="39" t="s">
        <v>280</v>
      </c>
      <c r="F363" s="31"/>
      <c r="G363" s="31"/>
      <c r="H363" s="31"/>
      <c r="I363" s="31"/>
      <c r="J363" s="31"/>
      <c r="K363" s="41"/>
      <c r="L363" s="39" t="s">
        <v>879</v>
      </c>
      <c r="M363" s="40"/>
      <c r="N363" s="40"/>
      <c r="O363" s="40"/>
      <c r="P363" s="40"/>
      <c r="Q363" s="40"/>
      <c r="R363" s="40"/>
      <c r="S363" s="40"/>
      <c r="T363" s="40"/>
      <c r="U363" s="40"/>
      <c r="V363" s="40"/>
      <c r="W363" s="40"/>
      <c r="X363" s="40"/>
      <c r="Y363" s="40"/>
      <c r="Z363" s="40"/>
      <c r="AA363" s="41"/>
      <c r="AB363" s="28"/>
      <c r="AC363" s="111"/>
      <c r="AD363" s="27" t="e">
        <f>""""&amp;#REF!&amp;""":""example"&amp;#REF!&amp;"""},"</f>
        <v>#REF!</v>
      </c>
    </row>
    <row r="364" spans="1:30" ht="18" customHeight="1">
      <c r="A364" s="26"/>
      <c r="C364" s="334">
        <f>COUNTA($C$353:D363)</f>
        <v>11</v>
      </c>
      <c r="D364" s="334"/>
      <c r="E364" s="39" t="s">
        <v>263</v>
      </c>
      <c r="F364" s="56"/>
      <c r="G364" s="31"/>
      <c r="H364" s="31"/>
      <c r="I364" s="31"/>
      <c r="J364" s="31"/>
      <c r="K364" s="41"/>
      <c r="L364" s="39" t="s">
        <v>426</v>
      </c>
      <c r="M364" s="40"/>
      <c r="N364" s="40"/>
      <c r="O364" s="40"/>
      <c r="P364" s="40"/>
      <c r="Q364" s="40"/>
      <c r="R364" s="40"/>
      <c r="S364" s="40"/>
      <c r="T364" s="40"/>
      <c r="U364" s="40"/>
      <c r="V364" s="40"/>
      <c r="W364" s="40"/>
      <c r="X364" s="40"/>
      <c r="Y364" s="40"/>
      <c r="Z364" s="40"/>
      <c r="AA364" s="41"/>
      <c r="AB364" s="28"/>
      <c r="AC364" s="111"/>
      <c r="AD364" s="27" t="e">
        <f>""""&amp;#REF!&amp;""":""example"&amp;#REF!&amp;"""},"</f>
        <v>#REF!</v>
      </c>
    </row>
    <row r="365" spans="1:30" ht="18" customHeight="1">
      <c r="A365" s="26"/>
      <c r="C365" s="334">
        <f>COUNTA($C$353:D364)</f>
        <v>12</v>
      </c>
      <c r="D365" s="334"/>
      <c r="E365" s="39" t="s">
        <v>281</v>
      </c>
      <c r="F365" s="31"/>
      <c r="G365" s="31"/>
      <c r="H365" s="31"/>
      <c r="I365" s="31"/>
      <c r="J365" s="31"/>
      <c r="K365" s="41"/>
      <c r="L365" s="39" t="s">
        <v>672</v>
      </c>
      <c r="M365" s="40"/>
      <c r="N365" s="40"/>
      <c r="O365" s="40"/>
      <c r="P365" s="40"/>
      <c r="Q365" s="40"/>
      <c r="R365" s="40"/>
      <c r="S365" s="40"/>
      <c r="T365" s="40"/>
      <c r="U365" s="40"/>
      <c r="V365" s="40"/>
      <c r="W365" s="40"/>
      <c r="X365" s="40"/>
      <c r="Y365" s="40"/>
      <c r="Z365" s="40"/>
      <c r="AA365" s="41"/>
      <c r="AB365" s="28"/>
      <c r="AC365" s="111"/>
      <c r="AD365" s="27" t="e">
        <f>""""&amp;#REF!&amp;""":""example"&amp;#REF!&amp;"""},"</f>
        <v>#REF!</v>
      </c>
    </row>
    <row r="366" spans="1:30" ht="18" customHeight="1">
      <c r="A366" s="26"/>
      <c r="C366" s="334">
        <f>COUNTA($C$353:D365)</f>
        <v>13</v>
      </c>
      <c r="D366" s="334"/>
      <c r="E366" s="39" t="s">
        <v>58</v>
      </c>
      <c r="F366" s="56"/>
      <c r="G366" s="31"/>
      <c r="H366" s="31"/>
      <c r="I366" s="31"/>
      <c r="J366" s="31"/>
      <c r="K366" s="41"/>
      <c r="L366" s="39" t="s">
        <v>880</v>
      </c>
      <c r="M366" s="40"/>
      <c r="N366" s="40"/>
      <c r="O366" s="40"/>
      <c r="P366" s="40"/>
      <c r="Q366" s="40"/>
      <c r="R366" s="40"/>
      <c r="S366" s="40"/>
      <c r="T366" s="40"/>
      <c r="U366" s="40"/>
      <c r="V366" s="40"/>
      <c r="W366" s="40"/>
      <c r="X366" s="40"/>
      <c r="Y366" s="40"/>
      <c r="Z366" s="40"/>
      <c r="AA366" s="41"/>
      <c r="AB366" s="28"/>
      <c r="AC366" s="111"/>
      <c r="AD366" s="27" t="e">
        <f>""""&amp;#REF!&amp;""":""example"&amp;#REF!&amp;"""},"</f>
        <v>#REF!</v>
      </c>
    </row>
    <row r="367" spans="1:30" ht="18" customHeight="1">
      <c r="A367" s="26"/>
      <c r="C367" s="334">
        <f>COUNTA($C$353:D366)</f>
        <v>14</v>
      </c>
      <c r="D367" s="334"/>
      <c r="E367" s="39" t="s">
        <v>59</v>
      </c>
      <c r="F367" s="31"/>
      <c r="G367" s="31"/>
      <c r="H367" s="31"/>
      <c r="I367" s="31"/>
      <c r="J367" s="31"/>
      <c r="K367" s="41"/>
      <c r="L367" s="39" t="s">
        <v>881</v>
      </c>
      <c r="M367" s="40"/>
      <c r="N367" s="40"/>
      <c r="O367" s="40"/>
      <c r="P367" s="40"/>
      <c r="Q367" s="40"/>
      <c r="R367" s="40"/>
      <c r="S367" s="40"/>
      <c r="T367" s="40"/>
      <c r="U367" s="40"/>
      <c r="V367" s="40"/>
      <c r="W367" s="40"/>
      <c r="X367" s="40"/>
      <c r="Y367" s="40"/>
      <c r="Z367" s="40"/>
      <c r="AA367" s="41"/>
      <c r="AB367" s="28"/>
      <c r="AC367" s="111"/>
      <c r="AD367" s="27" t="e">
        <f>""""&amp;#REF!&amp;""":""example"&amp;#REF!&amp;"""},"</f>
        <v>#REF!</v>
      </c>
    </row>
    <row r="368" spans="1:30" ht="18" customHeight="1">
      <c r="A368" s="26"/>
      <c r="C368" s="334">
        <f>COUNTA($C$353:D367)</f>
        <v>15</v>
      </c>
      <c r="D368" s="334"/>
      <c r="E368" s="39" t="s">
        <v>870</v>
      </c>
      <c r="F368" s="31"/>
      <c r="G368" s="31"/>
      <c r="H368" s="31"/>
      <c r="I368" s="31"/>
      <c r="J368" s="31"/>
      <c r="K368" s="41"/>
      <c r="L368" s="39" t="s">
        <v>882</v>
      </c>
      <c r="M368" s="40"/>
      <c r="N368" s="40"/>
      <c r="O368" s="40"/>
      <c r="P368" s="40"/>
      <c r="Q368" s="40"/>
      <c r="R368" s="40"/>
      <c r="S368" s="40"/>
      <c r="T368" s="40"/>
      <c r="U368" s="40"/>
      <c r="V368" s="40"/>
      <c r="W368" s="40"/>
      <c r="X368" s="40"/>
      <c r="Y368" s="40"/>
      <c r="Z368" s="40"/>
      <c r="AA368" s="41"/>
      <c r="AB368" s="28"/>
      <c r="AC368" s="111"/>
      <c r="AD368" s="27" t="e">
        <f>""""&amp;#REF!&amp;""":""example"&amp;#REF!&amp;"""},"</f>
        <v>#REF!</v>
      </c>
    </row>
    <row r="369" spans="1:32" ht="18" customHeight="1">
      <c r="A369" s="26"/>
      <c r="C369" s="38"/>
      <c r="D369" s="38"/>
      <c r="F369" s="46"/>
      <c r="G369" s="46"/>
      <c r="H369" s="46"/>
      <c r="I369" s="46"/>
      <c r="AB369" s="28"/>
      <c r="AC369" s="111"/>
    </row>
    <row r="370" spans="1:32" s="95" customFormat="1" ht="18" customHeight="1">
      <c r="A370" s="98"/>
      <c r="B370" s="95" t="s">
        <v>887</v>
      </c>
      <c r="C370" s="105"/>
      <c r="AB370" s="99"/>
      <c r="AC370" s="111"/>
      <c r="AD370" s="97"/>
    </row>
    <row r="371" spans="1:32" s="95" customFormat="1" ht="18" customHeight="1">
      <c r="A371" s="98"/>
      <c r="C371" s="319" t="s">
        <v>483</v>
      </c>
      <c r="D371" s="319"/>
      <c r="E371" s="319"/>
      <c r="F371" s="319"/>
      <c r="G371" s="100" t="s">
        <v>429</v>
      </c>
      <c r="H371" s="29"/>
      <c r="I371" s="29"/>
      <c r="J371" s="29"/>
      <c r="K371" s="29"/>
      <c r="L371" s="29"/>
      <c r="M371" s="29"/>
      <c r="N371" s="29"/>
      <c r="O371" s="29"/>
      <c r="P371" s="29"/>
      <c r="Q371" s="29"/>
      <c r="R371" s="29"/>
      <c r="S371" s="29"/>
      <c r="T371" s="29"/>
      <c r="U371" s="29"/>
      <c r="V371" s="29"/>
      <c r="W371" s="29"/>
      <c r="X371" s="29"/>
      <c r="Y371" s="29"/>
      <c r="Z371" s="29"/>
      <c r="AA371" s="30"/>
      <c r="AB371" s="99"/>
      <c r="AC371" s="111"/>
      <c r="AD371" s="97"/>
    </row>
    <row r="372" spans="1:32" s="95" customFormat="1" ht="18" customHeight="1">
      <c r="A372" s="98"/>
      <c r="C372" s="340" t="s">
        <v>637</v>
      </c>
      <c r="D372" s="341"/>
      <c r="E372" s="341"/>
      <c r="F372" s="342"/>
      <c r="G372" s="100" t="s">
        <v>883</v>
      </c>
      <c r="H372" s="29"/>
      <c r="I372" s="29"/>
      <c r="J372" s="29"/>
      <c r="K372" s="29"/>
      <c r="L372" s="29"/>
      <c r="M372" s="29"/>
      <c r="N372" s="29"/>
      <c r="O372" s="29"/>
      <c r="P372" s="29"/>
      <c r="Q372" s="29"/>
      <c r="R372" s="29"/>
      <c r="S372" s="29"/>
      <c r="T372" s="29"/>
      <c r="U372" s="29"/>
      <c r="V372" s="29"/>
      <c r="W372" s="29"/>
      <c r="X372" s="29"/>
      <c r="Y372" s="29"/>
      <c r="Z372" s="29"/>
      <c r="AA372" s="30"/>
      <c r="AB372" s="99"/>
      <c r="AC372" s="111"/>
      <c r="AD372" s="97"/>
    </row>
    <row r="373" spans="1:32" s="95" customFormat="1" ht="18" customHeight="1">
      <c r="A373" s="98"/>
      <c r="C373" s="323" t="s">
        <v>35</v>
      </c>
      <c r="D373" s="324"/>
      <c r="E373" s="324"/>
      <c r="F373" s="325"/>
      <c r="G373" s="100" t="s">
        <v>888</v>
      </c>
      <c r="H373" s="29"/>
      <c r="I373" s="29"/>
      <c r="J373" s="29"/>
      <c r="K373" s="29"/>
      <c r="L373" s="29"/>
      <c r="M373" s="29"/>
      <c r="N373" s="29"/>
      <c r="O373" s="29"/>
      <c r="P373" s="29"/>
      <c r="Q373" s="29"/>
      <c r="R373" s="29"/>
      <c r="S373" s="29"/>
      <c r="T373" s="29"/>
      <c r="U373" s="29"/>
      <c r="V373" s="29"/>
      <c r="W373" s="29"/>
      <c r="X373" s="29"/>
      <c r="Y373" s="29"/>
      <c r="Z373" s="29"/>
      <c r="AA373" s="30"/>
      <c r="AB373" s="99"/>
      <c r="AC373" s="111"/>
      <c r="AD373" s="97"/>
    </row>
    <row r="374" spans="1:32" s="95" customFormat="1" ht="18" customHeight="1">
      <c r="A374" s="98"/>
      <c r="C374" s="326"/>
      <c r="D374" s="327"/>
      <c r="E374" s="327"/>
      <c r="F374" s="328"/>
      <c r="G374" s="100" t="s">
        <v>884</v>
      </c>
      <c r="H374" s="29"/>
      <c r="I374" s="29"/>
      <c r="J374" s="29"/>
      <c r="K374" s="29"/>
      <c r="L374" s="29"/>
      <c r="M374" s="29"/>
      <c r="N374" s="29"/>
      <c r="O374" s="29"/>
      <c r="P374" s="29"/>
      <c r="Q374" s="29"/>
      <c r="R374" s="29"/>
      <c r="S374" s="29"/>
      <c r="T374" s="29"/>
      <c r="U374" s="29"/>
      <c r="V374" s="29"/>
      <c r="W374" s="29"/>
      <c r="X374" s="29"/>
      <c r="Y374" s="29"/>
      <c r="Z374" s="29"/>
      <c r="AA374" s="30"/>
      <c r="AB374" s="99"/>
      <c r="AC374" s="111"/>
      <c r="AD374" s="97"/>
      <c r="AF374" s="120"/>
    </row>
    <row r="375" spans="1:32" s="95" customFormat="1" ht="18" customHeight="1">
      <c r="A375" s="98"/>
      <c r="C375" s="329"/>
      <c r="D375" s="330"/>
      <c r="E375" s="330"/>
      <c r="F375" s="331"/>
      <c r="G375" s="100" t="s">
        <v>885</v>
      </c>
      <c r="H375" s="29"/>
      <c r="I375" s="29"/>
      <c r="J375" s="29"/>
      <c r="K375" s="29"/>
      <c r="L375" s="29"/>
      <c r="M375" s="29"/>
      <c r="N375" s="29"/>
      <c r="O375" s="29"/>
      <c r="P375" s="29"/>
      <c r="Q375" s="29"/>
      <c r="R375" s="29"/>
      <c r="S375" s="29"/>
      <c r="T375" s="29"/>
      <c r="U375" s="29"/>
      <c r="V375" s="29"/>
      <c r="W375" s="29"/>
      <c r="X375" s="29"/>
      <c r="Y375" s="29"/>
      <c r="Z375" s="29"/>
      <c r="AA375" s="30"/>
      <c r="AB375" s="99"/>
      <c r="AC375" s="111"/>
      <c r="AD375" s="97"/>
      <c r="AF375" s="120"/>
    </row>
    <row r="376" spans="1:32" s="95" customFormat="1" ht="18" customHeight="1">
      <c r="A376" s="98"/>
      <c r="C376" s="96"/>
      <c r="D376" s="96"/>
      <c r="E376" s="96"/>
      <c r="F376" s="96"/>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99"/>
      <c r="AC376" s="111"/>
      <c r="AD376" s="97"/>
      <c r="AF376" s="120"/>
    </row>
    <row r="377" spans="1:32" s="95" customFormat="1" ht="18" customHeight="1">
      <c r="A377" s="98"/>
      <c r="C377" s="122" t="s">
        <v>890</v>
      </c>
      <c r="D377" s="96"/>
      <c r="E377" s="121"/>
      <c r="F377" s="96"/>
      <c r="G377" s="96"/>
      <c r="H377" s="96"/>
      <c r="I377" s="96"/>
      <c r="J377" s="96"/>
      <c r="K377" s="96"/>
      <c r="L377" s="96"/>
      <c r="M377" s="96"/>
      <c r="N377" s="96"/>
      <c r="O377" s="96"/>
      <c r="P377" s="96"/>
      <c r="Q377" s="96"/>
      <c r="R377" s="96"/>
      <c r="S377" s="96"/>
      <c r="T377" s="96"/>
      <c r="U377" s="96"/>
      <c r="V377" s="96"/>
      <c r="W377" s="96"/>
      <c r="X377" s="96"/>
      <c r="Y377" s="96"/>
      <c r="Z377" s="96"/>
      <c r="AA377" s="96"/>
      <c r="AB377" s="99"/>
      <c r="AC377" s="111"/>
      <c r="AD377" s="97"/>
    </row>
    <row r="378" spans="1:32" s="95" customFormat="1" ht="18" customHeight="1">
      <c r="A378" s="98"/>
      <c r="C378" s="343" t="s">
        <v>7</v>
      </c>
      <c r="D378" s="343"/>
      <c r="E378" s="343" t="s">
        <v>9</v>
      </c>
      <c r="F378" s="344"/>
      <c r="G378" s="344"/>
      <c r="H378" s="344"/>
      <c r="I378" s="344"/>
      <c r="J378" s="344"/>
      <c r="K378" s="345"/>
      <c r="L378" s="379" t="s">
        <v>18</v>
      </c>
      <c r="M378" s="380"/>
      <c r="N378" s="380"/>
      <c r="O378" s="380"/>
      <c r="P378" s="380"/>
      <c r="Q378" s="380"/>
      <c r="R378" s="380"/>
      <c r="S378" s="380"/>
      <c r="T378" s="380"/>
      <c r="U378" s="380"/>
      <c r="V378" s="380"/>
      <c r="W378" s="380"/>
      <c r="X378" s="380"/>
      <c r="Y378" s="380"/>
      <c r="Z378" s="380"/>
      <c r="AA378" s="381"/>
      <c r="AB378" s="99"/>
      <c r="AC378" s="111"/>
      <c r="AD378" s="97"/>
    </row>
    <row r="379" spans="1:32" s="95" customFormat="1" ht="18" customHeight="1">
      <c r="A379" s="98"/>
      <c r="C379" s="278">
        <v>1</v>
      </c>
      <c r="D379" s="278"/>
      <c r="E379" s="100" t="s">
        <v>886</v>
      </c>
      <c r="F379" s="29"/>
      <c r="G379" s="29"/>
      <c r="H379" s="29"/>
      <c r="I379" s="29"/>
      <c r="J379" s="29"/>
      <c r="K379" s="29"/>
      <c r="L379" s="100" t="s">
        <v>889</v>
      </c>
      <c r="M379" s="29"/>
      <c r="N379" s="29"/>
      <c r="O379" s="29"/>
      <c r="P379" s="29"/>
      <c r="Q379" s="29"/>
      <c r="R379" s="29"/>
      <c r="S379" s="29"/>
      <c r="T379" s="29"/>
      <c r="U379" s="29"/>
      <c r="V379" s="29"/>
      <c r="W379" s="29"/>
      <c r="X379" s="29"/>
      <c r="Y379" s="29"/>
      <c r="Z379" s="29"/>
      <c r="AA379" s="30"/>
      <c r="AB379" s="99"/>
      <c r="AC379" s="111"/>
      <c r="AD379" s="97"/>
    </row>
    <row r="380" spans="1:32" s="95" customFormat="1" ht="18" customHeight="1">
      <c r="A380" s="98"/>
      <c r="C380" s="278">
        <v>2</v>
      </c>
      <c r="D380" s="278"/>
      <c r="E380" s="100" t="s">
        <v>748</v>
      </c>
      <c r="F380" s="29"/>
      <c r="G380" s="29"/>
      <c r="H380" s="29"/>
      <c r="I380" s="29"/>
      <c r="J380" s="29"/>
      <c r="K380" s="29"/>
      <c r="L380" s="100" t="s">
        <v>896</v>
      </c>
      <c r="M380" s="29"/>
      <c r="N380" s="29"/>
      <c r="O380" s="29"/>
      <c r="P380" s="29"/>
      <c r="Q380" s="29"/>
      <c r="R380" s="29"/>
      <c r="S380" s="29"/>
      <c r="T380" s="29"/>
      <c r="U380" s="29"/>
      <c r="V380" s="29"/>
      <c r="W380" s="29"/>
      <c r="X380" s="29"/>
      <c r="Y380" s="29"/>
      <c r="Z380" s="29"/>
      <c r="AA380" s="30"/>
      <c r="AB380" s="99"/>
      <c r="AC380" s="111"/>
      <c r="AD380" s="97"/>
    </row>
    <row r="381" spans="1:32" s="95" customFormat="1" ht="18" customHeight="1">
      <c r="A381" s="98"/>
      <c r="C381" s="96"/>
      <c r="D381" s="96"/>
      <c r="AB381" s="99"/>
      <c r="AC381" s="111"/>
      <c r="AD381" s="97"/>
      <c r="AE381" s="123"/>
      <c r="AF381" s="120"/>
    </row>
    <row r="382" spans="1:32" ht="18" customHeight="1">
      <c r="A382" s="26"/>
      <c r="B382" s="418" t="s">
        <v>891</v>
      </c>
      <c r="C382" s="418"/>
      <c r="D382" s="418"/>
      <c r="E382" s="418"/>
      <c r="F382" s="418"/>
      <c r="G382" s="418"/>
      <c r="H382" s="418"/>
      <c r="I382" s="418"/>
      <c r="J382" s="418"/>
      <c r="K382" s="418"/>
      <c r="L382" s="418"/>
      <c r="M382" s="418"/>
      <c r="N382" s="418"/>
      <c r="O382" s="418"/>
      <c r="P382" s="418"/>
      <c r="Q382" s="418"/>
      <c r="R382" s="418"/>
      <c r="S382" s="418"/>
      <c r="T382" s="418"/>
      <c r="U382" s="418"/>
      <c r="V382" s="418"/>
      <c r="W382" s="418"/>
      <c r="X382" s="418"/>
      <c r="Y382" s="418"/>
      <c r="Z382" s="418"/>
      <c r="AA382" s="418"/>
      <c r="AB382" s="75"/>
      <c r="AC382" s="111"/>
    </row>
    <row r="383" spans="1:32" ht="18" customHeight="1">
      <c r="A383" s="26"/>
      <c r="B383" s="418"/>
      <c r="C383" s="418"/>
      <c r="D383" s="418"/>
      <c r="E383" s="418"/>
      <c r="F383" s="418"/>
      <c r="G383" s="418"/>
      <c r="H383" s="418"/>
      <c r="I383" s="418"/>
      <c r="J383" s="418"/>
      <c r="K383" s="418"/>
      <c r="L383" s="418"/>
      <c r="M383" s="418"/>
      <c r="N383" s="418"/>
      <c r="O383" s="418"/>
      <c r="P383" s="418"/>
      <c r="Q383" s="418"/>
      <c r="R383" s="418"/>
      <c r="S383" s="418"/>
      <c r="T383" s="418"/>
      <c r="U383" s="418"/>
      <c r="V383" s="418"/>
      <c r="W383" s="418"/>
      <c r="X383" s="418"/>
      <c r="Y383" s="418"/>
      <c r="Z383" s="418"/>
      <c r="AA383" s="418"/>
      <c r="AB383" s="75"/>
      <c r="AC383" s="111"/>
    </row>
    <row r="384" spans="1:32" ht="18" customHeight="1">
      <c r="B384" s="74"/>
      <c r="C384" s="63" t="s">
        <v>741</v>
      </c>
      <c r="D384" s="74"/>
      <c r="E384" s="74"/>
      <c r="F384" s="74"/>
      <c r="G384" s="74"/>
      <c r="H384" s="74"/>
      <c r="I384" s="74"/>
      <c r="J384" s="74"/>
      <c r="K384" s="74"/>
      <c r="L384" s="55" t="s">
        <v>871</v>
      </c>
      <c r="M384" s="74"/>
      <c r="N384" s="74"/>
      <c r="O384" s="74"/>
      <c r="P384" s="74"/>
      <c r="Q384" s="74"/>
      <c r="R384" s="74"/>
      <c r="S384" s="74"/>
      <c r="T384" s="74"/>
      <c r="U384" s="74"/>
      <c r="V384" s="74"/>
      <c r="W384" s="74"/>
      <c r="X384" s="74"/>
      <c r="Y384" s="74"/>
      <c r="Z384" s="74"/>
      <c r="AA384" s="74"/>
      <c r="AB384" s="75"/>
      <c r="AC384" s="111"/>
    </row>
    <row r="385" spans="1:32" customFormat="1" ht="20.100000000000001" customHeight="1">
      <c r="A385" s="27"/>
      <c r="B385" s="35"/>
      <c r="C385" s="337" t="s">
        <v>653</v>
      </c>
      <c r="D385" s="337"/>
      <c r="E385" s="337"/>
      <c r="F385" s="337"/>
      <c r="G385" s="47" t="s">
        <v>656</v>
      </c>
      <c r="H385" s="40"/>
      <c r="I385" s="40"/>
      <c r="J385" s="40"/>
      <c r="K385" s="40"/>
      <c r="L385" s="40"/>
      <c r="M385" s="40"/>
      <c r="N385" s="40"/>
      <c r="O385" s="40"/>
      <c r="P385" s="40"/>
      <c r="Q385" s="40"/>
      <c r="R385" s="40"/>
      <c r="S385" s="40"/>
      <c r="T385" s="40"/>
      <c r="U385" s="40"/>
      <c r="V385" s="40"/>
      <c r="W385" s="40"/>
      <c r="X385" s="40"/>
      <c r="Y385" s="40"/>
      <c r="Z385" s="40"/>
      <c r="AA385" s="41"/>
      <c r="AB385" s="28"/>
      <c r="AC385" s="111"/>
      <c r="AE385" s="112"/>
    </row>
    <row r="386" spans="1:32" ht="18" customHeight="1">
      <c r="A386" s="26"/>
      <c r="C386" s="337" t="s">
        <v>417</v>
      </c>
      <c r="D386" s="337"/>
      <c r="E386" s="337"/>
      <c r="F386" s="337"/>
      <c r="G386" s="47" t="s">
        <v>430</v>
      </c>
      <c r="H386" s="40"/>
      <c r="I386" s="40"/>
      <c r="J386" s="40"/>
      <c r="K386" s="40"/>
      <c r="L386" s="40"/>
      <c r="M386" s="40"/>
      <c r="N386" s="40"/>
      <c r="O386" s="40"/>
      <c r="P386" s="40"/>
      <c r="Q386" s="40"/>
      <c r="R386" s="40"/>
      <c r="S386" s="40"/>
      <c r="T386" s="40"/>
      <c r="U386" s="40"/>
      <c r="V386" s="40"/>
      <c r="W386" s="40"/>
      <c r="X386" s="40"/>
      <c r="Y386" s="40"/>
      <c r="Z386" s="40"/>
      <c r="AA386" s="41"/>
      <c r="AB386" s="28"/>
      <c r="AC386" s="111"/>
      <c r="AD386" s="67"/>
      <c r="AF386" s="27"/>
    </row>
    <row r="387" spans="1:32" ht="18" customHeight="1">
      <c r="A387" s="26"/>
      <c r="C387" s="334">
        <v>1</v>
      </c>
      <c r="D387" s="334"/>
      <c r="E387" s="39" t="s">
        <v>274</v>
      </c>
      <c r="F387" s="56"/>
      <c r="G387" s="31"/>
      <c r="H387" s="31"/>
      <c r="I387" s="31"/>
      <c r="J387" s="31"/>
      <c r="K387" s="41"/>
      <c r="L387" s="39" t="s">
        <v>892</v>
      </c>
      <c r="M387" s="40"/>
      <c r="N387" s="40"/>
      <c r="O387" s="40"/>
      <c r="P387" s="40"/>
      <c r="Q387" s="40"/>
      <c r="R387" s="40"/>
      <c r="S387" s="40"/>
      <c r="T387" s="40"/>
      <c r="U387" s="40"/>
      <c r="V387" s="40"/>
      <c r="W387" s="40"/>
      <c r="X387" s="40"/>
      <c r="Y387" s="40"/>
      <c r="Z387" s="40"/>
      <c r="AA387" s="41"/>
      <c r="AB387" s="28"/>
      <c r="AC387" s="111"/>
    </row>
    <row r="388" spans="1:32" ht="18" customHeight="1">
      <c r="A388" s="26"/>
      <c r="C388" s="334">
        <f>COUNTA($C$386:D387)</f>
        <v>2</v>
      </c>
      <c r="D388" s="334"/>
      <c r="E388" s="39" t="s">
        <v>869</v>
      </c>
      <c r="F388" s="56"/>
      <c r="G388" s="31"/>
      <c r="H388" s="31"/>
      <c r="I388" s="31"/>
      <c r="J388" s="31"/>
      <c r="K388" s="41"/>
      <c r="L388" s="39" t="s">
        <v>265</v>
      </c>
      <c r="M388" s="40"/>
      <c r="N388" s="40"/>
      <c r="O388" s="40"/>
      <c r="P388" s="40"/>
      <c r="Q388" s="40"/>
      <c r="R388" s="40"/>
      <c r="S388" s="40"/>
      <c r="T388" s="40"/>
      <c r="U388" s="40"/>
      <c r="V388" s="40"/>
      <c r="W388" s="40"/>
      <c r="X388" s="40"/>
      <c r="Y388" s="40"/>
      <c r="Z388" s="40"/>
      <c r="AA388" s="41"/>
      <c r="AB388" s="28"/>
      <c r="AC388" s="111"/>
      <c r="AD388" s="27" t="e">
        <f>""""&amp;#REF!&amp;""":""example"&amp;#REF!&amp;"""},"</f>
        <v>#REF!</v>
      </c>
    </row>
    <row r="389" spans="1:32" ht="18" customHeight="1">
      <c r="A389" s="26"/>
      <c r="C389" s="334">
        <f>COUNTA($C$386:D388)</f>
        <v>3</v>
      </c>
      <c r="D389" s="334"/>
      <c r="E389" s="39" t="s">
        <v>134</v>
      </c>
      <c r="F389" s="31"/>
      <c r="G389" s="31"/>
      <c r="H389" s="31"/>
      <c r="I389" s="31"/>
      <c r="J389" s="31"/>
      <c r="K389" s="41"/>
      <c r="L389" s="39" t="s">
        <v>873</v>
      </c>
      <c r="M389" s="40"/>
      <c r="N389" s="40"/>
      <c r="O389" s="40"/>
      <c r="P389" s="40"/>
      <c r="Q389" s="40"/>
      <c r="R389" s="40"/>
      <c r="S389" s="40"/>
      <c r="T389" s="40"/>
      <c r="U389" s="40"/>
      <c r="V389" s="40"/>
      <c r="W389" s="40"/>
      <c r="X389" s="40"/>
      <c r="Y389" s="40"/>
      <c r="Z389" s="40"/>
      <c r="AA389" s="41"/>
      <c r="AB389" s="28"/>
      <c r="AC389" s="111" t="s">
        <v>874</v>
      </c>
      <c r="AD389" s="27" t="e">
        <f>""""&amp;#REF!&amp;""":""example"&amp;#REF!&amp;"""},"</f>
        <v>#REF!</v>
      </c>
    </row>
    <row r="390" spans="1:32" ht="18" customHeight="1">
      <c r="A390" s="26"/>
      <c r="C390" s="334">
        <f>COUNTA($C$386:D389)</f>
        <v>4</v>
      </c>
      <c r="D390" s="334"/>
      <c r="E390" s="39" t="s">
        <v>366</v>
      </c>
      <c r="F390" s="56"/>
      <c r="G390" s="31"/>
      <c r="H390" s="31"/>
      <c r="I390" s="31"/>
      <c r="J390" s="31"/>
      <c r="K390" s="41"/>
      <c r="L390" s="39" t="s">
        <v>894</v>
      </c>
      <c r="M390" s="40"/>
      <c r="N390" s="40"/>
      <c r="O390" s="40"/>
      <c r="P390" s="40"/>
      <c r="Q390" s="40"/>
      <c r="R390" s="40"/>
      <c r="S390" s="40"/>
      <c r="T390" s="40"/>
      <c r="U390" s="40"/>
      <c r="V390" s="40"/>
      <c r="W390" s="40"/>
      <c r="X390" s="40"/>
      <c r="Y390" s="40"/>
      <c r="Z390" s="40"/>
      <c r="AA390" s="41"/>
      <c r="AB390" s="28"/>
      <c r="AC390" s="111"/>
      <c r="AD390" s="27" t="e">
        <f>""""&amp;#REF!&amp;""":""example"&amp;#REF!&amp;"""},"</f>
        <v>#REF!</v>
      </c>
    </row>
    <row r="391" spans="1:32" ht="36" customHeight="1">
      <c r="A391" s="26"/>
      <c r="C391" s="334">
        <f>COUNTA($C$386:D390)</f>
        <v>5</v>
      </c>
      <c r="D391" s="334"/>
      <c r="E391" s="39" t="s">
        <v>282</v>
      </c>
      <c r="F391" s="31"/>
      <c r="G391" s="31"/>
      <c r="H391" s="31"/>
      <c r="I391" s="31"/>
      <c r="J391" s="31"/>
      <c r="K391" s="41"/>
      <c r="L391" s="361" t="s">
        <v>897</v>
      </c>
      <c r="M391" s="416"/>
      <c r="N391" s="416"/>
      <c r="O391" s="416"/>
      <c r="P391" s="416"/>
      <c r="Q391" s="416"/>
      <c r="R391" s="416"/>
      <c r="S391" s="416"/>
      <c r="T391" s="416"/>
      <c r="U391" s="416"/>
      <c r="V391" s="416"/>
      <c r="W391" s="416"/>
      <c r="X391" s="416"/>
      <c r="Y391" s="416"/>
      <c r="Z391" s="416"/>
      <c r="AA391" s="417"/>
      <c r="AB391" s="28"/>
      <c r="AC391" s="111"/>
      <c r="AD391" s="27" t="e">
        <f>""""&amp;#REF!&amp;""":""example"&amp;#REF!&amp;"""},"</f>
        <v>#REF!</v>
      </c>
    </row>
    <row r="392" spans="1:32" ht="18" customHeight="1">
      <c r="A392" s="26"/>
      <c r="C392" s="334">
        <f>COUNTA($C$386:D391)</f>
        <v>6</v>
      </c>
      <c r="D392" s="334"/>
      <c r="E392" s="39" t="s">
        <v>427</v>
      </c>
      <c r="F392" s="56"/>
      <c r="G392" s="31"/>
      <c r="H392" s="31"/>
      <c r="I392" s="31"/>
      <c r="J392" s="31"/>
      <c r="K392" s="41"/>
      <c r="L392" s="39" t="s">
        <v>895</v>
      </c>
      <c r="M392" s="40"/>
      <c r="N392" s="40"/>
      <c r="O392" s="40"/>
      <c r="P392" s="40"/>
      <c r="Q392" s="40"/>
      <c r="R392" s="40"/>
      <c r="S392" s="40"/>
      <c r="T392" s="40"/>
      <c r="U392" s="40"/>
      <c r="V392" s="40"/>
      <c r="W392" s="40"/>
      <c r="X392" s="40"/>
      <c r="Y392" s="40"/>
      <c r="Z392" s="40"/>
      <c r="AA392" s="41"/>
      <c r="AB392" s="28"/>
      <c r="AC392" s="111"/>
      <c r="AD392" s="27" t="e">
        <f>""""&amp;#REF!&amp;""":""example"&amp;#REF!&amp;"""},"</f>
        <v>#REF!</v>
      </c>
    </row>
    <row r="393" spans="1:32" ht="18" customHeight="1">
      <c r="A393" s="26"/>
      <c r="C393" s="38"/>
      <c r="D393" s="38"/>
      <c r="F393" s="46"/>
      <c r="G393" s="46"/>
      <c r="H393" s="46"/>
      <c r="I393" s="46"/>
      <c r="AB393" s="28"/>
      <c r="AD393" s="27" t="e">
        <f>""""&amp;#REF!&amp;""":""example"&amp;#REF!&amp;""","</f>
        <v>#REF!</v>
      </c>
    </row>
    <row r="394" spans="1:32" ht="18" customHeight="1">
      <c r="A394" s="26"/>
      <c r="C394" s="35" t="s">
        <v>868</v>
      </c>
      <c r="AB394" s="28"/>
      <c r="AD394" s="27" t="e">
        <f>""""&amp;#REF!&amp;""":""example"&amp;#REF!&amp;"""},"</f>
        <v>#REF!</v>
      </c>
    </row>
    <row r="395" spans="1:32" ht="18" customHeight="1">
      <c r="A395" s="26"/>
      <c r="C395" s="337" t="s">
        <v>7</v>
      </c>
      <c r="D395" s="337"/>
      <c r="E395" s="337" t="s">
        <v>9</v>
      </c>
      <c r="F395" s="337"/>
      <c r="G395" s="337"/>
      <c r="H395" s="337"/>
      <c r="I395" s="337"/>
      <c r="J395" s="343" t="s">
        <v>18</v>
      </c>
      <c r="K395" s="344"/>
      <c r="L395" s="344"/>
      <c r="M395" s="344"/>
      <c r="N395" s="344"/>
      <c r="O395" s="344"/>
      <c r="P395" s="344"/>
      <c r="Q395" s="344"/>
      <c r="R395" s="344"/>
      <c r="S395" s="344"/>
      <c r="T395" s="344"/>
      <c r="U395" s="344"/>
      <c r="V395" s="344"/>
      <c r="W395" s="344"/>
      <c r="X395" s="344"/>
      <c r="Y395" s="344"/>
      <c r="Z395" s="344"/>
      <c r="AA395" s="345"/>
      <c r="AB395" s="28"/>
      <c r="AD395" s="27" t="e">
        <f>""""&amp;#REF!&amp;""":""example"&amp;#REF!&amp;"""},"</f>
        <v>#REF!</v>
      </c>
    </row>
    <row r="396" spans="1:32" ht="18" customHeight="1">
      <c r="A396" s="26"/>
      <c r="C396" s="334">
        <v>1</v>
      </c>
      <c r="D396" s="334"/>
      <c r="E396" s="39" t="s">
        <v>291</v>
      </c>
      <c r="F396" s="40"/>
      <c r="G396" s="40"/>
      <c r="H396" s="40"/>
      <c r="I396" s="41"/>
      <c r="J396" s="39"/>
      <c r="K396" s="40"/>
      <c r="L396" s="40"/>
      <c r="M396" s="40"/>
      <c r="N396" s="40"/>
      <c r="O396" s="40"/>
      <c r="P396" s="40"/>
      <c r="Q396" s="40"/>
      <c r="R396" s="40"/>
      <c r="S396" s="40"/>
      <c r="T396" s="40"/>
      <c r="U396" s="40"/>
      <c r="V396" s="40"/>
      <c r="W396" s="40"/>
      <c r="X396" s="40"/>
      <c r="Y396" s="40"/>
      <c r="Z396" s="40"/>
      <c r="AA396" s="41"/>
      <c r="AB396" s="28"/>
      <c r="AD396" s="27" t="e">
        <f>""""&amp;#REF!&amp;""": ["</f>
        <v>#REF!</v>
      </c>
    </row>
    <row r="397" spans="1:32" ht="18" customHeight="1">
      <c r="A397" s="26"/>
      <c r="C397" s="334">
        <v>2</v>
      </c>
      <c r="D397" s="334"/>
      <c r="E397" s="39"/>
      <c r="F397" s="40" t="s">
        <v>166</v>
      </c>
      <c r="G397" s="40"/>
      <c r="H397" s="40"/>
      <c r="I397" s="41"/>
      <c r="J397" s="39" t="s">
        <v>659</v>
      </c>
      <c r="K397" s="40"/>
      <c r="L397" s="40"/>
      <c r="M397" s="40"/>
      <c r="N397" s="40"/>
      <c r="O397" s="40"/>
      <c r="P397" s="40"/>
      <c r="Q397" s="40"/>
      <c r="R397" s="40"/>
      <c r="S397" s="40"/>
      <c r="T397" s="40"/>
      <c r="U397" s="40"/>
      <c r="V397" s="40"/>
      <c r="W397" s="40"/>
      <c r="X397" s="40"/>
      <c r="Y397" s="40"/>
      <c r="Z397" s="40"/>
      <c r="AA397" s="41"/>
      <c r="AB397" s="28"/>
      <c r="AD397" s="27" t="e">
        <f>"{"""&amp;#REF!&amp;""":""example"&amp;#REF!&amp;""","</f>
        <v>#REF!</v>
      </c>
    </row>
    <row r="398" spans="1:32" ht="18" customHeight="1">
      <c r="A398" s="26"/>
      <c r="C398" s="334">
        <v>3</v>
      </c>
      <c r="D398" s="334"/>
      <c r="E398" s="39"/>
      <c r="F398" s="40" t="s">
        <v>155</v>
      </c>
      <c r="G398" s="40"/>
      <c r="H398" s="40"/>
      <c r="I398" s="41"/>
      <c r="J398" s="39" t="s">
        <v>665</v>
      </c>
      <c r="K398" s="40"/>
      <c r="L398" s="40"/>
      <c r="M398" s="40"/>
      <c r="N398" s="40"/>
      <c r="O398" s="40"/>
      <c r="P398" s="40"/>
      <c r="Q398" s="40"/>
      <c r="R398" s="40"/>
      <c r="S398" s="40"/>
      <c r="T398" s="40"/>
      <c r="U398" s="40"/>
      <c r="V398" s="40"/>
      <c r="W398" s="40"/>
      <c r="X398" s="40"/>
      <c r="Y398" s="40"/>
      <c r="Z398" s="40"/>
      <c r="AA398" s="41"/>
      <c r="AB398" s="28"/>
      <c r="AD398" s="27" t="e">
        <f>"{"""&amp;#REF!&amp;""":""example"&amp;#REF!&amp;""","</f>
        <v>#REF!</v>
      </c>
    </row>
    <row r="399" spans="1:32" ht="18" customHeight="1">
      <c r="A399" s="26"/>
      <c r="C399" s="334">
        <v>4</v>
      </c>
      <c r="D399" s="334"/>
      <c r="E399" s="50"/>
      <c r="F399" s="40" t="s">
        <v>284</v>
      </c>
      <c r="G399" s="40"/>
      <c r="H399" s="40"/>
      <c r="I399" s="41"/>
      <c r="J399" s="39" t="s">
        <v>673</v>
      </c>
      <c r="K399" s="40"/>
      <c r="L399" s="40"/>
      <c r="M399" s="40"/>
      <c r="N399" s="40"/>
      <c r="O399" s="40"/>
      <c r="P399" s="40"/>
      <c r="Q399" s="40"/>
      <c r="R399" s="40"/>
      <c r="S399" s="40"/>
      <c r="T399" s="40"/>
      <c r="U399" s="40"/>
      <c r="V399" s="40"/>
      <c r="W399" s="40"/>
      <c r="X399" s="40"/>
      <c r="Y399" s="40"/>
      <c r="Z399" s="40"/>
      <c r="AA399" s="41"/>
      <c r="AB399" s="28"/>
      <c r="AD399" s="27" t="e">
        <f>"{"""&amp;#REF!&amp;""":""example"&amp;#REF!&amp;""","</f>
        <v>#REF!</v>
      </c>
    </row>
    <row r="400" spans="1:32" ht="18" customHeight="1">
      <c r="A400" s="26"/>
      <c r="C400" s="334">
        <v>5</v>
      </c>
      <c r="D400" s="334"/>
      <c r="E400" s="50"/>
      <c r="F400" s="40" t="s">
        <v>190</v>
      </c>
      <c r="G400" s="40"/>
      <c r="H400" s="40"/>
      <c r="I400" s="41"/>
      <c r="J400" s="39" t="s">
        <v>674</v>
      </c>
      <c r="K400" s="40"/>
      <c r="L400" s="40"/>
      <c r="M400" s="40"/>
      <c r="N400" s="40"/>
      <c r="O400" s="40"/>
      <c r="P400" s="40"/>
      <c r="Q400" s="40"/>
      <c r="R400" s="40"/>
      <c r="S400" s="40"/>
      <c r="T400" s="40"/>
      <c r="U400" s="40"/>
      <c r="V400" s="40"/>
      <c r="W400" s="40"/>
      <c r="X400" s="40"/>
      <c r="Y400" s="40"/>
      <c r="Z400" s="40"/>
      <c r="AA400" s="41"/>
      <c r="AB400" s="28"/>
      <c r="AD400" s="27" t="e">
        <f>"{"""&amp;#REF!&amp;""":""example"&amp;#REF!&amp;""","</f>
        <v>#REF!</v>
      </c>
    </row>
    <row r="401" spans="1:30" ht="18" customHeight="1">
      <c r="A401" s="26"/>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28"/>
      <c r="AD401" s="27" t="e">
        <f>"{"""&amp;#REF!&amp;""":""example"&amp;#REF!&amp;""","</f>
        <v>#REF!</v>
      </c>
    </row>
    <row r="402" spans="1:30" ht="18" customHeight="1">
      <c r="A402" s="26"/>
      <c r="C402" s="46" t="s">
        <v>675</v>
      </c>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28"/>
      <c r="AD402" s="27" t="e">
        <f>"{"""&amp;#REF!&amp;""":""example"&amp;#REF!&amp;""","</f>
        <v>#REF!</v>
      </c>
    </row>
    <row r="403" spans="1:30" ht="18" customHeight="1">
      <c r="A403" s="26"/>
      <c r="C403" s="55" t="s">
        <v>289</v>
      </c>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28"/>
      <c r="AD403" s="27" t="e">
        <f>"{"""&amp;#REF!&amp;""":""example"&amp;#REF!&amp;""","</f>
        <v>#REF!</v>
      </c>
    </row>
    <row r="404" spans="1:30" ht="18" customHeight="1">
      <c r="A404" s="26"/>
      <c r="C404" s="319" t="s">
        <v>129</v>
      </c>
      <c r="D404" s="319"/>
      <c r="E404" s="319"/>
      <c r="F404" s="319"/>
      <c r="G404" s="332" t="s">
        <v>837</v>
      </c>
      <c r="H404" s="333"/>
      <c r="I404" s="333"/>
      <c r="J404" s="333"/>
      <c r="K404" s="333"/>
      <c r="L404" s="333"/>
      <c r="M404" s="333"/>
      <c r="N404" s="333"/>
      <c r="O404" s="333"/>
      <c r="P404" s="333"/>
      <c r="Q404" s="333"/>
      <c r="R404" s="333"/>
      <c r="S404" s="333"/>
      <c r="T404" s="333"/>
      <c r="U404" s="333"/>
      <c r="V404" s="333"/>
      <c r="W404" s="333"/>
      <c r="X404" s="333"/>
      <c r="Y404" s="333"/>
      <c r="Z404" s="333"/>
      <c r="AA404" s="333"/>
      <c r="AB404" s="28"/>
    </row>
    <row r="405" spans="1:30" ht="18" customHeight="1">
      <c r="A405" s="26"/>
      <c r="C405" s="319" t="s">
        <v>431</v>
      </c>
      <c r="D405" s="319"/>
      <c r="E405" s="319"/>
      <c r="F405" s="319"/>
      <c r="G405" s="332" t="s">
        <v>838</v>
      </c>
      <c r="H405" s="333"/>
      <c r="I405" s="333"/>
      <c r="J405" s="333"/>
      <c r="K405" s="333"/>
      <c r="L405" s="333"/>
      <c r="M405" s="333"/>
      <c r="N405" s="333"/>
      <c r="O405" s="333"/>
      <c r="P405" s="333"/>
      <c r="Q405" s="333"/>
      <c r="R405" s="333"/>
      <c r="S405" s="333"/>
      <c r="T405" s="333"/>
      <c r="U405" s="333"/>
      <c r="V405" s="333"/>
      <c r="W405" s="333"/>
      <c r="X405" s="333"/>
      <c r="Y405" s="333"/>
      <c r="Z405" s="333"/>
      <c r="AA405" s="333"/>
      <c r="AB405" s="28"/>
    </row>
    <row r="406" spans="1:30" ht="18" customHeight="1">
      <c r="A406" s="26"/>
      <c r="C406" s="319" t="s">
        <v>432</v>
      </c>
      <c r="D406" s="319"/>
      <c r="E406" s="319"/>
      <c r="F406" s="319"/>
      <c r="G406" s="332" t="s">
        <v>839</v>
      </c>
      <c r="H406" s="333"/>
      <c r="I406" s="333"/>
      <c r="J406" s="333"/>
      <c r="K406" s="333"/>
      <c r="L406" s="333"/>
      <c r="M406" s="333"/>
      <c r="N406" s="333"/>
      <c r="O406" s="333"/>
      <c r="P406" s="333"/>
      <c r="Q406" s="333"/>
      <c r="R406" s="333"/>
      <c r="S406" s="333"/>
      <c r="T406" s="333"/>
      <c r="U406" s="333"/>
      <c r="V406" s="333"/>
      <c r="W406" s="333"/>
      <c r="X406" s="333"/>
      <c r="Y406" s="333"/>
      <c r="Z406" s="333"/>
      <c r="AA406" s="333"/>
      <c r="AB406" s="28"/>
    </row>
    <row r="407" spans="1:30" ht="18" customHeight="1">
      <c r="A407" s="26"/>
      <c r="C407" s="337" t="s">
        <v>7</v>
      </c>
      <c r="D407" s="337"/>
      <c r="E407" s="337" t="s">
        <v>9</v>
      </c>
      <c r="F407" s="337"/>
      <c r="G407" s="337"/>
      <c r="H407" s="337"/>
      <c r="I407" s="337"/>
      <c r="J407" s="343" t="s">
        <v>18</v>
      </c>
      <c r="K407" s="344"/>
      <c r="L407" s="344"/>
      <c r="M407" s="344"/>
      <c r="N407" s="344"/>
      <c r="O407" s="344"/>
      <c r="P407" s="344"/>
      <c r="Q407" s="344"/>
      <c r="R407" s="344"/>
      <c r="S407" s="344"/>
      <c r="T407" s="344"/>
      <c r="U407" s="344"/>
      <c r="V407" s="344"/>
      <c r="W407" s="344"/>
      <c r="X407" s="344"/>
      <c r="Y407" s="344"/>
      <c r="Z407" s="344"/>
      <c r="AA407" s="345"/>
      <c r="AB407" s="28"/>
      <c r="AD407" s="27" t="e">
        <f>""""&amp;#REF!&amp;""":""example"&amp;#REF!&amp;""","</f>
        <v>#REF!</v>
      </c>
    </row>
    <row r="408" spans="1:30" ht="18" customHeight="1">
      <c r="A408" s="26"/>
      <c r="C408" s="334">
        <v>1</v>
      </c>
      <c r="D408" s="334"/>
      <c r="E408" s="39" t="s">
        <v>291</v>
      </c>
      <c r="F408" s="40"/>
      <c r="G408" s="40"/>
      <c r="H408" s="40"/>
      <c r="I408" s="41"/>
      <c r="J408" s="39"/>
      <c r="K408" s="40"/>
      <c r="L408" s="40"/>
      <c r="M408" s="40"/>
      <c r="N408" s="40"/>
      <c r="O408" s="40"/>
      <c r="P408" s="40"/>
      <c r="Q408" s="40"/>
      <c r="R408" s="40"/>
      <c r="S408" s="40"/>
      <c r="T408" s="40"/>
      <c r="U408" s="40"/>
      <c r="V408" s="40"/>
      <c r="W408" s="40"/>
      <c r="X408" s="40"/>
      <c r="Y408" s="40"/>
      <c r="Z408" s="40"/>
      <c r="AA408" s="41"/>
      <c r="AB408" s="28"/>
      <c r="AD408" s="27" t="e">
        <f>""""&amp;#REF!&amp;""":""example"&amp;#REF!&amp;"""},"</f>
        <v>#REF!</v>
      </c>
    </row>
    <row r="409" spans="1:30" ht="18" customHeight="1">
      <c r="A409" s="26"/>
      <c r="C409" s="347">
        <v>2</v>
      </c>
      <c r="D409" s="349"/>
      <c r="E409" s="39"/>
      <c r="F409" s="40" t="s">
        <v>166</v>
      </c>
      <c r="G409" s="40"/>
      <c r="H409" s="40"/>
      <c r="I409" s="41"/>
      <c r="J409" s="39" t="s">
        <v>676</v>
      </c>
      <c r="K409" s="40"/>
      <c r="L409" s="40"/>
      <c r="M409" s="40"/>
      <c r="N409" s="40"/>
      <c r="O409" s="40"/>
      <c r="P409" s="40"/>
      <c r="Q409" s="40"/>
      <c r="R409" s="40"/>
      <c r="S409" s="40"/>
      <c r="T409" s="40"/>
      <c r="U409" s="40"/>
      <c r="V409" s="40"/>
      <c r="W409" s="40"/>
      <c r="X409" s="40"/>
      <c r="Y409" s="40"/>
      <c r="Z409" s="40"/>
      <c r="AA409" s="41"/>
      <c r="AB409" s="28"/>
      <c r="AD409" s="27" t="e">
        <f>""""&amp;#REF!&amp;""": ["</f>
        <v>#REF!</v>
      </c>
    </row>
    <row r="410" spans="1:30" ht="18" customHeight="1">
      <c r="A410" s="26"/>
      <c r="C410" s="347">
        <v>3</v>
      </c>
      <c r="D410" s="349"/>
      <c r="E410" s="39"/>
      <c r="F410" s="40" t="s">
        <v>155</v>
      </c>
      <c r="G410" s="40"/>
      <c r="H410" s="40"/>
      <c r="I410" s="41"/>
      <c r="J410" s="39" t="s">
        <v>677</v>
      </c>
      <c r="K410" s="40"/>
      <c r="L410" s="40"/>
      <c r="M410" s="40"/>
      <c r="N410" s="40"/>
      <c r="O410" s="40"/>
      <c r="P410" s="40"/>
      <c r="Q410" s="40"/>
      <c r="R410" s="40"/>
      <c r="S410" s="40"/>
      <c r="T410" s="40"/>
      <c r="U410" s="40"/>
      <c r="V410" s="40"/>
      <c r="W410" s="40"/>
      <c r="X410" s="40"/>
      <c r="Y410" s="40"/>
      <c r="Z410" s="40"/>
      <c r="AA410" s="41"/>
      <c r="AB410" s="28"/>
      <c r="AD410" s="27" t="e">
        <f>"{"""&amp;#REF!&amp;""":""example"&amp;#REF!&amp;""","</f>
        <v>#REF!</v>
      </c>
    </row>
    <row r="411" spans="1:30" ht="18" customHeight="1">
      <c r="A411" s="26"/>
      <c r="C411" s="347">
        <v>4</v>
      </c>
      <c r="D411" s="349"/>
      <c r="E411" s="50"/>
      <c r="F411" s="40" t="s">
        <v>284</v>
      </c>
      <c r="G411" s="40"/>
      <c r="H411" s="40"/>
      <c r="I411" s="41"/>
      <c r="J411" s="39" t="s">
        <v>678</v>
      </c>
      <c r="K411" s="40"/>
      <c r="L411" s="40"/>
      <c r="M411" s="40"/>
      <c r="N411" s="40"/>
      <c r="O411" s="40"/>
      <c r="P411" s="40"/>
      <c r="Q411" s="40"/>
      <c r="R411" s="40"/>
      <c r="S411" s="40"/>
      <c r="T411" s="40"/>
      <c r="U411" s="40"/>
      <c r="V411" s="40"/>
      <c r="W411" s="40"/>
      <c r="X411" s="40"/>
      <c r="Y411" s="40"/>
      <c r="Z411" s="40"/>
      <c r="AA411" s="41"/>
      <c r="AB411" s="28"/>
      <c r="AD411" s="27" t="e">
        <f>""""&amp;#REF!&amp;""":""example"&amp;#REF!&amp;""","</f>
        <v>#REF!</v>
      </c>
    </row>
    <row r="412" spans="1:30" ht="18" customHeight="1">
      <c r="A412" s="26"/>
      <c r="C412" s="347">
        <v>5</v>
      </c>
      <c r="D412" s="349"/>
      <c r="E412" s="50"/>
      <c r="F412" s="40" t="s">
        <v>190</v>
      </c>
      <c r="G412" s="40"/>
      <c r="H412" s="40"/>
      <c r="I412" s="41"/>
      <c r="J412" s="39" t="s">
        <v>679</v>
      </c>
      <c r="K412" s="40"/>
      <c r="L412" s="40"/>
      <c r="M412" s="40"/>
      <c r="N412" s="40"/>
      <c r="O412" s="40"/>
      <c r="P412" s="40"/>
      <c r="Q412" s="40"/>
      <c r="R412" s="40"/>
      <c r="S412" s="40"/>
      <c r="T412" s="40"/>
      <c r="U412" s="40"/>
      <c r="V412" s="40"/>
      <c r="W412" s="40"/>
      <c r="X412" s="40"/>
      <c r="Y412" s="40"/>
      <c r="Z412" s="40"/>
      <c r="AA412" s="41"/>
      <c r="AB412" s="28"/>
      <c r="AD412" s="27" t="e">
        <f>""""&amp;#REF!&amp;""": ["</f>
        <v>#REF!</v>
      </c>
    </row>
    <row r="413" spans="1:30" ht="18" customHeight="1">
      <c r="A413" s="26"/>
      <c r="C413" s="347">
        <v>6</v>
      </c>
      <c r="D413" s="349"/>
      <c r="E413" s="47"/>
      <c r="F413" s="31" t="s">
        <v>288</v>
      </c>
      <c r="G413" s="40"/>
      <c r="H413" s="40"/>
      <c r="I413" s="41"/>
      <c r="J413" s="39" t="s">
        <v>680</v>
      </c>
      <c r="K413" s="40"/>
      <c r="L413" s="40"/>
      <c r="M413" s="40"/>
      <c r="N413" s="40"/>
      <c r="O413" s="40"/>
      <c r="P413" s="40"/>
      <c r="Q413" s="40"/>
      <c r="R413" s="40"/>
      <c r="S413" s="40"/>
      <c r="T413" s="40"/>
      <c r="U413" s="40"/>
      <c r="V413" s="40"/>
      <c r="W413" s="40"/>
      <c r="X413" s="40"/>
      <c r="Y413" s="40"/>
      <c r="Z413" s="40"/>
      <c r="AA413" s="41"/>
      <c r="AB413" s="28"/>
      <c r="AD413" s="27" t="e">
        <f>"{"""&amp;#REF!&amp;""":""example"&amp;#REF!&amp;""","</f>
        <v>#REF!</v>
      </c>
    </row>
    <row r="414" spans="1:30" ht="18" customHeight="1">
      <c r="A414" s="26"/>
      <c r="C414" s="347">
        <v>7</v>
      </c>
      <c r="D414" s="349"/>
      <c r="E414" s="47"/>
      <c r="F414" s="31" t="s">
        <v>286</v>
      </c>
      <c r="G414" s="40"/>
      <c r="H414" s="40"/>
      <c r="I414" s="41"/>
      <c r="J414" s="39" t="s">
        <v>681</v>
      </c>
      <c r="K414" s="40"/>
      <c r="L414" s="40"/>
      <c r="M414" s="40"/>
      <c r="N414" s="40"/>
      <c r="O414" s="40"/>
      <c r="P414" s="40"/>
      <c r="Q414" s="40"/>
      <c r="R414" s="40"/>
      <c r="S414" s="40"/>
      <c r="T414" s="40"/>
      <c r="U414" s="40"/>
      <c r="V414" s="40"/>
      <c r="W414" s="40"/>
      <c r="X414" s="40"/>
      <c r="Y414" s="40"/>
      <c r="Z414" s="40"/>
      <c r="AA414" s="41"/>
      <c r="AB414" s="28"/>
      <c r="AD414" s="27" t="e">
        <f>"{"""&amp;#REF!&amp;""":""example"&amp;#REF!&amp;""","</f>
        <v>#REF!</v>
      </c>
    </row>
    <row r="415" spans="1:30" ht="18" customHeight="1">
      <c r="A415" s="26"/>
      <c r="C415" s="347">
        <v>8</v>
      </c>
      <c r="D415" s="349"/>
      <c r="E415" s="47"/>
      <c r="F415" s="31" t="s">
        <v>450</v>
      </c>
      <c r="G415" s="40"/>
      <c r="H415" s="40"/>
      <c r="I415" s="41"/>
      <c r="J415" s="39" t="s">
        <v>682</v>
      </c>
      <c r="K415" s="40"/>
      <c r="L415" s="40"/>
      <c r="M415" s="40"/>
      <c r="N415" s="40"/>
      <c r="O415" s="40"/>
      <c r="P415" s="40"/>
      <c r="Q415" s="40"/>
      <c r="R415" s="40"/>
      <c r="S415" s="40"/>
      <c r="T415" s="40"/>
      <c r="U415" s="40"/>
      <c r="V415" s="40"/>
      <c r="W415" s="40"/>
      <c r="X415" s="40"/>
      <c r="Y415" s="40"/>
      <c r="Z415" s="40"/>
      <c r="AA415" s="41"/>
      <c r="AB415" s="28"/>
      <c r="AD415" s="27" t="e">
        <f>"{"""&amp;#REF!&amp;""":""example"&amp;#REF!&amp;""","</f>
        <v>#REF!</v>
      </c>
    </row>
    <row r="416" spans="1:30" ht="18" customHeight="1">
      <c r="A416" s="26"/>
      <c r="C416" s="38"/>
      <c r="D416" s="38"/>
      <c r="E416" s="46"/>
      <c r="F416" s="46"/>
      <c r="AB416" s="28"/>
      <c r="AD416" s="27" t="e">
        <f>""""&amp;#REF!&amp;""":""example"&amp;#REF!&amp;""","</f>
        <v>#REF!</v>
      </c>
    </row>
    <row r="417" spans="1:30" ht="18" customHeight="1">
      <c r="A417" s="26"/>
      <c r="C417" s="46" t="s">
        <v>683</v>
      </c>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28"/>
      <c r="AD417" s="27" t="e">
        <f>""""&amp;#REF!&amp;""":""example"&amp;#REF!&amp;"""},"</f>
        <v>#REF!</v>
      </c>
    </row>
    <row r="418" spans="1:30" ht="18" customHeight="1">
      <c r="A418" s="26"/>
      <c r="C418" s="55" t="s">
        <v>289</v>
      </c>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28"/>
      <c r="AD418" s="27" t="e">
        <f>""""&amp;#REF!&amp;""": ["</f>
        <v>#REF!</v>
      </c>
    </row>
    <row r="419" spans="1:30" ht="18" customHeight="1">
      <c r="A419" s="26"/>
      <c r="C419" s="319" t="s">
        <v>129</v>
      </c>
      <c r="D419" s="319"/>
      <c r="E419" s="319"/>
      <c r="F419" s="319"/>
      <c r="G419" s="332" t="s">
        <v>840</v>
      </c>
      <c r="H419" s="333"/>
      <c r="I419" s="333"/>
      <c r="J419" s="333"/>
      <c r="K419" s="333"/>
      <c r="L419" s="333"/>
      <c r="M419" s="333"/>
      <c r="N419" s="333"/>
      <c r="O419" s="333"/>
      <c r="P419" s="333"/>
      <c r="Q419" s="333"/>
      <c r="R419" s="333"/>
      <c r="S419" s="333"/>
      <c r="T419" s="333"/>
      <c r="U419" s="333"/>
      <c r="V419" s="333"/>
      <c r="W419" s="333"/>
      <c r="X419" s="333"/>
      <c r="Y419" s="333"/>
      <c r="Z419" s="333"/>
      <c r="AA419" s="333"/>
      <c r="AB419" s="28"/>
    </row>
    <row r="420" spans="1:30" ht="18" customHeight="1">
      <c r="A420" s="26"/>
      <c r="C420" s="319" t="s">
        <v>431</v>
      </c>
      <c r="D420" s="319"/>
      <c r="E420" s="319"/>
      <c r="F420" s="319"/>
      <c r="G420" s="332" t="s">
        <v>841</v>
      </c>
      <c r="H420" s="333"/>
      <c r="I420" s="333"/>
      <c r="J420" s="333"/>
      <c r="K420" s="333"/>
      <c r="L420" s="333"/>
      <c r="M420" s="333"/>
      <c r="N420" s="333"/>
      <c r="O420" s="333"/>
      <c r="P420" s="333"/>
      <c r="Q420" s="333"/>
      <c r="R420" s="333"/>
      <c r="S420" s="333"/>
      <c r="T420" s="333"/>
      <c r="U420" s="333"/>
      <c r="V420" s="333"/>
      <c r="W420" s="333"/>
      <c r="X420" s="333"/>
      <c r="Y420" s="333"/>
      <c r="Z420" s="333"/>
      <c r="AA420" s="333"/>
      <c r="AB420" s="28"/>
      <c r="AD420" s="27" t="e">
        <f>"{"""&amp;#REF!&amp;""":""example"&amp;#REF!&amp;""","</f>
        <v>#REF!</v>
      </c>
    </row>
    <row r="421" spans="1:30" ht="18" customHeight="1">
      <c r="A421" s="26"/>
      <c r="C421" s="337" t="s">
        <v>7</v>
      </c>
      <c r="D421" s="337"/>
      <c r="E421" s="337" t="s">
        <v>9</v>
      </c>
      <c r="F421" s="337"/>
      <c r="G421" s="337"/>
      <c r="H421" s="337"/>
      <c r="I421" s="337"/>
      <c r="J421" s="343" t="s">
        <v>18</v>
      </c>
      <c r="K421" s="344"/>
      <c r="L421" s="344"/>
      <c r="M421" s="344"/>
      <c r="N421" s="344"/>
      <c r="O421" s="344"/>
      <c r="P421" s="344"/>
      <c r="Q421" s="344"/>
      <c r="R421" s="344"/>
      <c r="S421" s="344"/>
      <c r="T421" s="344"/>
      <c r="U421" s="344"/>
      <c r="V421" s="344"/>
      <c r="W421" s="344"/>
      <c r="X421" s="344"/>
      <c r="Y421" s="344"/>
      <c r="Z421" s="344"/>
      <c r="AA421" s="345"/>
      <c r="AB421" s="28"/>
      <c r="AD421" s="27" t="e">
        <f>""""&amp;#REF!&amp;""":""example"&amp;#REF!&amp;""","</f>
        <v>#REF!</v>
      </c>
    </row>
    <row r="422" spans="1:30" ht="18" customHeight="1">
      <c r="A422" s="26"/>
      <c r="C422" s="334">
        <v>1</v>
      </c>
      <c r="D422" s="334"/>
      <c r="E422" s="39" t="s">
        <v>291</v>
      </c>
      <c r="F422" s="40"/>
      <c r="G422" s="40"/>
      <c r="H422" s="40"/>
      <c r="I422" s="41"/>
      <c r="J422" s="39"/>
      <c r="K422" s="40"/>
      <c r="L422" s="40"/>
      <c r="M422" s="40"/>
      <c r="N422" s="40"/>
      <c r="O422" s="40"/>
      <c r="P422" s="40"/>
      <c r="Q422" s="40"/>
      <c r="R422" s="40"/>
      <c r="S422" s="40"/>
      <c r="T422" s="40"/>
      <c r="U422" s="40"/>
      <c r="V422" s="40"/>
      <c r="W422" s="40"/>
      <c r="X422" s="40"/>
      <c r="Y422" s="40"/>
      <c r="Z422" s="40"/>
      <c r="AA422" s="41"/>
      <c r="AB422" s="28"/>
      <c r="AD422" s="27" t="e">
        <f>""""&amp;#REF!&amp;""": ["</f>
        <v>#REF!</v>
      </c>
    </row>
    <row r="423" spans="1:30" ht="18" customHeight="1">
      <c r="A423" s="26"/>
      <c r="C423" s="347">
        <v>2</v>
      </c>
      <c r="D423" s="349"/>
      <c r="E423" s="39"/>
      <c r="F423" s="40" t="s">
        <v>166</v>
      </c>
      <c r="G423" s="40"/>
      <c r="H423" s="40"/>
      <c r="I423" s="41"/>
      <c r="J423" s="39" t="s">
        <v>676</v>
      </c>
      <c r="K423" s="40"/>
      <c r="L423" s="40"/>
      <c r="M423" s="40"/>
      <c r="N423" s="40"/>
      <c r="O423" s="40"/>
      <c r="P423" s="40"/>
      <c r="Q423" s="40"/>
      <c r="R423" s="40"/>
      <c r="S423" s="40"/>
      <c r="T423" s="40"/>
      <c r="U423" s="40"/>
      <c r="V423" s="40"/>
      <c r="W423" s="40"/>
      <c r="X423" s="40"/>
      <c r="Y423" s="40"/>
      <c r="Z423" s="40"/>
      <c r="AA423" s="41"/>
      <c r="AB423" s="28"/>
      <c r="AD423" s="27" t="e">
        <f>"{"""&amp;#REF!&amp;""":""example"&amp;#REF!&amp;""","</f>
        <v>#REF!</v>
      </c>
    </row>
    <row r="424" spans="1:30" ht="18" customHeight="1">
      <c r="A424" s="26"/>
      <c r="C424" s="347">
        <v>3</v>
      </c>
      <c r="D424" s="349"/>
      <c r="E424" s="39"/>
      <c r="F424" s="40" t="s">
        <v>155</v>
      </c>
      <c r="G424" s="40"/>
      <c r="H424" s="40"/>
      <c r="I424" s="41"/>
      <c r="J424" s="39" t="s">
        <v>677</v>
      </c>
      <c r="K424" s="40"/>
      <c r="L424" s="40"/>
      <c r="M424" s="40"/>
      <c r="N424" s="40"/>
      <c r="O424" s="40"/>
      <c r="P424" s="40"/>
      <c r="Q424" s="40"/>
      <c r="R424" s="40"/>
      <c r="S424" s="40"/>
      <c r="T424" s="40"/>
      <c r="U424" s="40"/>
      <c r="V424" s="40"/>
      <c r="W424" s="40"/>
      <c r="X424" s="40"/>
      <c r="Y424" s="40"/>
      <c r="Z424" s="40"/>
      <c r="AA424" s="41"/>
      <c r="AB424" s="28"/>
      <c r="AD424" s="27" t="e">
        <f>"{"""&amp;#REF!&amp;""":""example"&amp;#REF!&amp;""","</f>
        <v>#REF!</v>
      </c>
    </row>
    <row r="425" spans="1:30" ht="18" customHeight="1">
      <c r="A425" s="26"/>
      <c r="C425" s="347">
        <v>4</v>
      </c>
      <c r="D425" s="349"/>
      <c r="E425" s="50"/>
      <c r="F425" s="40" t="s">
        <v>284</v>
      </c>
      <c r="G425" s="40"/>
      <c r="H425" s="40"/>
      <c r="I425" s="41"/>
      <c r="J425" s="39" t="s">
        <v>678</v>
      </c>
      <c r="K425" s="40"/>
      <c r="L425" s="40"/>
      <c r="M425" s="40"/>
      <c r="N425" s="40"/>
      <c r="O425" s="40"/>
      <c r="P425" s="40"/>
      <c r="Q425" s="40"/>
      <c r="R425" s="40"/>
      <c r="S425" s="40"/>
      <c r="T425" s="40"/>
      <c r="U425" s="40"/>
      <c r="V425" s="40"/>
      <c r="W425" s="40"/>
      <c r="X425" s="40"/>
      <c r="Y425" s="40"/>
      <c r="Z425" s="40"/>
      <c r="AA425" s="41"/>
      <c r="AB425" s="28"/>
      <c r="AD425" s="27" t="e">
        <f>"{"""&amp;#REF!&amp;""":""example"&amp;#REF!&amp;""","</f>
        <v>#REF!</v>
      </c>
    </row>
    <row r="426" spans="1:30" ht="18" customHeight="1">
      <c r="A426" s="26"/>
      <c r="C426" s="347">
        <v>5</v>
      </c>
      <c r="D426" s="349"/>
      <c r="E426" s="50"/>
      <c r="F426" s="40" t="s">
        <v>190</v>
      </c>
      <c r="G426" s="40"/>
      <c r="H426" s="40"/>
      <c r="I426" s="41"/>
      <c r="J426" s="39" t="s">
        <v>679</v>
      </c>
      <c r="K426" s="40"/>
      <c r="L426" s="40"/>
      <c r="M426" s="40"/>
      <c r="N426" s="40"/>
      <c r="O426" s="40"/>
      <c r="P426" s="40"/>
      <c r="Q426" s="40"/>
      <c r="R426" s="40"/>
      <c r="S426" s="40"/>
      <c r="T426" s="40"/>
      <c r="U426" s="40"/>
      <c r="V426" s="40"/>
      <c r="W426" s="40"/>
      <c r="X426" s="40"/>
      <c r="Y426" s="40"/>
      <c r="Z426" s="40"/>
      <c r="AA426" s="41"/>
      <c r="AB426" s="28"/>
      <c r="AD426" s="27" t="e">
        <f>"{"""&amp;#REF!&amp;""":""example"&amp;#REF!&amp;""","</f>
        <v>#REF!</v>
      </c>
    </row>
    <row r="427" spans="1:30" ht="18" customHeight="1">
      <c r="A427" s="26"/>
      <c r="C427" s="347">
        <v>6</v>
      </c>
      <c r="D427" s="349"/>
      <c r="E427" s="47"/>
      <c r="F427" s="31" t="s">
        <v>288</v>
      </c>
      <c r="G427" s="40"/>
      <c r="H427" s="40"/>
      <c r="I427" s="41"/>
      <c r="J427" s="39" t="s">
        <v>680</v>
      </c>
      <c r="K427" s="40"/>
      <c r="L427" s="40"/>
      <c r="M427" s="40"/>
      <c r="N427" s="40"/>
      <c r="O427" s="40"/>
      <c r="P427" s="40"/>
      <c r="Q427" s="40"/>
      <c r="R427" s="40"/>
      <c r="S427" s="40"/>
      <c r="T427" s="40"/>
      <c r="U427" s="40"/>
      <c r="V427" s="40"/>
      <c r="W427" s="40"/>
      <c r="X427" s="40"/>
      <c r="Y427" s="40"/>
      <c r="Z427" s="40"/>
      <c r="AA427" s="41"/>
      <c r="AB427" s="28"/>
      <c r="AD427" s="27" t="e">
        <f>"{"""&amp;#REF!&amp;""":""example"&amp;#REF!&amp;""","</f>
        <v>#REF!</v>
      </c>
    </row>
    <row r="428" spans="1:30" ht="18" customHeight="1">
      <c r="A428" s="26"/>
      <c r="C428" s="347">
        <v>7</v>
      </c>
      <c r="D428" s="349"/>
      <c r="E428" s="47"/>
      <c r="F428" s="31" t="s">
        <v>286</v>
      </c>
      <c r="G428" s="40"/>
      <c r="H428" s="40"/>
      <c r="I428" s="41"/>
      <c r="J428" s="39" t="s">
        <v>681</v>
      </c>
      <c r="K428" s="40"/>
      <c r="L428" s="40"/>
      <c r="M428" s="40"/>
      <c r="N428" s="40"/>
      <c r="O428" s="40"/>
      <c r="P428" s="40"/>
      <c r="Q428" s="40"/>
      <c r="R428" s="40"/>
      <c r="S428" s="40"/>
      <c r="T428" s="40"/>
      <c r="U428" s="40"/>
      <c r="V428" s="40"/>
      <c r="W428" s="40"/>
      <c r="X428" s="40"/>
      <c r="Y428" s="40"/>
      <c r="Z428" s="40"/>
      <c r="AA428" s="41"/>
      <c r="AB428" s="28"/>
      <c r="AD428" s="27" t="e">
        <f>"{"""&amp;#REF!&amp;""":""example"&amp;#REF!&amp;""","</f>
        <v>#REF!</v>
      </c>
    </row>
    <row r="429" spans="1:30" ht="18" customHeight="1">
      <c r="A429" s="26"/>
      <c r="C429" s="347">
        <v>8</v>
      </c>
      <c r="D429" s="349"/>
      <c r="E429" s="47"/>
      <c r="F429" s="31" t="s">
        <v>450</v>
      </c>
      <c r="G429" s="40"/>
      <c r="H429" s="40"/>
      <c r="I429" s="41"/>
      <c r="J429" s="39" t="s">
        <v>682</v>
      </c>
      <c r="K429" s="40"/>
      <c r="L429" s="40"/>
      <c r="M429" s="40"/>
      <c r="N429" s="40"/>
      <c r="O429" s="40"/>
      <c r="P429" s="40"/>
      <c r="Q429" s="40"/>
      <c r="R429" s="40"/>
      <c r="S429" s="40"/>
      <c r="T429" s="40"/>
      <c r="U429" s="40"/>
      <c r="V429" s="40"/>
      <c r="W429" s="40"/>
      <c r="X429" s="40"/>
      <c r="Y429" s="40"/>
      <c r="Z429" s="40"/>
      <c r="AA429" s="41"/>
      <c r="AB429" s="28"/>
      <c r="AD429" s="27" t="e">
        <f>"{"""&amp;#REF!&amp;""":""example"&amp;#REF!&amp;""","</f>
        <v>#REF!</v>
      </c>
    </row>
    <row r="430" spans="1:30" ht="18" customHeight="1">
      <c r="A430" s="26"/>
      <c r="C430" s="347">
        <v>9</v>
      </c>
      <c r="D430" s="349"/>
      <c r="E430" s="39"/>
      <c r="F430" s="40" t="s">
        <v>448</v>
      </c>
      <c r="G430" s="40"/>
      <c r="H430" s="40"/>
      <c r="I430" s="41"/>
      <c r="J430" s="39"/>
      <c r="K430" s="40"/>
      <c r="L430" s="40"/>
      <c r="M430" s="40"/>
      <c r="N430" s="40"/>
      <c r="O430" s="40"/>
      <c r="P430" s="40"/>
      <c r="Q430" s="40"/>
      <c r="R430" s="40"/>
      <c r="S430" s="40"/>
      <c r="T430" s="40"/>
      <c r="U430" s="40"/>
      <c r="V430" s="40"/>
      <c r="W430" s="40"/>
      <c r="X430" s="40"/>
      <c r="Y430" s="40"/>
      <c r="Z430" s="40"/>
      <c r="AA430" s="41"/>
      <c r="AB430" s="28"/>
      <c r="AD430" s="27" t="e">
        <f>"{"""&amp;#REF!&amp;""":""example"&amp;#REF!&amp;""","</f>
        <v>#REF!</v>
      </c>
    </row>
    <row r="431" spans="1:30" ht="18" customHeight="1">
      <c r="A431" s="26"/>
      <c r="C431" s="347">
        <v>10</v>
      </c>
      <c r="D431" s="349"/>
      <c r="E431" s="39"/>
      <c r="F431" s="40"/>
      <c r="G431" s="40" t="s">
        <v>379</v>
      </c>
      <c r="H431" s="40"/>
      <c r="I431" s="41"/>
      <c r="J431" s="39" t="str">
        <f t="shared" ref="J431:J445" si="3">"9-3．精積算明細．"&amp;G431</f>
        <v>9-3．精積算明細．精積算明細ID</v>
      </c>
      <c r="K431" s="40"/>
      <c r="L431" s="40"/>
      <c r="M431" s="40"/>
      <c r="N431" s="40"/>
      <c r="O431" s="40"/>
      <c r="P431" s="40"/>
      <c r="Q431" s="40"/>
      <c r="R431" s="40"/>
      <c r="S431" s="40"/>
      <c r="T431" s="40"/>
      <c r="U431" s="40"/>
      <c r="V431" s="40"/>
      <c r="W431" s="40"/>
      <c r="X431" s="40"/>
      <c r="Y431" s="40"/>
      <c r="Z431" s="40"/>
      <c r="AA431" s="41"/>
      <c r="AB431" s="28"/>
      <c r="AD431" s="27" t="e">
        <f>""""&amp;#REF!&amp;""":""example"&amp;#REF!&amp;""","</f>
        <v>#REF!</v>
      </c>
    </row>
    <row r="432" spans="1:30" ht="18" customHeight="1">
      <c r="A432" s="26"/>
      <c r="C432" s="347">
        <v>11</v>
      </c>
      <c r="D432" s="349"/>
      <c r="E432" s="50"/>
      <c r="F432" s="40"/>
      <c r="G432" s="40" t="s">
        <v>267</v>
      </c>
      <c r="H432" s="40"/>
      <c r="I432" s="41"/>
      <c r="J432" s="39" t="str">
        <f t="shared" si="3"/>
        <v>9-3．精積算明細．精積算ヘッダID</v>
      </c>
      <c r="K432" s="40"/>
      <c r="L432" s="40"/>
      <c r="M432" s="40"/>
      <c r="N432" s="40"/>
      <c r="O432" s="40"/>
      <c r="P432" s="40"/>
      <c r="Q432" s="40"/>
      <c r="R432" s="40"/>
      <c r="S432" s="40"/>
      <c r="T432" s="40"/>
      <c r="U432" s="40"/>
      <c r="V432" s="40"/>
      <c r="W432" s="40"/>
      <c r="X432" s="40"/>
      <c r="Y432" s="40"/>
      <c r="Z432" s="40"/>
      <c r="AA432" s="41"/>
      <c r="AB432" s="28"/>
    </row>
    <row r="433" spans="1:30" ht="18" customHeight="1">
      <c r="A433" s="26"/>
      <c r="C433" s="347">
        <v>12</v>
      </c>
      <c r="D433" s="349"/>
      <c r="E433" s="50"/>
      <c r="F433" s="40"/>
      <c r="G433" s="40" t="s">
        <v>376</v>
      </c>
      <c r="H433" s="40"/>
      <c r="I433" s="41"/>
      <c r="J433" s="39" t="str">
        <f t="shared" si="3"/>
        <v>9-3．精積算明細．大工事コード</v>
      </c>
      <c r="K433" s="40"/>
      <c r="L433" s="40"/>
      <c r="M433" s="40"/>
      <c r="N433" s="40"/>
      <c r="O433" s="40"/>
      <c r="P433" s="40"/>
      <c r="Q433" s="40"/>
      <c r="R433" s="40"/>
      <c r="S433" s="40"/>
      <c r="T433" s="40"/>
      <c r="U433" s="40"/>
      <c r="V433" s="40"/>
      <c r="W433" s="40"/>
      <c r="X433" s="40"/>
      <c r="Y433" s="40"/>
      <c r="Z433" s="40"/>
      <c r="AA433" s="41"/>
      <c r="AB433" s="28"/>
      <c r="AD433" s="27" t="e">
        <f>""""&amp;#REF!&amp;""":""example"&amp;#REF!&amp;""","</f>
        <v>#REF!</v>
      </c>
    </row>
    <row r="434" spans="1:30" ht="18" customHeight="1">
      <c r="A434" s="26"/>
      <c r="C434" s="347">
        <v>13</v>
      </c>
      <c r="D434" s="349"/>
      <c r="E434" s="47"/>
      <c r="F434" s="40"/>
      <c r="G434" s="31" t="s">
        <v>377</v>
      </c>
      <c r="H434" s="40"/>
      <c r="I434" s="41"/>
      <c r="J434" s="39" t="str">
        <f t="shared" si="3"/>
        <v>9-3．精積算明細．小工事コード</v>
      </c>
      <c r="K434" s="40"/>
      <c r="L434" s="40"/>
      <c r="M434" s="40"/>
      <c r="N434" s="40"/>
      <c r="O434" s="40"/>
      <c r="P434" s="40"/>
      <c r="Q434" s="40"/>
      <c r="R434" s="40"/>
      <c r="S434" s="40"/>
      <c r="T434" s="40"/>
      <c r="U434" s="40"/>
      <c r="V434" s="40"/>
      <c r="W434" s="40"/>
      <c r="X434" s="40"/>
      <c r="Y434" s="40"/>
      <c r="Z434" s="40"/>
      <c r="AA434" s="41"/>
      <c r="AB434" s="28"/>
      <c r="AD434" s="27" t="e">
        <f>""""&amp;#REF!&amp;""":""example"&amp;#REF!&amp;"""},"</f>
        <v>#REF!</v>
      </c>
    </row>
    <row r="435" spans="1:30" ht="18" customHeight="1">
      <c r="A435" s="26"/>
      <c r="C435" s="347">
        <v>14</v>
      </c>
      <c r="D435" s="349"/>
      <c r="E435" s="47"/>
      <c r="F435" s="40"/>
      <c r="G435" s="31" t="s">
        <v>378</v>
      </c>
      <c r="H435" s="40"/>
      <c r="I435" s="41"/>
      <c r="J435" s="39" t="str">
        <f t="shared" si="3"/>
        <v>9-3．精積算明細．工事連番</v>
      </c>
      <c r="K435" s="40"/>
      <c r="L435" s="40"/>
      <c r="M435" s="40"/>
      <c r="N435" s="40"/>
      <c r="O435" s="40"/>
      <c r="P435" s="40"/>
      <c r="Q435" s="40"/>
      <c r="R435" s="40"/>
      <c r="S435" s="40"/>
      <c r="T435" s="40"/>
      <c r="U435" s="40"/>
      <c r="V435" s="40"/>
      <c r="W435" s="40"/>
      <c r="X435" s="40"/>
      <c r="Y435" s="40"/>
      <c r="Z435" s="40"/>
      <c r="AA435" s="41"/>
      <c r="AB435" s="28"/>
      <c r="AD435" s="27" t="e">
        <f>""""&amp;#REF!&amp;""": ["</f>
        <v>#REF!</v>
      </c>
    </row>
    <row r="436" spans="1:30" ht="18" customHeight="1">
      <c r="A436" s="26"/>
      <c r="C436" s="347">
        <v>15</v>
      </c>
      <c r="D436" s="349"/>
      <c r="E436" s="39"/>
      <c r="F436" s="40"/>
      <c r="G436" s="40" t="s">
        <v>433</v>
      </c>
      <c r="H436" s="40"/>
      <c r="I436" s="41"/>
      <c r="J436" s="39" t="str">
        <f t="shared" si="3"/>
        <v>9-3．精積算明細．規格</v>
      </c>
      <c r="K436" s="40"/>
      <c r="L436" s="40"/>
      <c r="M436" s="40"/>
      <c r="N436" s="40"/>
      <c r="O436" s="40"/>
      <c r="P436" s="40"/>
      <c r="Q436" s="40"/>
      <c r="R436" s="40"/>
      <c r="S436" s="40"/>
      <c r="T436" s="40"/>
      <c r="U436" s="40"/>
      <c r="V436" s="40"/>
      <c r="W436" s="40"/>
      <c r="X436" s="40"/>
      <c r="Y436" s="40"/>
      <c r="Z436" s="40"/>
      <c r="AA436" s="41"/>
      <c r="AB436" s="28"/>
      <c r="AD436" s="27" t="e">
        <f>"{"""&amp;#REF!&amp;""":""example"&amp;#REF!&amp;""","</f>
        <v>#REF!</v>
      </c>
    </row>
    <row r="437" spans="1:30" ht="18" customHeight="1">
      <c r="A437" s="26"/>
      <c r="C437" s="347">
        <v>16</v>
      </c>
      <c r="D437" s="349"/>
      <c r="E437" s="50"/>
      <c r="F437" s="40"/>
      <c r="G437" s="40" t="s">
        <v>374</v>
      </c>
      <c r="H437" s="40"/>
      <c r="I437" s="41"/>
      <c r="J437" s="39" t="str">
        <f t="shared" si="3"/>
        <v>9-3．精積算明細．連番</v>
      </c>
      <c r="K437" s="40"/>
      <c r="L437" s="40"/>
      <c r="M437" s="40"/>
      <c r="N437" s="40"/>
      <c r="O437" s="40"/>
      <c r="P437" s="40"/>
      <c r="Q437" s="40"/>
      <c r="R437" s="40"/>
      <c r="S437" s="40"/>
      <c r="T437" s="40"/>
      <c r="U437" s="40"/>
      <c r="V437" s="40"/>
      <c r="W437" s="40"/>
      <c r="X437" s="40"/>
      <c r="Y437" s="40"/>
      <c r="Z437" s="40"/>
      <c r="AA437" s="41"/>
      <c r="AB437" s="28"/>
      <c r="AD437" s="27" t="e">
        <f>""""&amp;#REF!&amp;""":""example"&amp;#REF!&amp;""","</f>
        <v>#REF!</v>
      </c>
    </row>
    <row r="438" spans="1:30" ht="18" customHeight="1">
      <c r="A438" s="26"/>
      <c r="C438" s="347">
        <v>17</v>
      </c>
      <c r="D438" s="349"/>
      <c r="E438" s="50"/>
      <c r="F438" s="40"/>
      <c r="G438" s="40" t="s">
        <v>434</v>
      </c>
      <c r="H438" s="40"/>
      <c r="I438" s="41"/>
      <c r="J438" s="39" t="str">
        <f t="shared" si="3"/>
        <v>9-3．精積算明細．数量</v>
      </c>
      <c r="K438" s="40"/>
      <c r="L438" s="40"/>
      <c r="M438" s="40"/>
      <c r="N438" s="40"/>
      <c r="O438" s="40"/>
      <c r="P438" s="40"/>
      <c r="Q438" s="40"/>
      <c r="R438" s="40"/>
      <c r="S438" s="40"/>
      <c r="T438" s="40"/>
      <c r="U438" s="40"/>
      <c r="V438" s="40"/>
      <c r="W438" s="40"/>
      <c r="X438" s="40"/>
      <c r="Y438" s="40"/>
      <c r="Z438" s="40"/>
      <c r="AA438" s="41"/>
      <c r="AB438" s="28"/>
      <c r="AD438" s="27" t="e">
        <f>""""&amp;#REF!&amp;""":""example"&amp;#REF!&amp;"""},"</f>
        <v>#REF!</v>
      </c>
    </row>
    <row r="439" spans="1:30" ht="18" customHeight="1">
      <c r="A439" s="26"/>
      <c r="C439" s="347">
        <v>18</v>
      </c>
      <c r="D439" s="349"/>
      <c r="E439" s="47"/>
      <c r="F439" s="40"/>
      <c r="G439" s="31" t="s">
        <v>435</v>
      </c>
      <c r="H439" s="40"/>
      <c r="I439" s="41"/>
      <c r="J439" s="39" t="str">
        <f t="shared" si="3"/>
        <v>9-3．精積算明細．単価</v>
      </c>
      <c r="K439" s="40"/>
      <c r="L439" s="40"/>
      <c r="M439" s="40"/>
      <c r="N439" s="40"/>
      <c r="O439" s="40"/>
      <c r="P439" s="40"/>
      <c r="Q439" s="40"/>
      <c r="R439" s="40"/>
      <c r="S439" s="40"/>
      <c r="T439" s="40"/>
      <c r="U439" s="40"/>
      <c r="V439" s="40"/>
      <c r="W439" s="40"/>
      <c r="X439" s="40"/>
      <c r="Y439" s="40"/>
      <c r="Z439" s="40"/>
      <c r="AA439" s="41"/>
      <c r="AB439" s="28"/>
      <c r="AD439" s="27" t="e">
        <f>"{"""&amp;#REF!&amp;""":""example"&amp;#REF!&amp;""","</f>
        <v>#REF!</v>
      </c>
    </row>
    <row r="440" spans="1:30" ht="18" customHeight="1">
      <c r="A440" s="26"/>
      <c r="C440" s="347">
        <v>19</v>
      </c>
      <c r="D440" s="349"/>
      <c r="E440" s="47"/>
      <c r="F440" s="40"/>
      <c r="G440" s="31" t="s">
        <v>436</v>
      </c>
      <c r="H440" s="40"/>
      <c r="I440" s="41"/>
      <c r="J440" s="39" t="str">
        <f t="shared" si="3"/>
        <v>9-3．精積算明細．単位区分</v>
      </c>
      <c r="K440" s="40"/>
      <c r="L440" s="40"/>
      <c r="M440" s="40"/>
      <c r="N440" s="40"/>
      <c r="O440" s="40"/>
      <c r="P440" s="40"/>
      <c r="Q440" s="40"/>
      <c r="R440" s="40"/>
      <c r="S440" s="40"/>
      <c r="T440" s="40"/>
      <c r="U440" s="40"/>
      <c r="V440" s="40"/>
      <c r="W440" s="40"/>
      <c r="X440" s="40"/>
      <c r="Y440" s="40"/>
      <c r="Z440" s="40"/>
      <c r="AA440" s="41"/>
      <c r="AB440" s="28"/>
      <c r="AD440" s="27" t="e">
        <f>"{"""&amp;#REF!&amp;""":""example"&amp;#REF!&amp;""","</f>
        <v>#REF!</v>
      </c>
    </row>
    <row r="441" spans="1:30" ht="18" customHeight="1">
      <c r="A441" s="26"/>
      <c r="C441" s="347">
        <v>20</v>
      </c>
      <c r="D441" s="349"/>
      <c r="E441" s="50"/>
      <c r="F441" s="40"/>
      <c r="G441" s="40" t="s">
        <v>437</v>
      </c>
      <c r="H441" s="40"/>
      <c r="I441" s="41"/>
      <c r="J441" s="39" t="str">
        <f t="shared" si="3"/>
        <v>9-3．精積算明細．精積算金額</v>
      </c>
      <c r="K441" s="40"/>
      <c r="L441" s="40"/>
      <c r="M441" s="40"/>
      <c r="N441" s="40"/>
      <c r="O441" s="40"/>
      <c r="P441" s="40"/>
      <c r="Q441" s="40"/>
      <c r="R441" s="40"/>
      <c r="S441" s="40"/>
      <c r="T441" s="40"/>
      <c r="U441" s="40"/>
      <c r="V441" s="40"/>
      <c r="W441" s="40"/>
      <c r="X441" s="40"/>
      <c r="Y441" s="40"/>
      <c r="Z441" s="40"/>
      <c r="AA441" s="41"/>
      <c r="AB441" s="28"/>
      <c r="AD441" s="27" t="e">
        <f>"{"""&amp;#REF!&amp;""":""example"&amp;#REF!&amp;""","</f>
        <v>#REF!</v>
      </c>
    </row>
    <row r="442" spans="1:30" ht="18" customHeight="1">
      <c r="A442" s="26"/>
      <c r="C442" s="347">
        <v>21</v>
      </c>
      <c r="D442" s="349"/>
      <c r="E442" s="47"/>
      <c r="F442" s="40"/>
      <c r="G442" s="31" t="s">
        <v>13</v>
      </c>
      <c r="H442" s="40"/>
      <c r="I442" s="41"/>
      <c r="J442" s="39" t="str">
        <f t="shared" si="3"/>
        <v>9-3．精積算明細．備考</v>
      </c>
      <c r="K442" s="40"/>
      <c r="L442" s="40"/>
      <c r="M442" s="40"/>
      <c r="N442" s="40"/>
      <c r="O442" s="40"/>
      <c r="P442" s="40"/>
      <c r="Q442" s="40"/>
      <c r="R442" s="40"/>
      <c r="S442" s="40"/>
      <c r="T442" s="40"/>
      <c r="U442" s="40"/>
      <c r="V442" s="40"/>
      <c r="W442" s="40"/>
      <c r="X442" s="40"/>
      <c r="Y442" s="40"/>
      <c r="Z442" s="40"/>
      <c r="AA442" s="41"/>
      <c r="AB442" s="28"/>
      <c r="AD442" s="27" t="str">
        <f>""""&amp;J617&amp;""":""example"&amp;J617&amp;""","</f>
        <v>"":"example",</v>
      </c>
    </row>
    <row r="443" spans="1:30" ht="18" customHeight="1">
      <c r="A443" s="26"/>
      <c r="C443" s="347">
        <v>22</v>
      </c>
      <c r="D443" s="349"/>
      <c r="E443" s="47"/>
      <c r="F443" s="40"/>
      <c r="G443" s="31" t="s">
        <v>438</v>
      </c>
      <c r="H443" s="40"/>
      <c r="I443" s="41"/>
      <c r="J443" s="39" t="str">
        <f t="shared" si="3"/>
        <v>9-3．精積算明細．業者見積No</v>
      </c>
      <c r="K443" s="40"/>
      <c r="L443" s="40"/>
      <c r="M443" s="40"/>
      <c r="N443" s="40"/>
      <c r="O443" s="40"/>
      <c r="P443" s="40"/>
      <c r="Q443" s="40"/>
      <c r="R443" s="40"/>
      <c r="S443" s="40"/>
      <c r="T443" s="40"/>
      <c r="U443" s="40"/>
      <c r="V443" s="40"/>
      <c r="W443" s="40"/>
      <c r="X443" s="40"/>
      <c r="Y443" s="40"/>
      <c r="Z443" s="40"/>
      <c r="AA443" s="41"/>
      <c r="AB443" s="28"/>
    </row>
    <row r="444" spans="1:30" ht="18" customHeight="1">
      <c r="A444" s="26"/>
      <c r="C444" s="347">
        <v>23</v>
      </c>
      <c r="D444" s="349"/>
      <c r="E444" s="47"/>
      <c r="F444" s="40"/>
      <c r="G444" s="31" t="s">
        <v>439</v>
      </c>
      <c r="H444" s="40"/>
      <c r="I444" s="41"/>
      <c r="J444" s="39" t="str">
        <f t="shared" si="3"/>
        <v>9-3．精積算明細．協力業者コード</v>
      </c>
      <c r="K444" s="40"/>
      <c r="L444" s="40"/>
      <c r="M444" s="40"/>
      <c r="N444" s="40"/>
      <c r="O444" s="40"/>
      <c r="P444" s="40"/>
      <c r="Q444" s="40"/>
      <c r="R444" s="40"/>
      <c r="S444" s="40"/>
      <c r="T444" s="40"/>
      <c r="U444" s="40"/>
      <c r="V444" s="40"/>
      <c r="W444" s="40"/>
      <c r="X444" s="40"/>
      <c r="Y444" s="40"/>
      <c r="Z444" s="40"/>
      <c r="AA444" s="41"/>
      <c r="AB444" s="28"/>
      <c r="AD444" s="27" t="e">
        <f>""""&amp;#REF!&amp;""":""example"&amp;#REF!&amp;""","</f>
        <v>#REF!</v>
      </c>
    </row>
    <row r="445" spans="1:30" ht="18" customHeight="1">
      <c r="A445" s="26"/>
      <c r="C445" s="347">
        <v>24</v>
      </c>
      <c r="D445" s="349"/>
      <c r="E445" s="47"/>
      <c r="F445" s="40"/>
      <c r="G445" s="31" t="s">
        <v>440</v>
      </c>
      <c r="H445" s="40"/>
      <c r="I445" s="41"/>
      <c r="J445" s="39" t="str">
        <f t="shared" si="3"/>
        <v>9-3．精積算明細．協力業者見積詳細ID</v>
      </c>
      <c r="K445" s="40"/>
      <c r="L445" s="40"/>
      <c r="M445" s="40"/>
      <c r="N445" s="40"/>
      <c r="O445" s="40"/>
      <c r="P445" s="40"/>
      <c r="Q445" s="40"/>
      <c r="R445" s="40"/>
      <c r="S445" s="40"/>
      <c r="T445" s="40"/>
      <c r="U445" s="40"/>
      <c r="V445" s="40"/>
      <c r="W445" s="40"/>
      <c r="X445" s="40"/>
      <c r="Y445" s="40"/>
      <c r="Z445" s="40"/>
      <c r="AA445" s="41"/>
      <c r="AB445" s="28"/>
      <c r="AD445" s="27" t="e">
        <f>""""&amp;#REF!&amp;""":""example"&amp;#REF!&amp;"""},"</f>
        <v>#REF!</v>
      </c>
    </row>
    <row r="446" spans="1:30" ht="18" customHeight="1">
      <c r="A446" s="26"/>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28"/>
      <c r="AD446" s="27" t="e">
        <f>""""&amp;#REF!&amp;""": ["</f>
        <v>#REF!</v>
      </c>
    </row>
    <row r="447" spans="1:30" ht="18" customHeight="1">
      <c r="A447" s="26"/>
      <c r="C447" s="46" t="s">
        <v>684</v>
      </c>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28"/>
      <c r="AD447" s="27" t="e">
        <f>"{"""&amp;#REF!&amp;""":""example"&amp;#REF!&amp;""","</f>
        <v>#REF!</v>
      </c>
    </row>
    <row r="448" spans="1:30" ht="18" customHeight="1">
      <c r="A448" s="26"/>
      <c r="C448" s="55" t="s">
        <v>290</v>
      </c>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28"/>
      <c r="AD448" s="27" t="e">
        <f>""""&amp;#REF!&amp;""":""example"&amp;#REF!&amp;""","</f>
        <v>#REF!</v>
      </c>
    </row>
    <row r="449" spans="1:30" ht="18" customHeight="1">
      <c r="A449" s="26"/>
      <c r="C449" s="343" t="s">
        <v>417</v>
      </c>
      <c r="D449" s="344"/>
      <c r="E449" s="344"/>
      <c r="F449" s="344"/>
      <c r="G449" s="344"/>
      <c r="H449" s="47" t="s">
        <v>449</v>
      </c>
      <c r="I449" s="48"/>
      <c r="J449" s="48"/>
      <c r="K449" s="48"/>
      <c r="L449" s="48"/>
      <c r="M449" s="48"/>
      <c r="N449" s="48"/>
      <c r="O449" s="48"/>
      <c r="P449" s="48"/>
      <c r="Q449" s="48"/>
      <c r="R449" s="48"/>
      <c r="S449" s="48"/>
      <c r="T449" s="48"/>
      <c r="U449" s="48"/>
      <c r="V449" s="48"/>
      <c r="W449" s="48"/>
      <c r="X449" s="48"/>
      <c r="Y449" s="48"/>
      <c r="Z449" s="48"/>
      <c r="AA449" s="49"/>
      <c r="AB449" s="28"/>
      <c r="AD449" s="27" t="e">
        <f>""""&amp;#REF!&amp;""":""example"&amp;#REF!&amp;""","</f>
        <v>#REF!</v>
      </c>
    </row>
    <row r="450" spans="1:30" ht="18" customHeight="1">
      <c r="A450" s="26"/>
      <c r="C450" s="337" t="s">
        <v>7</v>
      </c>
      <c r="D450" s="337"/>
      <c r="E450" s="337" t="s">
        <v>9</v>
      </c>
      <c r="F450" s="337"/>
      <c r="G450" s="337"/>
      <c r="H450" s="337"/>
      <c r="I450" s="337"/>
      <c r="J450" s="343" t="s">
        <v>18</v>
      </c>
      <c r="K450" s="344"/>
      <c r="L450" s="344"/>
      <c r="M450" s="344"/>
      <c r="N450" s="344"/>
      <c r="O450" s="344"/>
      <c r="P450" s="344"/>
      <c r="Q450" s="344"/>
      <c r="R450" s="344"/>
      <c r="S450" s="344"/>
      <c r="T450" s="344"/>
      <c r="U450" s="344"/>
      <c r="V450" s="344"/>
      <c r="W450" s="344"/>
      <c r="X450" s="344"/>
      <c r="Y450" s="344"/>
      <c r="Z450" s="344"/>
      <c r="AA450" s="345"/>
      <c r="AB450" s="28"/>
    </row>
    <row r="451" spans="1:30" ht="18" customHeight="1">
      <c r="A451" s="26"/>
      <c r="C451" s="334">
        <v>1</v>
      </c>
      <c r="D451" s="334"/>
      <c r="E451" s="39" t="s">
        <v>285</v>
      </c>
      <c r="F451" s="40"/>
      <c r="G451" s="40"/>
      <c r="H451" s="40"/>
      <c r="I451" s="41"/>
      <c r="J451" s="39" t="s">
        <v>685</v>
      </c>
      <c r="K451" s="40"/>
      <c r="L451" s="40"/>
      <c r="M451" s="40"/>
      <c r="N451" s="40"/>
      <c r="O451" s="40"/>
      <c r="P451" s="40"/>
      <c r="Q451" s="40"/>
      <c r="R451" s="40"/>
      <c r="S451" s="40"/>
      <c r="T451" s="40"/>
      <c r="U451" s="40"/>
      <c r="V451" s="40"/>
      <c r="W451" s="40"/>
      <c r="X451" s="40"/>
      <c r="Y451" s="40"/>
      <c r="Z451" s="40"/>
      <c r="AA451" s="41"/>
      <c r="AB451" s="28"/>
      <c r="AD451" s="27" t="e">
        <f>""""&amp;#REF!&amp;""":""example"&amp;#REF!&amp;"""},"</f>
        <v>#REF!</v>
      </c>
    </row>
    <row r="452" spans="1:30" ht="18" customHeight="1">
      <c r="A452" s="26"/>
      <c r="C452" s="334">
        <v>2</v>
      </c>
      <c r="D452" s="334"/>
      <c r="E452" s="39" t="s">
        <v>259</v>
      </c>
      <c r="F452" s="40"/>
      <c r="G452" s="40"/>
      <c r="H452" s="40"/>
      <c r="I452" s="41"/>
      <c r="J452" s="39" t="s">
        <v>292</v>
      </c>
      <c r="K452" s="40"/>
      <c r="L452" s="40"/>
      <c r="M452" s="40"/>
      <c r="N452" s="40"/>
      <c r="O452" s="40"/>
      <c r="P452" s="40"/>
      <c r="Q452" s="40"/>
      <c r="R452" s="40"/>
      <c r="S452" s="40"/>
      <c r="T452" s="40"/>
      <c r="U452" s="40"/>
      <c r="V452" s="40"/>
      <c r="W452" s="40"/>
      <c r="X452" s="40"/>
      <c r="Y452" s="40"/>
      <c r="Z452" s="40"/>
      <c r="AA452" s="41"/>
      <c r="AB452" s="28"/>
      <c r="AD452" s="27" t="e">
        <f>""""&amp;#REF!&amp;""": ["</f>
        <v>#REF!</v>
      </c>
    </row>
    <row r="453" spans="1:30" ht="18" customHeight="1">
      <c r="A453" s="26"/>
      <c r="C453" s="334">
        <v>3</v>
      </c>
      <c r="D453" s="334"/>
      <c r="E453" s="39" t="s">
        <v>134</v>
      </c>
      <c r="F453" s="40"/>
      <c r="G453" s="40"/>
      <c r="H453" s="40"/>
      <c r="I453" s="41"/>
      <c r="J453" s="39" t="s">
        <v>293</v>
      </c>
      <c r="K453" s="40"/>
      <c r="L453" s="40"/>
      <c r="M453" s="40"/>
      <c r="N453" s="40"/>
      <c r="O453" s="40"/>
      <c r="P453" s="40"/>
      <c r="Q453" s="40"/>
      <c r="R453" s="40"/>
      <c r="S453" s="40"/>
      <c r="T453" s="40"/>
      <c r="U453" s="40"/>
      <c r="V453" s="40"/>
      <c r="W453" s="40"/>
      <c r="X453" s="40"/>
      <c r="Y453" s="40"/>
      <c r="Z453" s="40"/>
      <c r="AA453" s="41"/>
      <c r="AB453" s="28"/>
      <c r="AD453" s="27" t="e">
        <f>"{"""&amp;#REF!&amp;""":""example"&amp;#REF!&amp;""","</f>
        <v>#REF!</v>
      </c>
    </row>
    <row r="454" spans="1:30" ht="18" customHeight="1">
      <c r="A454" s="26"/>
      <c r="C454" s="334">
        <v>4</v>
      </c>
      <c r="D454" s="334"/>
      <c r="E454" s="47" t="s">
        <v>282</v>
      </c>
      <c r="F454" s="31"/>
      <c r="G454" s="31"/>
      <c r="H454" s="31"/>
      <c r="I454" s="32"/>
      <c r="J454" s="39" t="s">
        <v>685</v>
      </c>
      <c r="K454" s="40"/>
      <c r="L454" s="40"/>
      <c r="M454" s="40"/>
      <c r="N454" s="40"/>
      <c r="O454" s="40"/>
      <c r="P454" s="40"/>
      <c r="Q454" s="40"/>
      <c r="R454" s="40"/>
      <c r="S454" s="40"/>
      <c r="T454" s="40"/>
      <c r="U454" s="40"/>
      <c r="V454" s="40"/>
      <c r="W454" s="40"/>
      <c r="X454" s="40"/>
      <c r="Y454" s="40"/>
      <c r="Z454" s="40"/>
      <c r="AA454" s="41"/>
      <c r="AB454" s="28"/>
      <c r="AD454" s="27" t="e">
        <f>""""&amp;#REF!&amp;""":""example"&amp;#REF!&amp;""","</f>
        <v>#REF!</v>
      </c>
    </row>
    <row r="455" spans="1:30" ht="18" customHeight="1">
      <c r="A455" s="26"/>
      <c r="C455" s="334">
        <v>5</v>
      </c>
      <c r="D455" s="334"/>
      <c r="E455" s="47" t="s">
        <v>444</v>
      </c>
      <c r="F455" s="31"/>
      <c r="G455" s="31"/>
      <c r="H455" s="31"/>
      <c r="I455" s="32"/>
      <c r="J455" s="39" t="s">
        <v>266</v>
      </c>
      <c r="K455" s="40"/>
      <c r="L455" s="40"/>
      <c r="M455" s="40"/>
      <c r="N455" s="40"/>
      <c r="O455" s="40"/>
      <c r="P455" s="40"/>
      <c r="Q455" s="40"/>
      <c r="R455" s="40"/>
      <c r="S455" s="40"/>
      <c r="T455" s="40"/>
      <c r="U455" s="40"/>
      <c r="V455" s="40"/>
      <c r="W455" s="40"/>
      <c r="X455" s="40"/>
      <c r="Y455" s="40"/>
      <c r="Z455" s="40"/>
      <c r="AA455" s="41"/>
      <c r="AB455" s="28"/>
    </row>
    <row r="456" spans="1:30" ht="18" customHeight="1">
      <c r="A456" s="26"/>
      <c r="C456" s="334">
        <v>6</v>
      </c>
      <c r="D456" s="334"/>
      <c r="E456" s="47" t="s">
        <v>445</v>
      </c>
      <c r="F456" s="31"/>
      <c r="G456" s="31"/>
      <c r="H456" s="31"/>
      <c r="I456" s="32"/>
      <c r="J456" s="39" t="s">
        <v>266</v>
      </c>
      <c r="K456" s="40"/>
      <c r="L456" s="40"/>
      <c r="M456" s="40"/>
      <c r="N456" s="40"/>
      <c r="O456" s="40"/>
      <c r="P456" s="40"/>
      <c r="Q456" s="40"/>
      <c r="R456" s="40"/>
      <c r="S456" s="40"/>
      <c r="T456" s="40"/>
      <c r="U456" s="40"/>
      <c r="V456" s="40"/>
      <c r="W456" s="40"/>
      <c r="X456" s="40"/>
      <c r="Y456" s="40"/>
      <c r="Z456" s="40"/>
      <c r="AA456" s="41"/>
      <c r="AB456" s="28"/>
    </row>
    <row r="457" spans="1:30" ht="18" customHeight="1">
      <c r="A457" s="26"/>
      <c r="C457" s="334">
        <v>7</v>
      </c>
      <c r="D457" s="334"/>
      <c r="E457" s="47" t="s">
        <v>446</v>
      </c>
      <c r="F457" s="31"/>
      <c r="G457" s="31"/>
      <c r="H457" s="31"/>
      <c r="I457" s="32"/>
      <c r="J457" s="39" t="s">
        <v>266</v>
      </c>
      <c r="K457" s="40"/>
      <c r="L457" s="40"/>
      <c r="M457" s="40"/>
      <c r="N457" s="40"/>
      <c r="O457" s="40"/>
      <c r="P457" s="40"/>
      <c r="Q457" s="40"/>
      <c r="R457" s="40"/>
      <c r="S457" s="40"/>
      <c r="T457" s="40"/>
      <c r="U457" s="40"/>
      <c r="V457" s="40"/>
      <c r="W457" s="40"/>
      <c r="X457" s="40"/>
      <c r="Y457" s="40"/>
      <c r="Z457" s="40"/>
      <c r="AA457" s="41"/>
      <c r="AB457" s="28"/>
      <c r="AD457" s="27" t="e">
        <f>""""&amp;#REF!&amp;""":""example"&amp;#REF!&amp;""","</f>
        <v>#REF!</v>
      </c>
    </row>
    <row r="458" spans="1:30" ht="18" customHeight="1">
      <c r="A458" s="26"/>
      <c r="C458" s="334">
        <v>8</v>
      </c>
      <c r="D458" s="334"/>
      <c r="E458" s="47" t="s">
        <v>268</v>
      </c>
      <c r="F458" s="31"/>
      <c r="G458" s="31"/>
      <c r="H458" s="31"/>
      <c r="I458" s="32"/>
      <c r="J458" s="39" t="s">
        <v>686</v>
      </c>
      <c r="K458" s="40"/>
      <c r="L458" s="40"/>
      <c r="M458" s="40"/>
      <c r="N458" s="40"/>
      <c r="O458" s="40"/>
      <c r="P458" s="40"/>
      <c r="Q458" s="40"/>
      <c r="R458" s="40"/>
      <c r="S458" s="40"/>
      <c r="T458" s="40"/>
      <c r="U458" s="40"/>
      <c r="V458" s="40"/>
      <c r="W458" s="40"/>
      <c r="X458" s="40"/>
      <c r="Y458" s="40"/>
      <c r="Z458" s="40"/>
      <c r="AA458" s="41"/>
      <c r="AB458" s="28"/>
    </row>
    <row r="459" spans="1:30" ht="18" customHeight="1">
      <c r="A459" s="26"/>
      <c r="C459" s="334">
        <v>7</v>
      </c>
      <c r="D459" s="334"/>
      <c r="E459" s="47" t="s">
        <v>447</v>
      </c>
      <c r="F459" s="31"/>
      <c r="G459" s="31"/>
      <c r="H459" s="31"/>
      <c r="I459" s="32"/>
      <c r="J459" s="39" t="s">
        <v>687</v>
      </c>
      <c r="K459" s="40"/>
      <c r="L459" s="40"/>
      <c r="M459" s="40"/>
      <c r="N459" s="40"/>
      <c r="O459" s="40"/>
      <c r="P459" s="40"/>
      <c r="Q459" s="40"/>
      <c r="R459" s="40"/>
      <c r="S459" s="40"/>
      <c r="T459" s="40"/>
      <c r="U459" s="40"/>
      <c r="V459" s="40"/>
      <c r="W459" s="40"/>
      <c r="X459" s="40"/>
      <c r="Y459" s="40"/>
      <c r="Z459" s="40"/>
      <c r="AA459" s="41"/>
      <c r="AB459" s="28"/>
    </row>
    <row r="460" spans="1:30" ht="18" customHeight="1">
      <c r="A460" s="26"/>
      <c r="C460" s="334">
        <v>8</v>
      </c>
      <c r="D460" s="334"/>
      <c r="E460" s="47" t="s">
        <v>192</v>
      </c>
      <c r="F460" s="31"/>
      <c r="G460" s="31"/>
      <c r="H460" s="31"/>
      <c r="I460" s="32"/>
      <c r="J460" s="39" t="s">
        <v>294</v>
      </c>
      <c r="K460" s="40"/>
      <c r="L460" s="40"/>
      <c r="M460" s="40"/>
      <c r="N460" s="40"/>
      <c r="O460" s="40"/>
      <c r="P460" s="40"/>
      <c r="Q460" s="40"/>
      <c r="R460" s="40"/>
      <c r="S460" s="40"/>
      <c r="T460" s="40"/>
      <c r="U460" s="40"/>
      <c r="V460" s="40"/>
      <c r="W460" s="40"/>
      <c r="X460" s="40"/>
      <c r="Y460" s="40"/>
      <c r="Z460" s="40"/>
      <c r="AA460" s="41"/>
      <c r="AB460" s="28"/>
    </row>
    <row r="461" spans="1:30" ht="18" customHeight="1">
      <c r="A461" s="26"/>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28"/>
    </row>
    <row r="462" spans="1:30" ht="18" customHeight="1">
      <c r="A462" s="26"/>
      <c r="C462" s="46" t="s">
        <v>688</v>
      </c>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28"/>
    </row>
    <row r="463" spans="1:30" ht="18" customHeight="1">
      <c r="A463" s="26"/>
      <c r="C463" s="46" t="s">
        <v>372</v>
      </c>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28"/>
    </row>
    <row r="464" spans="1:30" ht="18" customHeight="1">
      <c r="A464" s="26"/>
      <c r="C464" s="55" t="s">
        <v>290</v>
      </c>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28"/>
    </row>
    <row r="465" spans="1:28" ht="18" customHeight="1">
      <c r="A465" s="26"/>
      <c r="C465" s="319" t="s">
        <v>35</v>
      </c>
      <c r="D465" s="319"/>
      <c r="E465" s="319"/>
      <c r="F465" s="319"/>
      <c r="G465" s="332" t="s">
        <v>842</v>
      </c>
      <c r="H465" s="333"/>
      <c r="I465" s="333"/>
      <c r="J465" s="333"/>
      <c r="K465" s="333"/>
      <c r="L465" s="333"/>
      <c r="M465" s="333"/>
      <c r="N465" s="333"/>
      <c r="O465" s="333"/>
      <c r="P465" s="333"/>
      <c r="Q465" s="333"/>
      <c r="R465" s="333"/>
      <c r="S465" s="333"/>
      <c r="T465" s="333"/>
      <c r="U465" s="333"/>
      <c r="V465" s="333"/>
      <c r="W465" s="333"/>
      <c r="X465" s="333"/>
      <c r="Y465" s="333"/>
      <c r="Z465" s="333"/>
      <c r="AA465" s="333"/>
      <c r="AB465" s="28"/>
    </row>
    <row r="466" spans="1:28" ht="18" customHeight="1">
      <c r="A466" s="26"/>
      <c r="C466" s="337" t="s">
        <v>7</v>
      </c>
      <c r="D466" s="337"/>
      <c r="E466" s="337" t="s">
        <v>9</v>
      </c>
      <c r="F466" s="337"/>
      <c r="G466" s="337"/>
      <c r="H466" s="337"/>
      <c r="I466" s="337"/>
      <c r="J466" s="343" t="s">
        <v>18</v>
      </c>
      <c r="K466" s="344"/>
      <c r="L466" s="344"/>
      <c r="M466" s="344"/>
      <c r="N466" s="344"/>
      <c r="O466" s="344"/>
      <c r="P466" s="344"/>
      <c r="Q466" s="344"/>
      <c r="R466" s="344"/>
      <c r="S466" s="344"/>
      <c r="T466" s="344"/>
      <c r="U466" s="344"/>
      <c r="V466" s="344"/>
      <c r="W466" s="344"/>
      <c r="X466" s="344"/>
      <c r="Y466" s="344"/>
      <c r="Z466" s="344"/>
      <c r="AA466" s="345"/>
      <c r="AB466" s="28"/>
    </row>
    <row r="467" spans="1:28" ht="18" customHeight="1">
      <c r="A467" s="26"/>
      <c r="C467" s="334">
        <v>1</v>
      </c>
      <c r="D467" s="334"/>
      <c r="E467" s="39" t="s">
        <v>283</v>
      </c>
      <c r="F467" s="40"/>
      <c r="G467" s="40"/>
      <c r="H467" s="40"/>
      <c r="I467" s="41"/>
      <c r="J467" s="39"/>
      <c r="K467" s="40"/>
      <c r="L467" s="40"/>
      <c r="M467" s="40"/>
      <c r="N467" s="40"/>
      <c r="O467" s="40"/>
      <c r="P467" s="40"/>
      <c r="Q467" s="40"/>
      <c r="R467" s="40"/>
      <c r="S467" s="40"/>
      <c r="T467" s="40"/>
      <c r="U467" s="40"/>
      <c r="V467" s="40"/>
      <c r="W467" s="40"/>
      <c r="X467" s="40"/>
      <c r="Y467" s="40"/>
      <c r="Z467" s="40"/>
      <c r="AA467" s="41"/>
      <c r="AB467" s="28"/>
    </row>
    <row r="468" spans="1:28" ht="18" customHeight="1">
      <c r="A468" s="26"/>
      <c r="C468" s="334">
        <v>2</v>
      </c>
      <c r="D468" s="334"/>
      <c r="E468" s="39"/>
      <c r="F468" s="40" t="s">
        <v>166</v>
      </c>
      <c r="G468" s="40"/>
      <c r="H468" s="40"/>
      <c r="I468" s="41"/>
      <c r="J468" s="39" t="s">
        <v>689</v>
      </c>
      <c r="K468" s="40"/>
      <c r="L468" s="40"/>
      <c r="M468" s="40"/>
      <c r="N468" s="40"/>
      <c r="O468" s="40"/>
      <c r="P468" s="40"/>
      <c r="Q468" s="40"/>
      <c r="R468" s="40"/>
      <c r="S468" s="40"/>
      <c r="T468" s="40"/>
      <c r="U468" s="40"/>
      <c r="V468" s="40"/>
      <c r="W468" s="40"/>
      <c r="X468" s="40"/>
      <c r="Y468" s="40"/>
      <c r="Z468" s="40"/>
      <c r="AA468" s="41"/>
      <c r="AB468" s="28"/>
    </row>
    <row r="469" spans="1:28" ht="18" customHeight="1">
      <c r="A469" s="26"/>
      <c r="C469" s="334">
        <v>3</v>
      </c>
      <c r="D469" s="334"/>
      <c r="E469" s="39"/>
      <c r="F469" s="40" t="s">
        <v>155</v>
      </c>
      <c r="G469" s="40"/>
      <c r="H469" s="40"/>
      <c r="I469" s="41"/>
      <c r="J469" s="39" t="s">
        <v>690</v>
      </c>
      <c r="K469" s="40"/>
      <c r="L469" s="40"/>
      <c r="M469" s="40"/>
      <c r="N469" s="40"/>
      <c r="O469" s="40"/>
      <c r="P469" s="40"/>
      <c r="Q469" s="40"/>
      <c r="R469" s="40"/>
      <c r="S469" s="40"/>
      <c r="T469" s="40"/>
      <c r="U469" s="40"/>
      <c r="V469" s="40"/>
      <c r="W469" s="40"/>
      <c r="X469" s="40"/>
      <c r="Y469" s="40"/>
      <c r="Z469" s="40"/>
      <c r="AA469" s="41"/>
      <c r="AB469" s="28"/>
    </row>
    <row r="470" spans="1:28" ht="18" customHeight="1">
      <c r="A470" s="26"/>
      <c r="C470" s="334">
        <v>4</v>
      </c>
      <c r="D470" s="334"/>
      <c r="E470" s="50"/>
      <c r="F470" s="40" t="s">
        <v>284</v>
      </c>
      <c r="G470" s="40"/>
      <c r="H470" s="40"/>
      <c r="I470" s="41"/>
      <c r="J470" s="39" t="s">
        <v>691</v>
      </c>
      <c r="K470" s="40"/>
      <c r="L470" s="40"/>
      <c r="M470" s="40"/>
      <c r="N470" s="40"/>
      <c r="O470" s="40"/>
      <c r="P470" s="40"/>
      <c r="Q470" s="40"/>
      <c r="R470" s="40"/>
      <c r="S470" s="40"/>
      <c r="T470" s="40"/>
      <c r="U470" s="40"/>
      <c r="V470" s="40"/>
      <c r="W470" s="40"/>
      <c r="X470" s="40"/>
      <c r="Y470" s="40"/>
      <c r="Z470" s="40"/>
      <c r="AA470" s="41"/>
      <c r="AB470" s="28"/>
    </row>
    <row r="471" spans="1:28" ht="18" customHeight="1">
      <c r="A471" s="26"/>
      <c r="C471" s="334">
        <v>5</v>
      </c>
      <c r="D471" s="334"/>
      <c r="E471" s="50"/>
      <c r="F471" s="40" t="s">
        <v>190</v>
      </c>
      <c r="G471" s="40"/>
      <c r="H471" s="40"/>
      <c r="I471" s="41"/>
      <c r="J471" s="39" t="s">
        <v>692</v>
      </c>
      <c r="K471" s="40"/>
      <c r="L471" s="40"/>
      <c r="M471" s="40"/>
      <c r="N471" s="40"/>
      <c r="O471" s="40"/>
      <c r="P471" s="40"/>
      <c r="Q471" s="40"/>
      <c r="R471" s="40"/>
      <c r="S471" s="40"/>
      <c r="T471" s="40"/>
      <c r="U471" s="40"/>
      <c r="V471" s="40"/>
      <c r="W471" s="40"/>
      <c r="X471" s="40"/>
      <c r="Y471" s="40"/>
      <c r="Z471" s="40"/>
      <c r="AA471" s="41"/>
      <c r="AB471" s="28"/>
    </row>
    <row r="472" spans="1:28" ht="18" customHeight="1">
      <c r="A472" s="26"/>
      <c r="C472" s="334">
        <v>6</v>
      </c>
      <c r="D472" s="334"/>
      <c r="E472" s="47"/>
      <c r="F472" s="31" t="s">
        <v>288</v>
      </c>
      <c r="G472" s="40"/>
      <c r="H472" s="40"/>
      <c r="I472" s="41"/>
      <c r="J472" s="39" t="s">
        <v>693</v>
      </c>
      <c r="K472" s="40"/>
      <c r="L472" s="40"/>
      <c r="M472" s="40"/>
      <c r="N472" s="40"/>
      <c r="O472" s="40"/>
      <c r="P472" s="40"/>
      <c r="Q472" s="40"/>
      <c r="R472" s="40"/>
      <c r="S472" s="40"/>
      <c r="T472" s="40"/>
      <c r="U472" s="40"/>
      <c r="V472" s="40"/>
      <c r="W472" s="40"/>
      <c r="X472" s="40"/>
      <c r="Y472" s="40"/>
      <c r="Z472" s="40"/>
      <c r="AA472" s="41"/>
      <c r="AB472" s="28"/>
    </row>
    <row r="473" spans="1:28" ht="18" customHeight="1">
      <c r="A473" s="26"/>
      <c r="C473" s="334">
        <v>7</v>
      </c>
      <c r="D473" s="334"/>
      <c r="E473" s="47"/>
      <c r="F473" s="31" t="s">
        <v>286</v>
      </c>
      <c r="G473" s="40"/>
      <c r="H473" s="40"/>
      <c r="I473" s="41"/>
      <c r="J473" s="39" t="s">
        <v>694</v>
      </c>
      <c r="K473" s="40"/>
      <c r="L473" s="40"/>
      <c r="M473" s="40"/>
      <c r="N473" s="40"/>
      <c r="O473" s="40"/>
      <c r="P473" s="40"/>
      <c r="Q473" s="40"/>
      <c r="R473" s="40"/>
      <c r="S473" s="40"/>
      <c r="T473" s="40"/>
      <c r="U473" s="40"/>
      <c r="V473" s="40"/>
      <c r="W473" s="40"/>
      <c r="X473" s="40"/>
      <c r="Y473" s="40"/>
      <c r="Z473" s="40"/>
      <c r="AA473" s="41"/>
      <c r="AB473" s="28"/>
    </row>
    <row r="474" spans="1:28" ht="18" customHeight="1">
      <c r="A474" s="26"/>
      <c r="C474" s="347">
        <v>9</v>
      </c>
      <c r="D474" s="349"/>
      <c r="E474" s="39"/>
      <c r="F474" s="40" t="s">
        <v>448</v>
      </c>
      <c r="G474" s="40"/>
      <c r="H474" s="40"/>
      <c r="I474" s="41"/>
      <c r="J474" s="39"/>
      <c r="K474" s="40"/>
      <c r="L474" s="40"/>
      <c r="M474" s="40"/>
      <c r="N474" s="40"/>
      <c r="O474" s="40"/>
      <c r="P474" s="40"/>
      <c r="Q474" s="40"/>
      <c r="R474" s="40"/>
      <c r="S474" s="40"/>
      <c r="T474" s="40"/>
      <c r="U474" s="40"/>
      <c r="V474" s="40"/>
      <c r="W474" s="40"/>
      <c r="X474" s="40"/>
      <c r="Y474" s="40"/>
      <c r="Z474" s="40"/>
      <c r="AA474" s="41"/>
      <c r="AB474" s="28"/>
    </row>
    <row r="475" spans="1:28" ht="18" customHeight="1">
      <c r="A475" s="26"/>
      <c r="C475" s="347">
        <v>10</v>
      </c>
      <c r="D475" s="349"/>
      <c r="E475" s="39"/>
      <c r="F475" s="40"/>
      <c r="G475" s="40" t="s">
        <v>379</v>
      </c>
      <c r="H475" s="40"/>
      <c r="I475" s="41"/>
      <c r="J475" s="39" t="str">
        <f t="shared" ref="J475:J489" si="4">"9-3．精積算明細．"&amp;G475</f>
        <v>9-3．精積算明細．精積算明細ID</v>
      </c>
      <c r="K475" s="40"/>
      <c r="L475" s="40"/>
      <c r="M475" s="40"/>
      <c r="N475" s="40"/>
      <c r="O475" s="40"/>
      <c r="P475" s="40"/>
      <c r="Q475" s="40"/>
      <c r="R475" s="40"/>
      <c r="S475" s="40"/>
      <c r="T475" s="40"/>
      <c r="U475" s="40"/>
      <c r="V475" s="40"/>
      <c r="W475" s="40"/>
      <c r="X475" s="40"/>
      <c r="Y475" s="40"/>
      <c r="Z475" s="40"/>
      <c r="AA475" s="41"/>
      <c r="AB475" s="28"/>
    </row>
    <row r="476" spans="1:28" ht="18" customHeight="1">
      <c r="A476" s="26"/>
      <c r="C476" s="347">
        <v>11</v>
      </c>
      <c r="D476" s="349"/>
      <c r="E476" s="50"/>
      <c r="F476" s="40"/>
      <c r="G476" s="40" t="s">
        <v>267</v>
      </c>
      <c r="H476" s="40"/>
      <c r="I476" s="41"/>
      <c r="J476" s="39" t="str">
        <f t="shared" si="4"/>
        <v>9-3．精積算明細．精積算ヘッダID</v>
      </c>
      <c r="K476" s="40"/>
      <c r="L476" s="40"/>
      <c r="M476" s="40"/>
      <c r="N476" s="40"/>
      <c r="O476" s="40"/>
      <c r="P476" s="40"/>
      <c r="Q476" s="40"/>
      <c r="R476" s="40"/>
      <c r="S476" s="40"/>
      <c r="T476" s="40"/>
      <c r="U476" s="40"/>
      <c r="V476" s="40"/>
      <c r="W476" s="40"/>
      <c r="X476" s="40"/>
      <c r="Y476" s="40"/>
      <c r="Z476" s="40"/>
      <c r="AA476" s="41"/>
      <c r="AB476" s="28"/>
    </row>
    <row r="477" spans="1:28" ht="18" customHeight="1">
      <c r="A477" s="26"/>
      <c r="C477" s="347">
        <v>12</v>
      </c>
      <c r="D477" s="349"/>
      <c r="E477" s="50"/>
      <c r="F477" s="40"/>
      <c r="G477" s="40" t="s">
        <v>376</v>
      </c>
      <c r="H477" s="40"/>
      <c r="I477" s="41"/>
      <c r="J477" s="39" t="str">
        <f t="shared" si="4"/>
        <v>9-3．精積算明細．大工事コード</v>
      </c>
      <c r="K477" s="40"/>
      <c r="L477" s="40"/>
      <c r="M477" s="40"/>
      <c r="N477" s="40"/>
      <c r="O477" s="40"/>
      <c r="P477" s="40"/>
      <c r="Q477" s="40"/>
      <c r="R477" s="40"/>
      <c r="S477" s="40"/>
      <c r="T477" s="40"/>
      <c r="U477" s="40"/>
      <c r="V477" s="40"/>
      <c r="W477" s="40"/>
      <c r="X477" s="40"/>
      <c r="Y477" s="40"/>
      <c r="Z477" s="40"/>
      <c r="AA477" s="41"/>
      <c r="AB477" s="28"/>
    </row>
    <row r="478" spans="1:28" ht="18" customHeight="1">
      <c r="A478" s="26"/>
      <c r="C478" s="347">
        <v>13</v>
      </c>
      <c r="D478" s="349"/>
      <c r="E478" s="47"/>
      <c r="F478" s="40"/>
      <c r="G478" s="31" t="s">
        <v>377</v>
      </c>
      <c r="H478" s="40"/>
      <c r="I478" s="41"/>
      <c r="J478" s="39" t="str">
        <f t="shared" si="4"/>
        <v>9-3．精積算明細．小工事コード</v>
      </c>
      <c r="K478" s="40"/>
      <c r="L478" s="40"/>
      <c r="M478" s="40"/>
      <c r="N478" s="40"/>
      <c r="O478" s="40"/>
      <c r="P478" s="40"/>
      <c r="Q478" s="40"/>
      <c r="R478" s="40"/>
      <c r="S478" s="40"/>
      <c r="T478" s="40"/>
      <c r="U478" s="40"/>
      <c r="V478" s="40"/>
      <c r="W478" s="40"/>
      <c r="X478" s="40"/>
      <c r="Y478" s="40"/>
      <c r="Z478" s="40"/>
      <c r="AA478" s="41"/>
      <c r="AB478" s="28"/>
    </row>
    <row r="479" spans="1:28" ht="18" customHeight="1">
      <c r="A479" s="26"/>
      <c r="C479" s="347">
        <v>14</v>
      </c>
      <c r="D479" s="349"/>
      <c r="E479" s="47"/>
      <c r="F479" s="40"/>
      <c r="G479" s="31" t="s">
        <v>378</v>
      </c>
      <c r="H479" s="40"/>
      <c r="I479" s="41"/>
      <c r="J479" s="39" t="str">
        <f t="shared" si="4"/>
        <v>9-3．精積算明細．工事連番</v>
      </c>
      <c r="K479" s="40"/>
      <c r="L479" s="40"/>
      <c r="M479" s="40"/>
      <c r="N479" s="40"/>
      <c r="O479" s="40"/>
      <c r="P479" s="40"/>
      <c r="Q479" s="40"/>
      <c r="R479" s="40"/>
      <c r="S479" s="40"/>
      <c r="T479" s="40"/>
      <c r="U479" s="40"/>
      <c r="V479" s="40"/>
      <c r="W479" s="40"/>
      <c r="X479" s="40"/>
      <c r="Y479" s="40"/>
      <c r="Z479" s="40"/>
      <c r="AA479" s="41"/>
      <c r="AB479" s="28"/>
    </row>
    <row r="480" spans="1:28" ht="18" customHeight="1">
      <c r="A480" s="26"/>
      <c r="C480" s="347">
        <v>15</v>
      </c>
      <c r="D480" s="349"/>
      <c r="E480" s="39"/>
      <c r="F480" s="40"/>
      <c r="G480" s="40" t="s">
        <v>433</v>
      </c>
      <c r="H480" s="40"/>
      <c r="I480" s="41"/>
      <c r="J480" s="39" t="str">
        <f t="shared" si="4"/>
        <v>9-3．精積算明細．規格</v>
      </c>
      <c r="K480" s="40"/>
      <c r="L480" s="40"/>
      <c r="M480" s="40"/>
      <c r="N480" s="40"/>
      <c r="O480" s="40"/>
      <c r="P480" s="40"/>
      <c r="Q480" s="40"/>
      <c r="R480" s="40"/>
      <c r="S480" s="40"/>
      <c r="T480" s="40"/>
      <c r="U480" s="40"/>
      <c r="V480" s="40"/>
      <c r="W480" s="40"/>
      <c r="X480" s="40"/>
      <c r="Y480" s="40"/>
      <c r="Z480" s="40"/>
      <c r="AA480" s="41"/>
      <c r="AB480" s="28"/>
    </row>
    <row r="481" spans="1:30" ht="18" customHeight="1">
      <c r="A481" s="26"/>
      <c r="C481" s="347">
        <v>16</v>
      </c>
      <c r="D481" s="349"/>
      <c r="E481" s="50"/>
      <c r="F481" s="40"/>
      <c r="G481" s="40" t="s">
        <v>374</v>
      </c>
      <c r="H481" s="40"/>
      <c r="I481" s="41"/>
      <c r="J481" s="39" t="str">
        <f t="shared" si="4"/>
        <v>9-3．精積算明細．連番</v>
      </c>
      <c r="K481" s="40"/>
      <c r="L481" s="40"/>
      <c r="M481" s="40"/>
      <c r="N481" s="40"/>
      <c r="O481" s="40"/>
      <c r="P481" s="40"/>
      <c r="Q481" s="40"/>
      <c r="R481" s="40"/>
      <c r="S481" s="40"/>
      <c r="T481" s="40"/>
      <c r="U481" s="40"/>
      <c r="V481" s="40"/>
      <c r="W481" s="40"/>
      <c r="X481" s="40"/>
      <c r="Y481" s="40"/>
      <c r="Z481" s="40"/>
      <c r="AA481" s="41"/>
      <c r="AB481" s="28"/>
    </row>
    <row r="482" spans="1:30" ht="18" customHeight="1">
      <c r="A482" s="26"/>
      <c r="C482" s="347">
        <v>17</v>
      </c>
      <c r="D482" s="349"/>
      <c r="E482" s="50"/>
      <c r="F482" s="40"/>
      <c r="G482" s="40" t="s">
        <v>434</v>
      </c>
      <c r="H482" s="40"/>
      <c r="I482" s="41"/>
      <c r="J482" s="39" t="str">
        <f t="shared" si="4"/>
        <v>9-3．精積算明細．数量</v>
      </c>
      <c r="K482" s="40"/>
      <c r="L482" s="40"/>
      <c r="M482" s="40"/>
      <c r="N482" s="40"/>
      <c r="O482" s="40"/>
      <c r="P482" s="40"/>
      <c r="Q482" s="40"/>
      <c r="R482" s="40"/>
      <c r="S482" s="40"/>
      <c r="T482" s="40"/>
      <c r="U482" s="40"/>
      <c r="V482" s="40"/>
      <c r="W482" s="40"/>
      <c r="X482" s="40"/>
      <c r="Y482" s="40"/>
      <c r="Z482" s="40"/>
      <c r="AA482" s="41"/>
      <c r="AB482" s="28"/>
    </row>
    <row r="483" spans="1:30" ht="18" customHeight="1">
      <c r="A483" s="26"/>
      <c r="C483" s="347">
        <v>18</v>
      </c>
      <c r="D483" s="349"/>
      <c r="E483" s="47"/>
      <c r="F483" s="40"/>
      <c r="G483" s="31" t="s">
        <v>435</v>
      </c>
      <c r="H483" s="40"/>
      <c r="I483" s="41"/>
      <c r="J483" s="39" t="str">
        <f t="shared" si="4"/>
        <v>9-3．精積算明細．単価</v>
      </c>
      <c r="K483" s="40"/>
      <c r="L483" s="40"/>
      <c r="M483" s="40"/>
      <c r="N483" s="40"/>
      <c r="O483" s="40"/>
      <c r="P483" s="40"/>
      <c r="Q483" s="40"/>
      <c r="R483" s="40"/>
      <c r="S483" s="40"/>
      <c r="T483" s="40"/>
      <c r="U483" s="40"/>
      <c r="V483" s="40"/>
      <c r="W483" s="40"/>
      <c r="X483" s="40"/>
      <c r="Y483" s="40"/>
      <c r="Z483" s="40"/>
      <c r="AA483" s="41"/>
      <c r="AB483" s="28"/>
    </row>
    <row r="484" spans="1:30" ht="18" customHeight="1">
      <c r="A484" s="26"/>
      <c r="C484" s="347">
        <v>19</v>
      </c>
      <c r="D484" s="349"/>
      <c r="E484" s="47"/>
      <c r="F484" s="40"/>
      <c r="G484" s="31" t="s">
        <v>436</v>
      </c>
      <c r="H484" s="40"/>
      <c r="I484" s="41"/>
      <c r="J484" s="39" t="str">
        <f t="shared" si="4"/>
        <v>9-3．精積算明細．単位区分</v>
      </c>
      <c r="K484" s="40"/>
      <c r="L484" s="40"/>
      <c r="M484" s="40"/>
      <c r="N484" s="40"/>
      <c r="O484" s="40"/>
      <c r="P484" s="40"/>
      <c r="Q484" s="40"/>
      <c r="R484" s="40"/>
      <c r="S484" s="40"/>
      <c r="T484" s="40"/>
      <c r="U484" s="40"/>
      <c r="V484" s="40"/>
      <c r="W484" s="40"/>
      <c r="X484" s="40"/>
      <c r="Y484" s="40"/>
      <c r="Z484" s="40"/>
      <c r="AA484" s="41"/>
      <c r="AB484" s="28"/>
    </row>
    <row r="485" spans="1:30" ht="18" customHeight="1">
      <c r="A485" s="26"/>
      <c r="C485" s="347">
        <v>20</v>
      </c>
      <c r="D485" s="349"/>
      <c r="E485" s="50"/>
      <c r="F485" s="40"/>
      <c r="G485" s="40" t="s">
        <v>437</v>
      </c>
      <c r="H485" s="40"/>
      <c r="I485" s="41"/>
      <c r="J485" s="39" t="str">
        <f t="shared" si="4"/>
        <v>9-3．精積算明細．精積算金額</v>
      </c>
      <c r="K485" s="40"/>
      <c r="L485" s="40"/>
      <c r="M485" s="40"/>
      <c r="N485" s="40"/>
      <c r="O485" s="40"/>
      <c r="P485" s="40"/>
      <c r="Q485" s="40"/>
      <c r="R485" s="40"/>
      <c r="S485" s="40"/>
      <c r="T485" s="40"/>
      <c r="U485" s="40"/>
      <c r="V485" s="40"/>
      <c r="W485" s="40"/>
      <c r="X485" s="40"/>
      <c r="Y485" s="40"/>
      <c r="Z485" s="40"/>
      <c r="AA485" s="41"/>
      <c r="AB485" s="28"/>
    </row>
    <row r="486" spans="1:30" ht="18" customHeight="1">
      <c r="A486" s="26"/>
      <c r="C486" s="347">
        <v>21</v>
      </c>
      <c r="D486" s="349"/>
      <c r="E486" s="47"/>
      <c r="F486" s="40"/>
      <c r="G486" s="31" t="s">
        <v>13</v>
      </c>
      <c r="H486" s="40"/>
      <c r="I486" s="41"/>
      <c r="J486" s="39" t="str">
        <f t="shared" si="4"/>
        <v>9-3．精積算明細．備考</v>
      </c>
      <c r="K486" s="40"/>
      <c r="L486" s="40"/>
      <c r="M486" s="40"/>
      <c r="N486" s="40"/>
      <c r="O486" s="40"/>
      <c r="P486" s="40"/>
      <c r="Q486" s="40"/>
      <c r="R486" s="40"/>
      <c r="S486" s="40"/>
      <c r="T486" s="40"/>
      <c r="U486" s="40"/>
      <c r="V486" s="40"/>
      <c r="W486" s="40"/>
      <c r="X486" s="40"/>
      <c r="Y486" s="40"/>
      <c r="Z486" s="40"/>
      <c r="AA486" s="41"/>
      <c r="AB486" s="28"/>
    </row>
    <row r="487" spans="1:30" ht="18" customHeight="1">
      <c r="A487" s="26"/>
      <c r="C487" s="347">
        <v>22</v>
      </c>
      <c r="D487" s="349"/>
      <c r="E487" s="47"/>
      <c r="F487" s="40"/>
      <c r="G487" s="31" t="s">
        <v>438</v>
      </c>
      <c r="H487" s="40"/>
      <c r="I487" s="41"/>
      <c r="J487" s="39" t="str">
        <f t="shared" si="4"/>
        <v>9-3．精積算明細．業者見積No</v>
      </c>
      <c r="K487" s="40"/>
      <c r="L487" s="40"/>
      <c r="M487" s="40"/>
      <c r="N487" s="40"/>
      <c r="O487" s="40"/>
      <c r="P487" s="40"/>
      <c r="Q487" s="40"/>
      <c r="R487" s="40"/>
      <c r="S487" s="40"/>
      <c r="T487" s="40"/>
      <c r="U487" s="40"/>
      <c r="V487" s="40"/>
      <c r="W487" s="40"/>
      <c r="X487" s="40"/>
      <c r="Y487" s="40"/>
      <c r="Z487" s="40"/>
      <c r="AA487" s="41"/>
      <c r="AB487" s="28"/>
    </row>
    <row r="488" spans="1:30" ht="18" customHeight="1">
      <c r="A488" s="26"/>
      <c r="C488" s="347">
        <v>23</v>
      </c>
      <c r="D488" s="349"/>
      <c r="E488" s="47"/>
      <c r="F488" s="40"/>
      <c r="G488" s="31" t="s">
        <v>439</v>
      </c>
      <c r="H488" s="40"/>
      <c r="I488" s="41"/>
      <c r="J488" s="39" t="str">
        <f t="shared" si="4"/>
        <v>9-3．精積算明細．協力業者コード</v>
      </c>
      <c r="K488" s="40"/>
      <c r="L488" s="40"/>
      <c r="M488" s="40"/>
      <c r="N488" s="40"/>
      <c r="O488" s="40"/>
      <c r="P488" s="40"/>
      <c r="Q488" s="40"/>
      <c r="R488" s="40"/>
      <c r="S488" s="40"/>
      <c r="T488" s="40"/>
      <c r="U488" s="40"/>
      <c r="V488" s="40"/>
      <c r="W488" s="40"/>
      <c r="X488" s="40"/>
      <c r="Y488" s="40"/>
      <c r="Z488" s="40"/>
      <c r="AA488" s="41"/>
      <c r="AB488" s="28"/>
    </row>
    <row r="489" spans="1:30" ht="18" customHeight="1">
      <c r="A489" s="26"/>
      <c r="C489" s="347">
        <v>24</v>
      </c>
      <c r="D489" s="349"/>
      <c r="E489" s="47"/>
      <c r="F489" s="40"/>
      <c r="G489" s="31" t="s">
        <v>440</v>
      </c>
      <c r="H489" s="40"/>
      <c r="I489" s="41"/>
      <c r="J489" s="39" t="str">
        <f t="shared" si="4"/>
        <v>9-3．精積算明細．協力業者見積詳細ID</v>
      </c>
      <c r="K489" s="40"/>
      <c r="L489" s="40"/>
      <c r="M489" s="40"/>
      <c r="N489" s="40"/>
      <c r="O489" s="40"/>
      <c r="P489" s="40"/>
      <c r="Q489" s="40"/>
      <c r="R489" s="40"/>
      <c r="S489" s="40"/>
      <c r="T489" s="40"/>
      <c r="U489" s="40"/>
      <c r="V489" s="40"/>
      <c r="W489" s="40"/>
      <c r="X489" s="40"/>
      <c r="Y489" s="40"/>
      <c r="Z489" s="40"/>
      <c r="AA489" s="41"/>
      <c r="AB489" s="28"/>
    </row>
    <row r="490" spans="1:30" ht="18" customHeight="1">
      <c r="A490" s="26"/>
      <c r="C490" s="347">
        <v>25</v>
      </c>
      <c r="D490" s="349"/>
      <c r="E490" s="47"/>
      <c r="F490" s="59" t="s">
        <v>295</v>
      </c>
      <c r="G490" s="61"/>
      <c r="H490" s="61"/>
      <c r="I490" s="62"/>
      <c r="J490" s="57" t="s">
        <v>695</v>
      </c>
      <c r="K490" s="61"/>
      <c r="L490" s="61"/>
      <c r="M490" s="61"/>
      <c r="N490" s="61"/>
      <c r="O490" s="61"/>
      <c r="P490" s="61"/>
      <c r="Q490" s="61"/>
      <c r="R490" s="40"/>
      <c r="S490" s="40"/>
      <c r="T490" s="40"/>
      <c r="U490" s="40"/>
      <c r="V490" s="40"/>
      <c r="W490" s="40"/>
      <c r="X490" s="40"/>
      <c r="Y490" s="40"/>
      <c r="Z490" s="40"/>
      <c r="AA490" s="41"/>
      <c r="AB490" s="28"/>
    </row>
    <row r="491" spans="1:30" ht="18" customHeight="1">
      <c r="A491" s="26"/>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28"/>
    </row>
    <row r="492" spans="1:30" ht="18" customHeight="1">
      <c r="A492" s="26"/>
      <c r="C492" s="46" t="s">
        <v>696</v>
      </c>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28"/>
    </row>
    <row r="493" spans="1:30" ht="18" customHeight="1">
      <c r="A493" s="26"/>
      <c r="C493" s="55" t="s">
        <v>290</v>
      </c>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28"/>
    </row>
    <row r="494" spans="1:30" ht="18" customHeight="1">
      <c r="A494" s="26"/>
      <c r="C494" s="343" t="s">
        <v>417</v>
      </c>
      <c r="D494" s="344"/>
      <c r="E494" s="344"/>
      <c r="F494" s="344"/>
      <c r="G494" s="344"/>
      <c r="H494" s="47" t="s">
        <v>449</v>
      </c>
      <c r="I494" s="48"/>
      <c r="J494" s="48"/>
      <c r="K494" s="48"/>
      <c r="L494" s="48"/>
      <c r="M494" s="48"/>
      <c r="N494" s="48"/>
      <c r="O494" s="48"/>
      <c r="P494" s="48"/>
      <c r="Q494" s="48"/>
      <c r="R494" s="48"/>
      <c r="S494" s="48"/>
      <c r="T494" s="48"/>
      <c r="U494" s="48"/>
      <c r="V494" s="48"/>
      <c r="W494" s="48"/>
      <c r="X494" s="48"/>
      <c r="Y494" s="48"/>
      <c r="Z494" s="48"/>
      <c r="AA494" s="49"/>
      <c r="AB494" s="28"/>
      <c r="AD494" s="27" t="e">
        <f>""""&amp;#REF!&amp;""":""example"&amp;#REF!&amp;""","</f>
        <v>#REF!</v>
      </c>
    </row>
    <row r="495" spans="1:30" ht="18" customHeight="1">
      <c r="A495" s="26"/>
      <c r="C495" s="337" t="s">
        <v>7</v>
      </c>
      <c r="D495" s="337"/>
      <c r="E495" s="337" t="s">
        <v>9</v>
      </c>
      <c r="F495" s="337"/>
      <c r="G495" s="337"/>
      <c r="H495" s="337"/>
      <c r="I495" s="337"/>
      <c r="J495" s="343" t="s">
        <v>18</v>
      </c>
      <c r="K495" s="344"/>
      <c r="L495" s="344"/>
      <c r="M495" s="344"/>
      <c r="N495" s="344"/>
      <c r="O495" s="344"/>
      <c r="P495" s="344"/>
      <c r="Q495" s="344"/>
      <c r="R495" s="344"/>
      <c r="S495" s="344"/>
      <c r="T495" s="344"/>
      <c r="U495" s="344"/>
      <c r="V495" s="344"/>
      <c r="W495" s="344"/>
      <c r="X495" s="344"/>
      <c r="Y495" s="344"/>
      <c r="Z495" s="344"/>
      <c r="AA495" s="345"/>
      <c r="AB495" s="28"/>
    </row>
    <row r="496" spans="1:30" ht="18" customHeight="1">
      <c r="A496" s="26"/>
      <c r="C496" s="334">
        <v>1</v>
      </c>
      <c r="D496" s="334"/>
      <c r="E496" s="39" t="s">
        <v>441</v>
      </c>
      <c r="F496" s="40"/>
      <c r="G496" s="40"/>
      <c r="H496" s="40"/>
      <c r="I496" s="41"/>
      <c r="J496" s="39" t="s">
        <v>697</v>
      </c>
      <c r="K496" s="40"/>
      <c r="L496" s="40"/>
      <c r="M496" s="40"/>
      <c r="N496" s="40"/>
      <c r="O496" s="40"/>
      <c r="P496" s="40"/>
      <c r="Q496" s="40"/>
      <c r="R496" s="40"/>
      <c r="S496" s="40"/>
      <c r="T496" s="40"/>
      <c r="U496" s="40"/>
      <c r="V496" s="40"/>
      <c r="W496" s="40"/>
      <c r="X496" s="40"/>
      <c r="Y496" s="40"/>
      <c r="Z496" s="40"/>
      <c r="AA496" s="41"/>
      <c r="AB496" s="28"/>
    </row>
    <row r="497" spans="1:28" ht="18" customHeight="1">
      <c r="A497" s="26"/>
      <c r="C497" s="334">
        <v>2</v>
      </c>
      <c r="D497" s="334"/>
      <c r="E497" s="39" t="s">
        <v>374</v>
      </c>
      <c r="F497" s="40"/>
      <c r="G497" s="40"/>
      <c r="H497" s="40"/>
      <c r="I497" s="41"/>
      <c r="J497" s="39" t="s">
        <v>698</v>
      </c>
      <c r="K497" s="40"/>
      <c r="L497" s="40"/>
      <c r="M497" s="40"/>
      <c r="N497" s="40"/>
      <c r="O497" s="40"/>
      <c r="P497" s="40"/>
      <c r="Q497" s="40"/>
      <c r="R497" s="40"/>
      <c r="S497" s="40"/>
      <c r="T497" s="40"/>
      <c r="U497" s="40"/>
      <c r="V497" s="40"/>
      <c r="W497" s="40"/>
      <c r="X497" s="40"/>
      <c r="Y497" s="40"/>
      <c r="Z497" s="40"/>
      <c r="AA497" s="41"/>
      <c r="AB497" s="28"/>
    </row>
    <row r="498" spans="1:28" ht="18" customHeight="1">
      <c r="A498" s="26"/>
      <c r="C498" s="334">
        <v>3</v>
      </c>
      <c r="D498" s="334"/>
      <c r="E498" s="39" t="s">
        <v>376</v>
      </c>
      <c r="F498" s="40"/>
      <c r="G498" s="40"/>
      <c r="H498" s="40"/>
      <c r="I498" s="41"/>
      <c r="J498" s="39" t="s">
        <v>699</v>
      </c>
      <c r="K498" s="40"/>
      <c r="L498" s="40"/>
      <c r="M498" s="40"/>
      <c r="N498" s="40"/>
      <c r="O498" s="40"/>
      <c r="P498" s="40"/>
      <c r="Q498" s="40"/>
      <c r="R498" s="40"/>
      <c r="S498" s="40"/>
      <c r="T498" s="40"/>
      <c r="U498" s="40"/>
      <c r="V498" s="40"/>
      <c r="W498" s="40"/>
      <c r="X498" s="40"/>
      <c r="Y498" s="40"/>
      <c r="Z498" s="40"/>
      <c r="AA498" s="41"/>
      <c r="AB498" s="28"/>
    </row>
    <row r="499" spans="1:28" ht="18" customHeight="1">
      <c r="A499" s="26"/>
      <c r="C499" s="334">
        <v>4</v>
      </c>
      <c r="D499" s="334"/>
      <c r="E499" s="47" t="s">
        <v>377</v>
      </c>
      <c r="F499" s="31"/>
      <c r="G499" s="31"/>
      <c r="H499" s="31"/>
      <c r="I499" s="32"/>
      <c r="J499" s="39" t="s">
        <v>700</v>
      </c>
      <c r="K499" s="40"/>
      <c r="L499" s="40"/>
      <c r="M499" s="40"/>
      <c r="N499" s="40"/>
      <c r="O499" s="40"/>
      <c r="P499" s="40"/>
      <c r="Q499" s="40"/>
      <c r="R499" s="40"/>
      <c r="S499" s="40"/>
      <c r="T499" s="40"/>
      <c r="U499" s="40"/>
      <c r="V499" s="40"/>
      <c r="W499" s="40"/>
      <c r="X499" s="40"/>
      <c r="Y499" s="40"/>
      <c r="Z499" s="40"/>
      <c r="AA499" s="41"/>
      <c r="AB499" s="28"/>
    </row>
    <row r="500" spans="1:28" ht="18" customHeight="1">
      <c r="A500" s="26"/>
      <c r="C500" s="334">
        <v>6</v>
      </c>
      <c r="D500" s="334"/>
      <c r="E500" s="47" t="s">
        <v>378</v>
      </c>
      <c r="F500" s="31"/>
      <c r="G500" s="31"/>
      <c r="H500" s="31"/>
      <c r="I500" s="32"/>
      <c r="J500" s="39" t="s">
        <v>701</v>
      </c>
      <c r="K500" s="40"/>
      <c r="L500" s="40"/>
      <c r="M500" s="40"/>
      <c r="N500" s="40"/>
      <c r="O500" s="40"/>
      <c r="P500" s="40"/>
      <c r="Q500" s="40"/>
      <c r="R500" s="40"/>
      <c r="S500" s="40"/>
      <c r="T500" s="40"/>
      <c r="U500" s="40"/>
      <c r="V500" s="40"/>
      <c r="W500" s="40"/>
      <c r="X500" s="40"/>
      <c r="Y500" s="40"/>
      <c r="Z500" s="40"/>
      <c r="AA500" s="41"/>
      <c r="AB500" s="28"/>
    </row>
    <row r="501" spans="1:28" ht="18" customHeight="1">
      <c r="A501" s="26"/>
      <c r="C501" s="334">
        <v>7</v>
      </c>
      <c r="D501" s="334"/>
      <c r="E501" s="47" t="s">
        <v>433</v>
      </c>
      <c r="F501" s="31"/>
      <c r="G501" s="31"/>
      <c r="H501" s="31"/>
      <c r="I501" s="32"/>
      <c r="J501" s="39" t="s">
        <v>702</v>
      </c>
      <c r="K501" s="40"/>
      <c r="L501" s="40"/>
      <c r="M501" s="40"/>
      <c r="N501" s="40"/>
      <c r="O501" s="40"/>
      <c r="P501" s="40"/>
      <c r="Q501" s="40"/>
      <c r="R501" s="40"/>
      <c r="S501" s="40"/>
      <c r="T501" s="40"/>
      <c r="U501" s="40"/>
      <c r="V501" s="40"/>
      <c r="W501" s="40"/>
      <c r="X501" s="40"/>
      <c r="Y501" s="40"/>
      <c r="Z501" s="40"/>
      <c r="AA501" s="41"/>
      <c r="AB501" s="28"/>
    </row>
    <row r="502" spans="1:28" ht="18" customHeight="1">
      <c r="A502" s="26"/>
      <c r="C502" s="334">
        <v>8</v>
      </c>
      <c r="D502" s="334"/>
      <c r="E502" s="47" t="s">
        <v>435</v>
      </c>
      <c r="F502" s="31"/>
      <c r="G502" s="31"/>
      <c r="H502" s="31"/>
      <c r="I502" s="32"/>
      <c r="J502" s="39" t="s">
        <v>703</v>
      </c>
      <c r="K502" s="40"/>
      <c r="L502" s="40"/>
      <c r="M502" s="40"/>
      <c r="N502" s="40"/>
      <c r="O502" s="40"/>
      <c r="P502" s="40"/>
      <c r="Q502" s="40"/>
      <c r="R502" s="40"/>
      <c r="S502" s="40"/>
      <c r="T502" s="40"/>
      <c r="U502" s="40"/>
      <c r="V502" s="40"/>
      <c r="W502" s="40"/>
      <c r="X502" s="40"/>
      <c r="Y502" s="40"/>
      <c r="Z502" s="40"/>
      <c r="AA502" s="41"/>
      <c r="AB502" s="28"/>
    </row>
    <row r="503" spans="1:28" ht="18" customHeight="1">
      <c r="A503" s="26"/>
      <c r="C503" s="334">
        <v>9</v>
      </c>
      <c r="D503" s="334"/>
      <c r="E503" s="39" t="s">
        <v>434</v>
      </c>
      <c r="F503" s="40"/>
      <c r="G503" s="40"/>
      <c r="H503" s="40"/>
      <c r="I503" s="41"/>
      <c r="J503" s="39" t="s">
        <v>704</v>
      </c>
      <c r="K503" s="40"/>
      <c r="L503" s="40"/>
      <c r="M503" s="40"/>
      <c r="N503" s="40"/>
      <c r="O503" s="40"/>
      <c r="P503" s="40"/>
      <c r="Q503" s="40"/>
      <c r="R503" s="40"/>
      <c r="S503" s="40"/>
      <c r="T503" s="40"/>
      <c r="U503" s="40"/>
      <c r="V503" s="40"/>
      <c r="W503" s="40"/>
      <c r="X503" s="40"/>
      <c r="Y503" s="40"/>
      <c r="Z503" s="40"/>
      <c r="AA503" s="41"/>
      <c r="AB503" s="28"/>
    </row>
    <row r="504" spans="1:28" ht="18" customHeight="1">
      <c r="A504" s="26"/>
      <c r="C504" s="334">
        <v>10</v>
      </c>
      <c r="D504" s="334"/>
      <c r="E504" s="39" t="s">
        <v>436</v>
      </c>
      <c r="F504" s="40"/>
      <c r="G504" s="40"/>
      <c r="H504" s="40"/>
      <c r="I504" s="41"/>
      <c r="J504" s="39" t="s">
        <v>705</v>
      </c>
      <c r="K504" s="40"/>
      <c r="L504" s="40"/>
      <c r="M504" s="40"/>
      <c r="N504" s="40"/>
      <c r="O504" s="40"/>
      <c r="P504" s="40"/>
      <c r="Q504" s="40"/>
      <c r="R504" s="40"/>
      <c r="S504" s="40"/>
      <c r="T504" s="40"/>
      <c r="U504" s="40"/>
      <c r="V504" s="40"/>
      <c r="W504" s="40"/>
      <c r="X504" s="40"/>
      <c r="Y504" s="40"/>
      <c r="Z504" s="40"/>
      <c r="AA504" s="41"/>
      <c r="AB504" s="28"/>
    </row>
    <row r="505" spans="1:28" ht="18" customHeight="1">
      <c r="A505" s="26"/>
      <c r="C505" s="334">
        <v>11</v>
      </c>
      <c r="D505" s="334"/>
      <c r="E505" s="39" t="s">
        <v>442</v>
      </c>
      <c r="F505" s="40"/>
      <c r="G505" s="40"/>
      <c r="H505" s="40"/>
      <c r="I505" s="41"/>
      <c r="J505" s="39" t="s">
        <v>706</v>
      </c>
      <c r="K505" s="40"/>
      <c r="L505" s="40"/>
      <c r="M505" s="40"/>
      <c r="N505" s="40"/>
      <c r="O505" s="40"/>
      <c r="P505" s="40"/>
      <c r="Q505" s="40"/>
      <c r="R505" s="40"/>
      <c r="S505" s="40"/>
      <c r="T505" s="40"/>
      <c r="U505" s="40"/>
      <c r="V505" s="40"/>
      <c r="W505" s="40"/>
      <c r="X505" s="40"/>
      <c r="Y505" s="40"/>
      <c r="Z505" s="40"/>
      <c r="AA505" s="41"/>
      <c r="AB505" s="28"/>
    </row>
    <row r="506" spans="1:28" ht="18" customHeight="1">
      <c r="A506" s="26"/>
      <c r="C506" s="334">
        <v>12</v>
      </c>
      <c r="D506" s="334"/>
      <c r="E506" s="47" t="s">
        <v>443</v>
      </c>
      <c r="F506" s="31"/>
      <c r="G506" s="31"/>
      <c r="H506" s="31"/>
      <c r="I506" s="32"/>
      <c r="J506" s="39" t="s">
        <v>425</v>
      </c>
      <c r="K506" s="40"/>
      <c r="L506" s="40"/>
      <c r="M506" s="40"/>
      <c r="N506" s="40"/>
      <c r="O506" s="40"/>
      <c r="P506" s="40"/>
      <c r="Q506" s="40"/>
      <c r="R506" s="40"/>
      <c r="S506" s="40"/>
      <c r="T506" s="40"/>
      <c r="U506" s="40"/>
      <c r="V506" s="40"/>
      <c r="W506" s="40"/>
      <c r="X506" s="40"/>
      <c r="Y506" s="40"/>
      <c r="Z506" s="40"/>
      <c r="AA506" s="41"/>
      <c r="AB506" s="28"/>
    </row>
    <row r="507" spans="1:28" ht="18" customHeight="1">
      <c r="A507" s="26"/>
      <c r="C507" s="334">
        <v>13</v>
      </c>
      <c r="D507" s="334"/>
      <c r="E507" s="47" t="s">
        <v>13</v>
      </c>
      <c r="F507" s="31"/>
      <c r="G507" s="31"/>
      <c r="H507" s="31"/>
      <c r="I507" s="32"/>
      <c r="J507" s="39" t="s">
        <v>707</v>
      </c>
      <c r="K507" s="40"/>
      <c r="L507" s="40"/>
      <c r="M507" s="40"/>
      <c r="N507" s="40"/>
      <c r="O507" s="40"/>
      <c r="P507" s="40"/>
      <c r="Q507" s="40"/>
      <c r="R507" s="40"/>
      <c r="S507" s="40"/>
      <c r="T507" s="40"/>
      <c r="U507" s="40"/>
      <c r="V507" s="40"/>
      <c r="W507" s="40"/>
      <c r="X507" s="40"/>
      <c r="Y507" s="40"/>
      <c r="Z507" s="40"/>
      <c r="AA507" s="41"/>
      <c r="AB507" s="28"/>
    </row>
    <row r="508" spans="1:28" ht="18" customHeight="1">
      <c r="A508" s="26"/>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28"/>
    </row>
    <row r="509" spans="1:28" ht="18" customHeight="1">
      <c r="A509" s="26"/>
      <c r="C509" s="46" t="s">
        <v>708</v>
      </c>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28"/>
    </row>
    <row r="510" spans="1:28" ht="18" customHeight="1">
      <c r="A510" s="26"/>
      <c r="C510" s="46" t="s">
        <v>372</v>
      </c>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28"/>
    </row>
    <row r="511" spans="1:28" ht="18" customHeight="1">
      <c r="A511" s="26"/>
      <c r="C511" s="55" t="s">
        <v>290</v>
      </c>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28"/>
    </row>
    <row r="512" spans="1:28" ht="18" customHeight="1">
      <c r="A512" s="26"/>
      <c r="C512" s="319" t="s">
        <v>129</v>
      </c>
      <c r="D512" s="319"/>
      <c r="E512" s="319"/>
      <c r="F512" s="319"/>
      <c r="G512" s="332" t="s">
        <v>843</v>
      </c>
      <c r="H512" s="333"/>
      <c r="I512" s="333"/>
      <c r="J512" s="333"/>
      <c r="K512" s="333"/>
      <c r="L512" s="333"/>
      <c r="M512" s="333"/>
      <c r="N512" s="333"/>
      <c r="O512" s="333"/>
      <c r="P512" s="333"/>
      <c r="Q512" s="333"/>
      <c r="R512" s="333"/>
      <c r="S512" s="333"/>
      <c r="T512" s="333"/>
      <c r="U512" s="333"/>
      <c r="V512" s="333"/>
      <c r="W512" s="333"/>
      <c r="X512" s="333"/>
      <c r="Y512" s="333"/>
      <c r="Z512" s="333"/>
      <c r="AA512" s="333"/>
      <c r="AB512" s="28"/>
    </row>
    <row r="513" spans="1:28" ht="18" customHeight="1">
      <c r="A513" s="26"/>
      <c r="C513" s="319" t="s">
        <v>431</v>
      </c>
      <c r="D513" s="319"/>
      <c r="E513" s="319"/>
      <c r="F513" s="319"/>
      <c r="G513" s="332" t="s">
        <v>844</v>
      </c>
      <c r="H513" s="333"/>
      <c r="I513" s="333"/>
      <c r="J513" s="333"/>
      <c r="K513" s="333"/>
      <c r="L513" s="333"/>
      <c r="M513" s="333"/>
      <c r="N513" s="333"/>
      <c r="O513" s="333"/>
      <c r="P513" s="333"/>
      <c r="Q513" s="333"/>
      <c r="R513" s="333"/>
      <c r="S513" s="333"/>
      <c r="T513" s="333"/>
      <c r="U513" s="333"/>
      <c r="V513" s="333"/>
      <c r="W513" s="333"/>
      <c r="X513" s="333"/>
      <c r="Y513" s="333"/>
      <c r="Z513" s="333"/>
      <c r="AA513" s="333"/>
      <c r="AB513" s="28"/>
    </row>
    <row r="514" spans="1:28" ht="18" customHeight="1">
      <c r="A514" s="26"/>
      <c r="C514" s="319" t="s">
        <v>431</v>
      </c>
      <c r="D514" s="319"/>
      <c r="E514" s="319"/>
      <c r="F514" s="319"/>
      <c r="G514" s="332" t="s">
        <v>845</v>
      </c>
      <c r="H514" s="333"/>
      <c r="I514" s="333"/>
      <c r="J514" s="333"/>
      <c r="K514" s="333"/>
      <c r="L514" s="333"/>
      <c r="M514" s="333"/>
      <c r="N514" s="333"/>
      <c r="O514" s="333"/>
      <c r="P514" s="333"/>
      <c r="Q514" s="333"/>
      <c r="R514" s="333"/>
      <c r="S514" s="333"/>
      <c r="T514" s="333"/>
      <c r="U514" s="333"/>
      <c r="V514" s="333"/>
      <c r="W514" s="333"/>
      <c r="X514" s="333"/>
      <c r="Y514" s="333"/>
      <c r="Z514" s="333"/>
      <c r="AA514" s="333"/>
      <c r="AB514" s="28"/>
    </row>
    <row r="515" spans="1:28" ht="18" customHeight="1">
      <c r="A515" s="26"/>
      <c r="C515" s="337" t="s">
        <v>7</v>
      </c>
      <c r="D515" s="337"/>
      <c r="E515" s="337" t="s">
        <v>9</v>
      </c>
      <c r="F515" s="337"/>
      <c r="G515" s="337"/>
      <c r="H515" s="337"/>
      <c r="I515" s="337"/>
      <c r="J515" s="343" t="s">
        <v>18</v>
      </c>
      <c r="K515" s="344"/>
      <c r="L515" s="344"/>
      <c r="M515" s="344"/>
      <c r="N515" s="344"/>
      <c r="O515" s="344"/>
      <c r="P515" s="344"/>
      <c r="Q515" s="344"/>
      <c r="R515" s="344"/>
      <c r="S515" s="344"/>
      <c r="T515" s="344"/>
      <c r="U515" s="344"/>
      <c r="V515" s="344"/>
      <c r="W515" s="344"/>
      <c r="X515" s="344"/>
      <c r="Y515" s="344"/>
      <c r="Z515" s="344"/>
      <c r="AA515" s="345"/>
      <c r="AB515" s="28"/>
    </row>
    <row r="516" spans="1:28" ht="18" customHeight="1">
      <c r="A516" s="26"/>
      <c r="C516" s="334">
        <v>1</v>
      </c>
      <c r="D516" s="334"/>
      <c r="E516" s="39" t="s">
        <v>283</v>
      </c>
      <c r="F516" s="40"/>
      <c r="G516" s="40"/>
      <c r="H516" s="40"/>
      <c r="I516" s="41"/>
      <c r="J516" s="39"/>
      <c r="K516" s="40"/>
      <c r="L516" s="40"/>
      <c r="M516" s="40"/>
      <c r="N516" s="40"/>
      <c r="O516" s="40"/>
      <c r="P516" s="40"/>
      <c r="Q516" s="40"/>
      <c r="R516" s="40"/>
      <c r="S516" s="40"/>
      <c r="T516" s="40"/>
      <c r="U516" s="40"/>
      <c r="V516" s="40"/>
      <c r="W516" s="40"/>
      <c r="X516" s="40"/>
      <c r="Y516" s="40"/>
      <c r="Z516" s="40"/>
      <c r="AA516" s="41"/>
      <c r="AB516" s="28"/>
    </row>
    <row r="517" spans="1:28" ht="18" customHeight="1">
      <c r="A517" s="26"/>
      <c r="C517" s="334">
        <v>2</v>
      </c>
      <c r="D517" s="334"/>
      <c r="E517" s="39"/>
      <c r="F517" s="40" t="s">
        <v>166</v>
      </c>
      <c r="G517" s="40"/>
      <c r="H517" s="40"/>
      <c r="I517" s="41"/>
      <c r="J517" s="39" t="s">
        <v>689</v>
      </c>
      <c r="K517" s="40"/>
      <c r="L517" s="40"/>
      <c r="M517" s="40"/>
      <c r="N517" s="40"/>
      <c r="O517" s="40"/>
      <c r="P517" s="40"/>
      <c r="Q517" s="40"/>
      <c r="R517" s="40"/>
      <c r="S517" s="40"/>
      <c r="T517" s="40"/>
      <c r="U517" s="40"/>
      <c r="V517" s="40"/>
      <c r="W517" s="40"/>
      <c r="X517" s="40"/>
      <c r="Y517" s="40"/>
      <c r="Z517" s="40"/>
      <c r="AA517" s="41"/>
      <c r="AB517" s="28"/>
    </row>
    <row r="518" spans="1:28" ht="18" customHeight="1">
      <c r="A518" s="26"/>
      <c r="C518" s="334">
        <v>3</v>
      </c>
      <c r="D518" s="334"/>
      <c r="E518" s="39"/>
      <c r="F518" s="40" t="s">
        <v>155</v>
      </c>
      <c r="G518" s="40"/>
      <c r="H518" s="40"/>
      <c r="I518" s="41"/>
      <c r="J518" s="39" t="s">
        <v>690</v>
      </c>
      <c r="K518" s="40"/>
      <c r="L518" s="40"/>
      <c r="M518" s="40"/>
      <c r="N518" s="40"/>
      <c r="O518" s="40"/>
      <c r="P518" s="40"/>
      <c r="Q518" s="40"/>
      <c r="R518" s="40"/>
      <c r="S518" s="40"/>
      <c r="T518" s="40"/>
      <c r="U518" s="40"/>
      <c r="V518" s="40"/>
      <c r="W518" s="40"/>
      <c r="X518" s="40"/>
      <c r="Y518" s="40"/>
      <c r="Z518" s="40"/>
      <c r="AA518" s="41"/>
      <c r="AB518" s="28"/>
    </row>
    <row r="519" spans="1:28" ht="18" customHeight="1">
      <c r="A519" s="26"/>
      <c r="C519" s="334">
        <v>4</v>
      </c>
      <c r="D519" s="334"/>
      <c r="E519" s="50"/>
      <c r="F519" s="40" t="s">
        <v>284</v>
      </c>
      <c r="G519" s="40"/>
      <c r="H519" s="40"/>
      <c r="I519" s="41"/>
      <c r="J519" s="39" t="s">
        <v>691</v>
      </c>
      <c r="K519" s="40"/>
      <c r="L519" s="40"/>
      <c r="M519" s="40"/>
      <c r="N519" s="40"/>
      <c r="O519" s="40"/>
      <c r="P519" s="40"/>
      <c r="Q519" s="40"/>
      <c r="R519" s="40"/>
      <c r="S519" s="40"/>
      <c r="T519" s="40"/>
      <c r="U519" s="40"/>
      <c r="V519" s="40"/>
      <c r="W519" s="40"/>
      <c r="X519" s="40"/>
      <c r="Y519" s="40"/>
      <c r="Z519" s="40"/>
      <c r="AA519" s="41"/>
      <c r="AB519" s="28"/>
    </row>
    <row r="520" spans="1:28" ht="18" customHeight="1">
      <c r="A520" s="26"/>
      <c r="C520" s="334">
        <v>5</v>
      </c>
      <c r="D520" s="334"/>
      <c r="E520" s="50"/>
      <c r="F520" s="40" t="s">
        <v>190</v>
      </c>
      <c r="G520" s="40"/>
      <c r="H520" s="40"/>
      <c r="I520" s="41"/>
      <c r="J520" s="39" t="s">
        <v>692</v>
      </c>
      <c r="K520" s="40"/>
      <c r="L520" s="40"/>
      <c r="M520" s="40"/>
      <c r="N520" s="40"/>
      <c r="O520" s="40"/>
      <c r="P520" s="40"/>
      <c r="Q520" s="40"/>
      <c r="R520" s="40"/>
      <c r="S520" s="40"/>
      <c r="T520" s="40"/>
      <c r="U520" s="40"/>
      <c r="V520" s="40"/>
      <c r="W520" s="40"/>
      <c r="X520" s="40"/>
      <c r="Y520" s="40"/>
      <c r="Z520" s="40"/>
      <c r="AA520" s="41"/>
      <c r="AB520" s="28"/>
    </row>
    <row r="521" spans="1:28" ht="18" customHeight="1">
      <c r="A521" s="26"/>
      <c r="C521" s="334">
        <v>6</v>
      </c>
      <c r="D521" s="334"/>
      <c r="E521" s="47"/>
      <c r="F521" s="31" t="s">
        <v>288</v>
      </c>
      <c r="G521" s="40"/>
      <c r="H521" s="40"/>
      <c r="I521" s="41"/>
      <c r="J521" s="39" t="s">
        <v>693</v>
      </c>
      <c r="K521" s="40"/>
      <c r="L521" s="40"/>
      <c r="M521" s="40"/>
      <c r="N521" s="40"/>
      <c r="O521" s="40"/>
      <c r="P521" s="40"/>
      <c r="Q521" s="40"/>
      <c r="R521" s="40"/>
      <c r="S521" s="40"/>
      <c r="T521" s="40"/>
      <c r="U521" s="40"/>
      <c r="V521" s="40"/>
      <c r="W521" s="40"/>
      <c r="X521" s="40"/>
      <c r="Y521" s="40"/>
      <c r="Z521" s="40"/>
      <c r="AA521" s="41"/>
      <c r="AB521" s="28"/>
    </row>
    <row r="522" spans="1:28" ht="18" customHeight="1">
      <c r="A522" s="26"/>
      <c r="C522" s="334">
        <v>7</v>
      </c>
      <c r="D522" s="334"/>
      <c r="E522" s="47"/>
      <c r="F522" s="31" t="s">
        <v>286</v>
      </c>
      <c r="G522" s="40"/>
      <c r="H522" s="40"/>
      <c r="I522" s="41"/>
      <c r="J522" s="39" t="s">
        <v>694</v>
      </c>
      <c r="K522" s="40"/>
      <c r="L522" s="40"/>
      <c r="M522" s="40"/>
      <c r="N522" s="40"/>
      <c r="O522" s="40"/>
      <c r="P522" s="40"/>
      <c r="Q522" s="40"/>
      <c r="R522" s="40"/>
      <c r="S522" s="40"/>
      <c r="T522" s="40"/>
      <c r="U522" s="40"/>
      <c r="V522" s="40"/>
      <c r="W522" s="40"/>
      <c r="X522" s="40"/>
      <c r="Y522" s="40"/>
      <c r="Z522" s="40"/>
      <c r="AA522" s="41"/>
      <c r="AB522" s="28"/>
    </row>
    <row r="523" spans="1:28" ht="18" customHeight="1">
      <c r="A523" s="26"/>
      <c r="C523" s="347">
        <v>9</v>
      </c>
      <c r="D523" s="349"/>
      <c r="E523" s="39"/>
      <c r="F523" s="40" t="s">
        <v>448</v>
      </c>
      <c r="G523" s="40"/>
      <c r="H523" s="40"/>
      <c r="I523" s="41"/>
      <c r="J523" s="39"/>
      <c r="K523" s="40"/>
      <c r="L523" s="40"/>
      <c r="M523" s="40"/>
      <c r="N523" s="40"/>
      <c r="O523" s="40"/>
      <c r="P523" s="40"/>
      <c r="Q523" s="40"/>
      <c r="R523" s="40"/>
      <c r="S523" s="40"/>
      <c r="T523" s="40"/>
      <c r="U523" s="40"/>
      <c r="V523" s="40"/>
      <c r="W523" s="40"/>
      <c r="X523" s="40"/>
      <c r="Y523" s="40"/>
      <c r="Z523" s="40"/>
      <c r="AA523" s="41"/>
      <c r="AB523" s="28"/>
    </row>
    <row r="524" spans="1:28" ht="18" customHeight="1">
      <c r="A524" s="26"/>
      <c r="C524" s="347">
        <v>10</v>
      </c>
      <c r="D524" s="349"/>
      <c r="E524" s="39"/>
      <c r="F524" s="40"/>
      <c r="G524" s="40" t="s">
        <v>379</v>
      </c>
      <c r="H524" s="40"/>
      <c r="I524" s="41"/>
      <c r="J524" s="39" t="str">
        <f t="shared" ref="J524:J538" si="5">"9-3．精積算明細．"&amp;G524</f>
        <v>9-3．精積算明細．精積算明細ID</v>
      </c>
      <c r="K524" s="40"/>
      <c r="L524" s="40"/>
      <c r="M524" s="40"/>
      <c r="N524" s="40"/>
      <c r="O524" s="40"/>
      <c r="P524" s="40"/>
      <c r="Q524" s="40"/>
      <c r="R524" s="40"/>
      <c r="S524" s="40"/>
      <c r="T524" s="40"/>
      <c r="U524" s="40"/>
      <c r="V524" s="40"/>
      <c r="W524" s="40"/>
      <c r="X524" s="40"/>
      <c r="Y524" s="40"/>
      <c r="Z524" s="40"/>
      <c r="AA524" s="41"/>
      <c r="AB524" s="28"/>
    </row>
    <row r="525" spans="1:28" ht="18" customHeight="1">
      <c r="A525" s="26"/>
      <c r="C525" s="347">
        <v>11</v>
      </c>
      <c r="D525" s="349"/>
      <c r="E525" s="50"/>
      <c r="F525" s="40"/>
      <c r="G525" s="40" t="s">
        <v>267</v>
      </c>
      <c r="H525" s="40"/>
      <c r="I525" s="41"/>
      <c r="J525" s="39" t="str">
        <f t="shared" si="5"/>
        <v>9-3．精積算明細．精積算ヘッダID</v>
      </c>
      <c r="K525" s="40"/>
      <c r="L525" s="40"/>
      <c r="M525" s="40"/>
      <c r="N525" s="40"/>
      <c r="O525" s="40"/>
      <c r="P525" s="40"/>
      <c r="Q525" s="40"/>
      <c r="R525" s="40"/>
      <c r="S525" s="40"/>
      <c r="T525" s="40"/>
      <c r="U525" s="40"/>
      <c r="V525" s="40"/>
      <c r="W525" s="40"/>
      <c r="X525" s="40"/>
      <c r="Y525" s="40"/>
      <c r="Z525" s="40"/>
      <c r="AA525" s="41"/>
      <c r="AB525" s="28"/>
    </row>
    <row r="526" spans="1:28" ht="18" customHeight="1">
      <c r="A526" s="26"/>
      <c r="C526" s="347">
        <v>12</v>
      </c>
      <c r="D526" s="349"/>
      <c r="E526" s="50"/>
      <c r="F526" s="40"/>
      <c r="G526" s="40" t="s">
        <v>376</v>
      </c>
      <c r="H526" s="40"/>
      <c r="I526" s="41"/>
      <c r="J526" s="39" t="str">
        <f t="shared" si="5"/>
        <v>9-3．精積算明細．大工事コード</v>
      </c>
      <c r="K526" s="40"/>
      <c r="L526" s="40"/>
      <c r="M526" s="40"/>
      <c r="N526" s="40"/>
      <c r="O526" s="40"/>
      <c r="P526" s="40"/>
      <c r="Q526" s="40"/>
      <c r="R526" s="40"/>
      <c r="S526" s="40"/>
      <c r="T526" s="40"/>
      <c r="U526" s="40"/>
      <c r="V526" s="40"/>
      <c r="W526" s="40"/>
      <c r="X526" s="40"/>
      <c r="Y526" s="40"/>
      <c r="Z526" s="40"/>
      <c r="AA526" s="41"/>
      <c r="AB526" s="28"/>
    </row>
    <row r="527" spans="1:28" ht="18" customHeight="1">
      <c r="A527" s="26"/>
      <c r="C527" s="347">
        <v>13</v>
      </c>
      <c r="D527" s="349"/>
      <c r="E527" s="47"/>
      <c r="F527" s="40"/>
      <c r="G527" s="31" t="s">
        <v>377</v>
      </c>
      <c r="H527" s="40"/>
      <c r="I527" s="41"/>
      <c r="J527" s="39" t="str">
        <f t="shared" si="5"/>
        <v>9-3．精積算明細．小工事コード</v>
      </c>
      <c r="K527" s="40"/>
      <c r="L527" s="40"/>
      <c r="M527" s="40"/>
      <c r="N527" s="40"/>
      <c r="O527" s="40"/>
      <c r="P527" s="40"/>
      <c r="Q527" s="40"/>
      <c r="R527" s="40"/>
      <c r="S527" s="40"/>
      <c r="T527" s="40"/>
      <c r="U527" s="40"/>
      <c r="V527" s="40"/>
      <c r="W527" s="40"/>
      <c r="X527" s="40"/>
      <c r="Y527" s="40"/>
      <c r="Z527" s="40"/>
      <c r="AA527" s="41"/>
      <c r="AB527" s="28"/>
    </row>
    <row r="528" spans="1:28" ht="18" customHeight="1">
      <c r="A528" s="26"/>
      <c r="C528" s="347">
        <v>14</v>
      </c>
      <c r="D528" s="349"/>
      <c r="E528" s="47"/>
      <c r="F528" s="40"/>
      <c r="G528" s="31" t="s">
        <v>378</v>
      </c>
      <c r="H528" s="40"/>
      <c r="I528" s="41"/>
      <c r="J528" s="39" t="str">
        <f t="shared" si="5"/>
        <v>9-3．精積算明細．工事連番</v>
      </c>
      <c r="K528" s="40"/>
      <c r="L528" s="40"/>
      <c r="M528" s="40"/>
      <c r="N528" s="40"/>
      <c r="O528" s="40"/>
      <c r="P528" s="40"/>
      <c r="Q528" s="40"/>
      <c r="R528" s="40"/>
      <c r="S528" s="40"/>
      <c r="T528" s="40"/>
      <c r="U528" s="40"/>
      <c r="V528" s="40"/>
      <c r="W528" s="40"/>
      <c r="X528" s="40"/>
      <c r="Y528" s="40"/>
      <c r="Z528" s="40"/>
      <c r="AA528" s="41"/>
      <c r="AB528" s="28"/>
    </row>
    <row r="529" spans="1:28" ht="18" customHeight="1">
      <c r="A529" s="26"/>
      <c r="C529" s="347">
        <v>15</v>
      </c>
      <c r="D529" s="349"/>
      <c r="E529" s="39"/>
      <c r="F529" s="40"/>
      <c r="G529" s="40" t="s">
        <v>433</v>
      </c>
      <c r="H529" s="40"/>
      <c r="I529" s="41"/>
      <c r="J529" s="39" t="str">
        <f t="shared" si="5"/>
        <v>9-3．精積算明細．規格</v>
      </c>
      <c r="K529" s="40"/>
      <c r="L529" s="40"/>
      <c r="M529" s="40"/>
      <c r="N529" s="40"/>
      <c r="O529" s="40"/>
      <c r="P529" s="40"/>
      <c r="Q529" s="40"/>
      <c r="R529" s="40"/>
      <c r="S529" s="40"/>
      <c r="T529" s="40"/>
      <c r="U529" s="40"/>
      <c r="V529" s="40"/>
      <c r="W529" s="40"/>
      <c r="X529" s="40"/>
      <c r="Y529" s="40"/>
      <c r="Z529" s="40"/>
      <c r="AA529" s="41"/>
      <c r="AB529" s="28"/>
    </row>
    <row r="530" spans="1:28" ht="18" customHeight="1">
      <c r="A530" s="26"/>
      <c r="C530" s="347">
        <v>16</v>
      </c>
      <c r="D530" s="349"/>
      <c r="E530" s="50"/>
      <c r="F530" s="40"/>
      <c r="G530" s="40" t="s">
        <v>374</v>
      </c>
      <c r="H530" s="40"/>
      <c r="I530" s="41"/>
      <c r="J530" s="39" t="str">
        <f t="shared" si="5"/>
        <v>9-3．精積算明細．連番</v>
      </c>
      <c r="K530" s="40"/>
      <c r="L530" s="40"/>
      <c r="M530" s="40"/>
      <c r="N530" s="40"/>
      <c r="O530" s="40"/>
      <c r="P530" s="40"/>
      <c r="Q530" s="40"/>
      <c r="R530" s="40"/>
      <c r="S530" s="40"/>
      <c r="T530" s="40"/>
      <c r="U530" s="40"/>
      <c r="V530" s="40"/>
      <c r="W530" s="40"/>
      <c r="X530" s="40"/>
      <c r="Y530" s="40"/>
      <c r="Z530" s="40"/>
      <c r="AA530" s="41"/>
      <c r="AB530" s="28"/>
    </row>
    <row r="531" spans="1:28" ht="18" customHeight="1">
      <c r="A531" s="26"/>
      <c r="C531" s="347">
        <v>17</v>
      </c>
      <c r="D531" s="349"/>
      <c r="E531" s="50"/>
      <c r="F531" s="40"/>
      <c r="G531" s="40" t="s">
        <v>434</v>
      </c>
      <c r="H531" s="40"/>
      <c r="I531" s="41"/>
      <c r="J531" s="39" t="str">
        <f t="shared" si="5"/>
        <v>9-3．精積算明細．数量</v>
      </c>
      <c r="K531" s="40"/>
      <c r="L531" s="40"/>
      <c r="M531" s="40"/>
      <c r="N531" s="40"/>
      <c r="O531" s="40"/>
      <c r="P531" s="40"/>
      <c r="Q531" s="40"/>
      <c r="R531" s="40"/>
      <c r="S531" s="40"/>
      <c r="T531" s="40"/>
      <c r="U531" s="40"/>
      <c r="V531" s="40"/>
      <c r="W531" s="40"/>
      <c r="X531" s="40"/>
      <c r="Y531" s="40"/>
      <c r="Z531" s="40"/>
      <c r="AA531" s="41"/>
      <c r="AB531" s="28"/>
    </row>
    <row r="532" spans="1:28" ht="18" customHeight="1">
      <c r="A532" s="26"/>
      <c r="C532" s="347">
        <v>18</v>
      </c>
      <c r="D532" s="349"/>
      <c r="E532" s="47"/>
      <c r="F532" s="40"/>
      <c r="G532" s="31" t="s">
        <v>435</v>
      </c>
      <c r="H532" s="40"/>
      <c r="I532" s="41"/>
      <c r="J532" s="39" t="str">
        <f t="shared" si="5"/>
        <v>9-3．精積算明細．単価</v>
      </c>
      <c r="K532" s="40"/>
      <c r="L532" s="40"/>
      <c r="M532" s="40"/>
      <c r="N532" s="40"/>
      <c r="O532" s="40"/>
      <c r="P532" s="40"/>
      <c r="Q532" s="40"/>
      <c r="R532" s="40"/>
      <c r="S532" s="40"/>
      <c r="T532" s="40"/>
      <c r="U532" s="40"/>
      <c r="V532" s="40"/>
      <c r="W532" s="40"/>
      <c r="X532" s="40"/>
      <c r="Y532" s="40"/>
      <c r="Z532" s="40"/>
      <c r="AA532" s="41"/>
      <c r="AB532" s="28"/>
    </row>
    <row r="533" spans="1:28" ht="18" customHeight="1">
      <c r="A533" s="26"/>
      <c r="C533" s="347">
        <v>19</v>
      </c>
      <c r="D533" s="349"/>
      <c r="E533" s="47"/>
      <c r="F533" s="40"/>
      <c r="G533" s="31" t="s">
        <v>436</v>
      </c>
      <c r="H533" s="40"/>
      <c r="I533" s="41"/>
      <c r="J533" s="39" t="str">
        <f t="shared" si="5"/>
        <v>9-3．精積算明細．単位区分</v>
      </c>
      <c r="K533" s="40"/>
      <c r="L533" s="40"/>
      <c r="M533" s="40"/>
      <c r="N533" s="40"/>
      <c r="O533" s="40"/>
      <c r="P533" s="40"/>
      <c r="Q533" s="40"/>
      <c r="R533" s="40"/>
      <c r="S533" s="40"/>
      <c r="T533" s="40"/>
      <c r="U533" s="40"/>
      <c r="V533" s="40"/>
      <c r="W533" s="40"/>
      <c r="X533" s="40"/>
      <c r="Y533" s="40"/>
      <c r="Z533" s="40"/>
      <c r="AA533" s="41"/>
      <c r="AB533" s="28"/>
    </row>
    <row r="534" spans="1:28" ht="18" customHeight="1">
      <c r="A534" s="26"/>
      <c r="C534" s="347">
        <v>20</v>
      </c>
      <c r="D534" s="349"/>
      <c r="E534" s="50"/>
      <c r="F534" s="40"/>
      <c r="G534" s="40" t="s">
        <v>437</v>
      </c>
      <c r="H534" s="40"/>
      <c r="I534" s="41"/>
      <c r="J534" s="39" t="str">
        <f t="shared" si="5"/>
        <v>9-3．精積算明細．精積算金額</v>
      </c>
      <c r="K534" s="40"/>
      <c r="L534" s="40"/>
      <c r="M534" s="40"/>
      <c r="N534" s="40"/>
      <c r="O534" s="40"/>
      <c r="P534" s="40"/>
      <c r="Q534" s="40"/>
      <c r="R534" s="40"/>
      <c r="S534" s="40"/>
      <c r="T534" s="40"/>
      <c r="U534" s="40"/>
      <c r="V534" s="40"/>
      <c r="W534" s="40"/>
      <c r="X534" s="40"/>
      <c r="Y534" s="40"/>
      <c r="Z534" s="40"/>
      <c r="AA534" s="41"/>
      <c r="AB534" s="28"/>
    </row>
    <row r="535" spans="1:28" ht="18" customHeight="1">
      <c r="A535" s="26"/>
      <c r="C535" s="347">
        <v>21</v>
      </c>
      <c r="D535" s="349"/>
      <c r="E535" s="47"/>
      <c r="F535" s="40"/>
      <c r="G535" s="31" t="s">
        <v>13</v>
      </c>
      <c r="H535" s="40"/>
      <c r="I535" s="41"/>
      <c r="J535" s="39" t="str">
        <f t="shared" si="5"/>
        <v>9-3．精積算明細．備考</v>
      </c>
      <c r="K535" s="40"/>
      <c r="L535" s="40"/>
      <c r="M535" s="40"/>
      <c r="N535" s="40"/>
      <c r="O535" s="40"/>
      <c r="P535" s="40"/>
      <c r="Q535" s="40"/>
      <c r="R535" s="40"/>
      <c r="S535" s="40"/>
      <c r="T535" s="40"/>
      <c r="U535" s="40"/>
      <c r="V535" s="40"/>
      <c r="W535" s="40"/>
      <c r="X535" s="40"/>
      <c r="Y535" s="40"/>
      <c r="Z535" s="40"/>
      <c r="AA535" s="41"/>
      <c r="AB535" s="28"/>
    </row>
    <row r="536" spans="1:28" ht="18" customHeight="1">
      <c r="A536" s="26"/>
      <c r="C536" s="347">
        <v>22</v>
      </c>
      <c r="D536" s="349"/>
      <c r="E536" s="47"/>
      <c r="F536" s="40"/>
      <c r="G536" s="31" t="s">
        <v>438</v>
      </c>
      <c r="H536" s="40"/>
      <c r="I536" s="41"/>
      <c r="J536" s="39" t="str">
        <f t="shared" si="5"/>
        <v>9-3．精積算明細．業者見積No</v>
      </c>
      <c r="K536" s="40"/>
      <c r="L536" s="40"/>
      <c r="M536" s="40"/>
      <c r="N536" s="40"/>
      <c r="O536" s="40"/>
      <c r="P536" s="40"/>
      <c r="Q536" s="40"/>
      <c r="R536" s="40"/>
      <c r="S536" s="40"/>
      <c r="T536" s="40"/>
      <c r="U536" s="40"/>
      <c r="V536" s="40"/>
      <c r="W536" s="40"/>
      <c r="X536" s="40"/>
      <c r="Y536" s="40"/>
      <c r="Z536" s="40"/>
      <c r="AA536" s="41"/>
      <c r="AB536" s="28"/>
    </row>
    <row r="537" spans="1:28" ht="18" customHeight="1">
      <c r="A537" s="26"/>
      <c r="C537" s="347">
        <v>23</v>
      </c>
      <c r="D537" s="349"/>
      <c r="E537" s="47"/>
      <c r="F537" s="40"/>
      <c r="G537" s="31" t="s">
        <v>439</v>
      </c>
      <c r="H537" s="40"/>
      <c r="I537" s="41"/>
      <c r="J537" s="39" t="str">
        <f t="shared" si="5"/>
        <v>9-3．精積算明細．協力業者コード</v>
      </c>
      <c r="K537" s="40"/>
      <c r="L537" s="40"/>
      <c r="M537" s="40"/>
      <c r="N537" s="40"/>
      <c r="O537" s="40"/>
      <c r="P537" s="40"/>
      <c r="Q537" s="40"/>
      <c r="R537" s="40"/>
      <c r="S537" s="40"/>
      <c r="T537" s="40"/>
      <c r="U537" s="40"/>
      <c r="V537" s="40"/>
      <c r="W537" s="40"/>
      <c r="X537" s="40"/>
      <c r="Y537" s="40"/>
      <c r="Z537" s="40"/>
      <c r="AA537" s="41"/>
      <c r="AB537" s="28"/>
    </row>
    <row r="538" spans="1:28" ht="18" customHeight="1">
      <c r="A538" s="26"/>
      <c r="C538" s="347">
        <v>24</v>
      </c>
      <c r="D538" s="349"/>
      <c r="E538" s="47"/>
      <c r="F538" s="40"/>
      <c r="G538" s="31" t="s">
        <v>440</v>
      </c>
      <c r="H538" s="40"/>
      <c r="I538" s="41"/>
      <c r="J538" s="39" t="str">
        <f t="shared" si="5"/>
        <v>9-3．精積算明細．協力業者見積詳細ID</v>
      </c>
      <c r="K538" s="40"/>
      <c r="L538" s="40"/>
      <c r="M538" s="40"/>
      <c r="N538" s="40"/>
      <c r="O538" s="40"/>
      <c r="P538" s="40"/>
      <c r="Q538" s="40"/>
      <c r="R538" s="40"/>
      <c r="S538" s="40"/>
      <c r="T538" s="40"/>
      <c r="U538" s="40"/>
      <c r="V538" s="40"/>
      <c r="W538" s="40"/>
      <c r="X538" s="40"/>
      <c r="Y538" s="40"/>
      <c r="Z538" s="40"/>
      <c r="AA538" s="41"/>
      <c r="AB538" s="28"/>
    </row>
    <row r="539" spans="1:28" ht="18" customHeight="1">
      <c r="A539" s="26"/>
      <c r="C539" s="347">
        <v>25</v>
      </c>
      <c r="D539" s="349"/>
      <c r="E539" s="47"/>
      <c r="F539" s="31" t="s">
        <v>295</v>
      </c>
      <c r="G539" s="40"/>
      <c r="H539" s="40"/>
      <c r="I539" s="41"/>
      <c r="J539" s="39" t="s">
        <v>709</v>
      </c>
      <c r="K539" s="61"/>
      <c r="L539" s="61"/>
      <c r="M539" s="61"/>
      <c r="N539" s="61"/>
      <c r="O539" s="61"/>
      <c r="P539" s="61"/>
      <c r="Q539" s="61"/>
      <c r="R539" s="40"/>
      <c r="S539" s="40"/>
      <c r="T539" s="40"/>
      <c r="U539" s="40"/>
      <c r="V539" s="40"/>
      <c r="W539" s="40"/>
      <c r="X539" s="40"/>
      <c r="Y539" s="40"/>
      <c r="Z539" s="40"/>
      <c r="AA539" s="41"/>
      <c r="AB539" s="28"/>
    </row>
    <row r="540" spans="1:28" ht="18" customHeight="1">
      <c r="A540" s="26"/>
      <c r="C540" s="347">
        <v>26</v>
      </c>
      <c r="D540" s="349"/>
      <c r="E540" s="47"/>
      <c r="F540" s="59" t="s">
        <v>451</v>
      </c>
      <c r="G540" s="61"/>
      <c r="H540" s="61"/>
      <c r="I540" s="62"/>
      <c r="J540" s="57" t="s">
        <v>710</v>
      </c>
      <c r="K540" s="61"/>
      <c r="L540" s="61"/>
      <c r="M540" s="61"/>
      <c r="N540" s="61"/>
      <c r="O540" s="61"/>
      <c r="P540" s="61"/>
      <c r="Q540" s="61"/>
      <c r="R540" s="40"/>
      <c r="S540" s="40"/>
      <c r="T540" s="40"/>
      <c r="U540" s="40"/>
      <c r="V540" s="40"/>
      <c r="W540" s="40"/>
      <c r="X540" s="40"/>
      <c r="Y540" s="40"/>
      <c r="Z540" s="40"/>
      <c r="AA540" s="41"/>
      <c r="AB540" s="28"/>
    </row>
    <row r="541" spans="1:28" ht="18" customHeight="1">
      <c r="A541" s="26"/>
      <c r="C541" s="38"/>
      <c r="D541" s="38"/>
      <c r="E541" s="46"/>
      <c r="F541" s="63"/>
      <c r="G541" s="36"/>
      <c r="H541" s="36"/>
      <c r="I541" s="36"/>
      <c r="J541" s="36"/>
      <c r="K541" s="36"/>
      <c r="L541" s="36"/>
      <c r="M541" s="36"/>
      <c r="N541" s="36"/>
      <c r="O541" s="36"/>
      <c r="P541" s="36"/>
      <c r="Q541" s="36"/>
      <c r="AB541" s="28"/>
    </row>
    <row r="542" spans="1:28" ht="18" customHeight="1">
      <c r="A542" s="26"/>
      <c r="C542" s="46" t="s">
        <v>711</v>
      </c>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28"/>
    </row>
    <row r="543" spans="1:28" ht="18" customHeight="1">
      <c r="A543" s="26"/>
      <c r="C543" s="319" t="s">
        <v>129</v>
      </c>
      <c r="D543" s="319"/>
      <c r="E543" s="319"/>
      <c r="F543" s="319"/>
      <c r="G543" s="332" t="s">
        <v>846</v>
      </c>
      <c r="H543" s="333"/>
      <c r="I543" s="333"/>
      <c r="J543" s="333"/>
      <c r="K543" s="333"/>
      <c r="L543" s="333"/>
      <c r="M543" s="333"/>
      <c r="N543" s="333"/>
      <c r="O543" s="333"/>
      <c r="P543" s="333"/>
      <c r="Q543" s="333"/>
      <c r="R543" s="333"/>
      <c r="S543" s="333"/>
      <c r="T543" s="333"/>
      <c r="U543" s="333"/>
      <c r="V543" s="333"/>
      <c r="W543" s="333"/>
      <c r="X543" s="333"/>
      <c r="Y543" s="333"/>
      <c r="Z543" s="333"/>
      <c r="AA543" s="333"/>
      <c r="AB543" s="28"/>
    </row>
    <row r="544" spans="1:28" ht="18" customHeight="1">
      <c r="A544" s="26"/>
      <c r="C544" s="319" t="s">
        <v>452</v>
      </c>
      <c r="D544" s="319"/>
      <c r="E544" s="319"/>
      <c r="F544" s="319"/>
      <c r="G544" s="332" t="s">
        <v>847</v>
      </c>
      <c r="H544" s="333"/>
      <c r="I544" s="333"/>
      <c r="J544" s="333"/>
      <c r="K544" s="333"/>
      <c r="L544" s="333"/>
      <c r="M544" s="333"/>
      <c r="N544" s="333"/>
      <c r="O544" s="333"/>
      <c r="P544" s="333"/>
      <c r="Q544" s="333"/>
      <c r="R544" s="333"/>
      <c r="S544" s="333"/>
      <c r="T544" s="333"/>
      <c r="U544" s="333"/>
      <c r="V544" s="333"/>
      <c r="W544" s="333"/>
      <c r="X544" s="333"/>
      <c r="Y544" s="333"/>
      <c r="Z544" s="333"/>
      <c r="AA544" s="333"/>
      <c r="AB544" s="28"/>
    </row>
    <row r="545" spans="1:30" ht="18" customHeight="1">
      <c r="A545" s="26"/>
      <c r="C545" s="38"/>
      <c r="D545" s="38"/>
      <c r="AB545" s="28"/>
    </row>
    <row r="546" spans="1:30" ht="18" customHeight="1">
      <c r="A546" s="26"/>
      <c r="C546" s="46" t="s">
        <v>712</v>
      </c>
      <c r="D546" s="38"/>
      <c r="AB546" s="28"/>
    </row>
    <row r="547" spans="1:30" ht="18" customHeight="1">
      <c r="A547" s="26"/>
      <c r="C547" s="55" t="s">
        <v>290</v>
      </c>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28"/>
    </row>
    <row r="548" spans="1:30" ht="18" customHeight="1">
      <c r="A548" s="26"/>
      <c r="C548" s="343" t="s">
        <v>417</v>
      </c>
      <c r="D548" s="344"/>
      <c r="E548" s="344"/>
      <c r="F548" s="344"/>
      <c r="G548" s="344"/>
      <c r="H548" s="47" t="s">
        <v>455</v>
      </c>
      <c r="I548" s="48"/>
      <c r="J548" s="48"/>
      <c r="K548" s="48"/>
      <c r="L548" s="48"/>
      <c r="M548" s="48"/>
      <c r="N548" s="48"/>
      <c r="O548" s="48"/>
      <c r="P548" s="48"/>
      <c r="Q548" s="48"/>
      <c r="R548" s="48"/>
      <c r="S548" s="48"/>
      <c r="T548" s="48"/>
      <c r="U548" s="48"/>
      <c r="V548" s="48"/>
      <c r="W548" s="48"/>
      <c r="X548" s="48"/>
      <c r="Y548" s="48"/>
      <c r="Z548" s="48"/>
      <c r="AA548" s="49"/>
      <c r="AB548" s="28"/>
      <c r="AD548" s="27" t="e">
        <f>""""&amp;#REF!&amp;""":""example"&amp;#REF!&amp;""","</f>
        <v>#REF!</v>
      </c>
    </row>
    <row r="549" spans="1:30" ht="18" customHeight="1">
      <c r="A549" s="26"/>
      <c r="C549" s="337" t="s">
        <v>7</v>
      </c>
      <c r="D549" s="337"/>
      <c r="E549" s="337" t="s">
        <v>9</v>
      </c>
      <c r="F549" s="337"/>
      <c r="G549" s="337"/>
      <c r="H549" s="337"/>
      <c r="I549" s="337"/>
      <c r="J549" s="343" t="s">
        <v>18</v>
      </c>
      <c r="K549" s="344"/>
      <c r="L549" s="344"/>
      <c r="M549" s="344"/>
      <c r="N549" s="344"/>
      <c r="O549" s="344"/>
      <c r="P549" s="344"/>
      <c r="Q549" s="344"/>
      <c r="R549" s="344"/>
      <c r="S549" s="344"/>
      <c r="T549" s="344"/>
      <c r="U549" s="344"/>
      <c r="V549" s="344"/>
      <c r="W549" s="344"/>
      <c r="X549" s="344"/>
      <c r="Y549" s="344"/>
      <c r="Z549" s="344"/>
      <c r="AA549" s="345"/>
      <c r="AB549" s="28"/>
    </row>
    <row r="550" spans="1:30" ht="18" customHeight="1">
      <c r="A550" s="26"/>
      <c r="C550" s="334">
        <v>1</v>
      </c>
      <c r="D550" s="334"/>
      <c r="E550" s="39" t="s">
        <v>297</v>
      </c>
      <c r="F550" s="40"/>
      <c r="G550" s="40"/>
      <c r="H550" s="40"/>
      <c r="I550" s="41"/>
      <c r="J550" s="39" t="s">
        <v>266</v>
      </c>
      <c r="K550" s="40"/>
      <c r="L550" s="40"/>
      <c r="M550" s="40"/>
      <c r="N550" s="40"/>
      <c r="O550" s="40"/>
      <c r="P550" s="40"/>
      <c r="Q550" s="40"/>
      <c r="R550" s="40"/>
      <c r="S550" s="40"/>
      <c r="T550" s="40"/>
      <c r="U550" s="40"/>
      <c r="V550" s="40"/>
      <c r="W550" s="40"/>
      <c r="X550" s="40"/>
      <c r="Y550" s="40"/>
      <c r="Z550" s="40"/>
      <c r="AA550" s="41"/>
      <c r="AB550" s="28"/>
    </row>
    <row r="551" spans="1:30" ht="18" customHeight="1">
      <c r="A551" s="26"/>
      <c r="C551" s="334">
        <v>2</v>
      </c>
      <c r="D551" s="334"/>
      <c r="E551" s="39" t="s">
        <v>451</v>
      </c>
      <c r="F551" s="40"/>
      <c r="G551" s="40"/>
      <c r="H551" s="40"/>
      <c r="I551" s="41"/>
      <c r="J551" s="39" t="s">
        <v>266</v>
      </c>
      <c r="K551" s="40"/>
      <c r="L551" s="40"/>
      <c r="M551" s="40"/>
      <c r="N551" s="40"/>
      <c r="O551" s="40"/>
      <c r="P551" s="40"/>
      <c r="Q551" s="40"/>
      <c r="R551" s="40"/>
      <c r="S551" s="40"/>
      <c r="T551" s="40"/>
      <c r="U551" s="40"/>
      <c r="V551" s="40"/>
      <c r="W551" s="40"/>
      <c r="X551" s="40"/>
      <c r="Y551" s="40"/>
      <c r="Z551" s="40"/>
      <c r="AA551" s="41"/>
      <c r="AB551" s="28"/>
    </row>
    <row r="552" spans="1:30" ht="18" customHeight="1">
      <c r="A552" s="26"/>
      <c r="C552" s="334">
        <v>3</v>
      </c>
      <c r="D552" s="334"/>
      <c r="E552" s="39" t="s">
        <v>284</v>
      </c>
      <c r="F552" s="40"/>
      <c r="G552" s="40"/>
      <c r="H552" s="40"/>
      <c r="I552" s="41"/>
      <c r="J552" s="39" t="s">
        <v>713</v>
      </c>
      <c r="K552" s="40"/>
      <c r="L552" s="40"/>
      <c r="M552" s="40"/>
      <c r="N552" s="40"/>
      <c r="O552" s="40"/>
      <c r="P552" s="40"/>
      <c r="Q552" s="40"/>
      <c r="R552" s="40"/>
      <c r="S552" s="40"/>
      <c r="T552" s="40"/>
      <c r="U552" s="40"/>
      <c r="V552" s="40"/>
      <c r="W552" s="40"/>
      <c r="X552" s="40"/>
      <c r="Y552" s="40"/>
      <c r="Z552" s="40"/>
      <c r="AA552" s="41"/>
      <c r="AB552" s="28"/>
    </row>
    <row r="553" spans="1:30" ht="18" customHeight="1">
      <c r="A553" s="26"/>
      <c r="C553" s="334">
        <v>4</v>
      </c>
      <c r="D553" s="334"/>
      <c r="E553" s="47" t="s">
        <v>453</v>
      </c>
      <c r="F553" s="31"/>
      <c r="G553" s="31"/>
      <c r="H553" s="31"/>
      <c r="I553" s="32"/>
      <c r="J553" s="39" t="s">
        <v>664</v>
      </c>
      <c r="K553" s="40"/>
      <c r="L553" s="40"/>
      <c r="M553" s="40"/>
      <c r="N553" s="40"/>
      <c r="O553" s="40"/>
      <c r="P553" s="40"/>
      <c r="Q553" s="40"/>
      <c r="R553" s="40"/>
      <c r="S553" s="40"/>
      <c r="T553" s="40"/>
      <c r="U553" s="40"/>
      <c r="V553" s="40"/>
      <c r="W553" s="40"/>
      <c r="X553" s="40"/>
      <c r="Y553" s="40"/>
      <c r="Z553" s="40"/>
      <c r="AA553" s="41"/>
      <c r="AB553" s="28"/>
    </row>
    <row r="554" spans="1:30" ht="18" customHeight="1">
      <c r="A554" s="26"/>
      <c r="C554" s="334">
        <v>5</v>
      </c>
      <c r="D554" s="334"/>
      <c r="E554" s="47" t="s">
        <v>192</v>
      </c>
      <c r="F554" s="31"/>
      <c r="G554" s="31"/>
      <c r="H554" s="31"/>
      <c r="I554" s="32"/>
      <c r="J554" s="39" t="s">
        <v>296</v>
      </c>
      <c r="K554" s="40"/>
      <c r="L554" s="40"/>
      <c r="M554" s="40"/>
      <c r="N554" s="40"/>
      <c r="O554" s="40"/>
      <c r="P554" s="40"/>
      <c r="Q554" s="40"/>
      <c r="R554" s="40"/>
      <c r="S554" s="40"/>
      <c r="T554" s="40"/>
      <c r="U554" s="40"/>
      <c r="V554" s="40"/>
      <c r="W554" s="40"/>
      <c r="X554" s="40"/>
      <c r="Y554" s="40"/>
      <c r="Z554" s="40"/>
      <c r="AA554" s="41"/>
      <c r="AB554" s="28"/>
    </row>
    <row r="555" spans="1:30" ht="18" customHeight="1">
      <c r="A555" s="26"/>
      <c r="C555" s="38"/>
      <c r="D555" s="38"/>
      <c r="AB555" s="28"/>
    </row>
    <row r="556" spans="1:30" ht="18" customHeight="1">
      <c r="A556" s="26"/>
      <c r="C556" s="46" t="s">
        <v>714</v>
      </c>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28"/>
    </row>
    <row r="557" spans="1:30" ht="18" customHeight="1">
      <c r="A557" s="26"/>
      <c r="C557" s="46" t="s">
        <v>454</v>
      </c>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28"/>
    </row>
    <row r="558" spans="1:30" ht="18" customHeight="1">
      <c r="A558" s="26"/>
      <c r="C558" s="55" t="s">
        <v>290</v>
      </c>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28"/>
    </row>
    <row r="559" spans="1:30" ht="18" customHeight="1">
      <c r="A559" s="26"/>
      <c r="C559" s="319" t="s">
        <v>129</v>
      </c>
      <c r="D559" s="319"/>
      <c r="E559" s="319"/>
      <c r="F559" s="319"/>
      <c r="G559" s="332" t="s">
        <v>848</v>
      </c>
      <c r="H559" s="333"/>
      <c r="I559" s="333"/>
      <c r="J559" s="333"/>
      <c r="K559" s="333"/>
      <c r="L559" s="333"/>
      <c r="M559" s="333"/>
      <c r="N559" s="333"/>
      <c r="O559" s="333"/>
      <c r="P559" s="333"/>
      <c r="Q559" s="333"/>
      <c r="R559" s="333"/>
      <c r="S559" s="333"/>
      <c r="T559" s="333"/>
      <c r="U559" s="333"/>
      <c r="V559" s="333"/>
      <c r="W559" s="333"/>
      <c r="X559" s="333"/>
      <c r="Y559" s="333"/>
      <c r="Z559" s="333"/>
      <c r="AA559" s="333"/>
      <c r="AB559" s="28"/>
    </row>
    <row r="560" spans="1:30" ht="18" customHeight="1">
      <c r="A560" s="26"/>
      <c r="C560" s="337" t="s">
        <v>7</v>
      </c>
      <c r="D560" s="337"/>
      <c r="E560" s="337" t="s">
        <v>9</v>
      </c>
      <c r="F560" s="337"/>
      <c r="G560" s="337"/>
      <c r="H560" s="337"/>
      <c r="I560" s="337"/>
      <c r="J560" s="343" t="s">
        <v>18</v>
      </c>
      <c r="K560" s="344"/>
      <c r="L560" s="344"/>
      <c r="M560" s="344"/>
      <c r="N560" s="344"/>
      <c r="O560" s="344"/>
      <c r="P560" s="344"/>
      <c r="Q560" s="344"/>
      <c r="R560" s="344"/>
      <c r="S560" s="344"/>
      <c r="T560" s="344"/>
      <c r="U560" s="344"/>
      <c r="V560" s="344"/>
      <c r="W560" s="344"/>
      <c r="X560" s="344"/>
      <c r="Y560" s="344"/>
      <c r="Z560" s="344"/>
      <c r="AA560" s="345"/>
      <c r="AB560" s="28"/>
    </row>
    <row r="561" spans="1:28" ht="18" customHeight="1">
      <c r="A561" s="26"/>
      <c r="C561" s="334">
        <v>1</v>
      </c>
      <c r="D561" s="334"/>
      <c r="E561" s="39" t="s">
        <v>283</v>
      </c>
      <c r="F561" s="40"/>
      <c r="G561" s="40"/>
      <c r="H561" s="40"/>
      <c r="I561" s="41"/>
      <c r="J561" s="39"/>
      <c r="K561" s="40"/>
      <c r="L561" s="40"/>
      <c r="M561" s="40"/>
      <c r="N561" s="40"/>
      <c r="O561" s="40"/>
      <c r="P561" s="40"/>
      <c r="Q561" s="40"/>
      <c r="R561" s="40"/>
      <c r="S561" s="40"/>
      <c r="T561" s="40"/>
      <c r="U561" s="40"/>
      <c r="V561" s="40"/>
      <c r="W561" s="40"/>
      <c r="X561" s="40"/>
      <c r="Y561" s="40"/>
      <c r="Z561" s="40"/>
      <c r="AA561" s="41"/>
      <c r="AB561" s="28"/>
    </row>
    <row r="562" spans="1:28" ht="18" customHeight="1">
      <c r="A562" s="26"/>
      <c r="C562" s="334">
        <v>2</v>
      </c>
      <c r="D562" s="334"/>
      <c r="E562" s="39"/>
      <c r="F562" s="40" t="s">
        <v>166</v>
      </c>
      <c r="G562" s="40"/>
      <c r="H562" s="40"/>
      <c r="I562" s="41"/>
      <c r="J562" s="39" t="s">
        <v>689</v>
      </c>
      <c r="K562" s="40"/>
      <c r="L562" s="40"/>
      <c r="M562" s="40"/>
      <c r="N562" s="40"/>
      <c r="O562" s="40"/>
      <c r="P562" s="40"/>
      <c r="Q562" s="40"/>
      <c r="R562" s="40"/>
      <c r="S562" s="40"/>
      <c r="T562" s="40"/>
      <c r="U562" s="40"/>
      <c r="V562" s="40"/>
      <c r="W562" s="40"/>
      <c r="X562" s="40"/>
      <c r="Y562" s="40"/>
      <c r="Z562" s="40"/>
      <c r="AA562" s="41"/>
      <c r="AB562" s="28"/>
    </row>
    <row r="563" spans="1:28" ht="18" customHeight="1">
      <c r="A563" s="26"/>
      <c r="C563" s="334">
        <v>3</v>
      </c>
      <c r="D563" s="334"/>
      <c r="E563" s="39"/>
      <c r="F563" s="40" t="s">
        <v>155</v>
      </c>
      <c r="G563" s="40"/>
      <c r="H563" s="40"/>
      <c r="I563" s="41"/>
      <c r="J563" s="39" t="s">
        <v>690</v>
      </c>
      <c r="K563" s="40"/>
      <c r="L563" s="40"/>
      <c r="M563" s="40"/>
      <c r="N563" s="40"/>
      <c r="O563" s="40"/>
      <c r="P563" s="40"/>
      <c r="Q563" s="40"/>
      <c r="R563" s="40"/>
      <c r="S563" s="40"/>
      <c r="T563" s="40"/>
      <c r="U563" s="40"/>
      <c r="V563" s="40"/>
      <c r="W563" s="40"/>
      <c r="X563" s="40"/>
      <c r="Y563" s="40"/>
      <c r="Z563" s="40"/>
      <c r="AA563" s="41"/>
      <c r="AB563" s="28"/>
    </row>
    <row r="564" spans="1:28" ht="18" customHeight="1">
      <c r="A564" s="26"/>
      <c r="C564" s="334">
        <v>4</v>
      </c>
      <c r="D564" s="334"/>
      <c r="E564" s="50"/>
      <c r="F564" s="40" t="s">
        <v>284</v>
      </c>
      <c r="G564" s="40"/>
      <c r="H564" s="40"/>
      <c r="I564" s="41"/>
      <c r="J564" s="39" t="s">
        <v>691</v>
      </c>
      <c r="K564" s="40"/>
      <c r="L564" s="40"/>
      <c r="M564" s="40"/>
      <c r="N564" s="40"/>
      <c r="O564" s="40"/>
      <c r="P564" s="40"/>
      <c r="Q564" s="40"/>
      <c r="R564" s="40"/>
      <c r="S564" s="40"/>
      <c r="T564" s="40"/>
      <c r="U564" s="40"/>
      <c r="V564" s="40"/>
      <c r="W564" s="40"/>
      <c r="X564" s="40"/>
      <c r="Y564" s="40"/>
      <c r="Z564" s="40"/>
      <c r="AA564" s="41"/>
      <c r="AB564" s="28"/>
    </row>
    <row r="565" spans="1:28" ht="18" customHeight="1">
      <c r="A565" s="26"/>
      <c r="C565" s="334">
        <v>5</v>
      </c>
      <c r="D565" s="334"/>
      <c r="E565" s="50"/>
      <c r="F565" s="40" t="s">
        <v>190</v>
      </c>
      <c r="G565" s="40"/>
      <c r="H565" s="40"/>
      <c r="I565" s="41"/>
      <c r="J565" s="39" t="s">
        <v>692</v>
      </c>
      <c r="K565" s="40"/>
      <c r="L565" s="40"/>
      <c r="M565" s="40"/>
      <c r="N565" s="40"/>
      <c r="O565" s="40"/>
      <c r="P565" s="40"/>
      <c r="Q565" s="40"/>
      <c r="R565" s="40"/>
      <c r="S565" s="40"/>
      <c r="T565" s="40"/>
      <c r="U565" s="40"/>
      <c r="V565" s="40"/>
      <c r="W565" s="40"/>
      <c r="X565" s="40"/>
      <c r="Y565" s="40"/>
      <c r="Z565" s="40"/>
      <c r="AA565" s="41"/>
      <c r="AB565" s="28"/>
    </row>
    <row r="566" spans="1:28" ht="18" customHeight="1">
      <c r="A566" s="26"/>
      <c r="C566" s="334">
        <v>6</v>
      </c>
      <c r="D566" s="334"/>
      <c r="E566" s="47"/>
      <c r="F566" s="31" t="s">
        <v>288</v>
      </c>
      <c r="G566" s="40"/>
      <c r="H566" s="40"/>
      <c r="I566" s="41"/>
      <c r="J566" s="39" t="s">
        <v>693</v>
      </c>
      <c r="K566" s="40"/>
      <c r="L566" s="40"/>
      <c r="M566" s="40"/>
      <c r="N566" s="40"/>
      <c r="O566" s="40"/>
      <c r="P566" s="40"/>
      <c r="Q566" s="40"/>
      <c r="R566" s="40"/>
      <c r="S566" s="40"/>
      <c r="T566" s="40"/>
      <c r="U566" s="40"/>
      <c r="V566" s="40"/>
      <c r="W566" s="40"/>
      <c r="X566" s="40"/>
      <c r="Y566" s="40"/>
      <c r="Z566" s="40"/>
      <c r="AA566" s="41"/>
      <c r="AB566" s="28"/>
    </row>
    <row r="567" spans="1:28" ht="18" customHeight="1">
      <c r="A567" s="26"/>
      <c r="C567" s="334">
        <v>7</v>
      </c>
      <c r="D567" s="334"/>
      <c r="E567" s="47"/>
      <c r="F567" s="31" t="s">
        <v>286</v>
      </c>
      <c r="G567" s="40"/>
      <c r="H567" s="40"/>
      <c r="I567" s="41"/>
      <c r="J567" s="39" t="s">
        <v>694</v>
      </c>
      <c r="K567" s="40"/>
      <c r="L567" s="40"/>
      <c r="M567" s="40"/>
      <c r="N567" s="40"/>
      <c r="O567" s="40"/>
      <c r="P567" s="40"/>
      <c r="Q567" s="40"/>
      <c r="R567" s="40"/>
      <c r="S567" s="40"/>
      <c r="T567" s="40"/>
      <c r="U567" s="40"/>
      <c r="V567" s="40"/>
      <c r="W567" s="40"/>
      <c r="X567" s="40"/>
      <c r="Y567" s="40"/>
      <c r="Z567" s="40"/>
      <c r="AA567" s="41"/>
      <c r="AB567" s="28"/>
    </row>
    <row r="568" spans="1:28" ht="18" customHeight="1">
      <c r="A568" s="26"/>
      <c r="C568" s="347">
        <v>9</v>
      </c>
      <c r="D568" s="349"/>
      <c r="E568" s="39"/>
      <c r="F568" s="40" t="s">
        <v>448</v>
      </c>
      <c r="G568" s="40"/>
      <c r="H568" s="40"/>
      <c r="I568" s="41"/>
      <c r="J568" s="39"/>
      <c r="K568" s="40"/>
      <c r="L568" s="40"/>
      <c r="M568" s="40"/>
      <c r="N568" s="40"/>
      <c r="O568" s="40"/>
      <c r="P568" s="40"/>
      <c r="Q568" s="40"/>
      <c r="R568" s="40"/>
      <c r="S568" s="40"/>
      <c r="T568" s="40"/>
      <c r="U568" s="40"/>
      <c r="V568" s="40"/>
      <c r="W568" s="40"/>
      <c r="X568" s="40"/>
      <c r="Y568" s="40"/>
      <c r="Z568" s="40"/>
      <c r="AA568" s="41"/>
      <c r="AB568" s="28"/>
    </row>
    <row r="569" spans="1:28" ht="18" customHeight="1">
      <c r="A569" s="26"/>
      <c r="C569" s="347">
        <v>10</v>
      </c>
      <c r="D569" s="349"/>
      <c r="E569" s="39"/>
      <c r="F569" s="40"/>
      <c r="G569" s="40" t="s">
        <v>379</v>
      </c>
      <c r="H569" s="40"/>
      <c r="I569" s="41"/>
      <c r="J569" s="39" t="str">
        <f t="shared" ref="J569:J583" si="6">"9-3．精積算明細．"&amp;G569</f>
        <v>9-3．精積算明細．精積算明細ID</v>
      </c>
      <c r="K569" s="40"/>
      <c r="L569" s="40"/>
      <c r="M569" s="40"/>
      <c r="N569" s="40"/>
      <c r="O569" s="40"/>
      <c r="P569" s="40"/>
      <c r="Q569" s="40"/>
      <c r="R569" s="40"/>
      <c r="S569" s="40"/>
      <c r="T569" s="40"/>
      <c r="U569" s="40"/>
      <c r="V569" s="40"/>
      <c r="W569" s="40"/>
      <c r="X569" s="40"/>
      <c r="Y569" s="40"/>
      <c r="Z569" s="40"/>
      <c r="AA569" s="41"/>
      <c r="AB569" s="28"/>
    </row>
    <row r="570" spans="1:28" ht="18" customHeight="1">
      <c r="A570" s="26"/>
      <c r="C570" s="347">
        <v>11</v>
      </c>
      <c r="D570" s="349"/>
      <c r="E570" s="50"/>
      <c r="F570" s="40"/>
      <c r="G570" s="40" t="s">
        <v>267</v>
      </c>
      <c r="H570" s="40"/>
      <c r="I570" s="41"/>
      <c r="J570" s="39" t="str">
        <f t="shared" si="6"/>
        <v>9-3．精積算明細．精積算ヘッダID</v>
      </c>
      <c r="K570" s="40"/>
      <c r="L570" s="40"/>
      <c r="M570" s="40"/>
      <c r="N570" s="40"/>
      <c r="O570" s="40"/>
      <c r="P570" s="40"/>
      <c r="Q570" s="40"/>
      <c r="R570" s="40"/>
      <c r="S570" s="40"/>
      <c r="T570" s="40"/>
      <c r="U570" s="40"/>
      <c r="V570" s="40"/>
      <c r="W570" s="40"/>
      <c r="X570" s="40"/>
      <c r="Y570" s="40"/>
      <c r="Z570" s="40"/>
      <c r="AA570" s="41"/>
      <c r="AB570" s="28"/>
    </row>
    <row r="571" spans="1:28" ht="18" customHeight="1">
      <c r="A571" s="26"/>
      <c r="C571" s="347">
        <v>12</v>
      </c>
      <c r="D571" s="349"/>
      <c r="E571" s="50"/>
      <c r="F571" s="40"/>
      <c r="G571" s="40" t="s">
        <v>376</v>
      </c>
      <c r="H571" s="40"/>
      <c r="I571" s="41"/>
      <c r="J571" s="39" t="str">
        <f t="shared" si="6"/>
        <v>9-3．精積算明細．大工事コード</v>
      </c>
      <c r="K571" s="40"/>
      <c r="L571" s="40"/>
      <c r="M571" s="40"/>
      <c r="N571" s="40"/>
      <c r="O571" s="40"/>
      <c r="P571" s="40"/>
      <c r="Q571" s="40"/>
      <c r="R571" s="40"/>
      <c r="S571" s="40"/>
      <c r="T571" s="40"/>
      <c r="U571" s="40"/>
      <c r="V571" s="40"/>
      <c r="W571" s="40"/>
      <c r="X571" s="40"/>
      <c r="Y571" s="40"/>
      <c r="Z571" s="40"/>
      <c r="AA571" s="41"/>
      <c r="AB571" s="28"/>
    </row>
    <row r="572" spans="1:28" ht="18" customHeight="1">
      <c r="A572" s="26"/>
      <c r="C572" s="347">
        <v>13</v>
      </c>
      <c r="D572" s="349"/>
      <c r="E572" s="47"/>
      <c r="F572" s="40"/>
      <c r="G572" s="31" t="s">
        <v>377</v>
      </c>
      <c r="H572" s="40"/>
      <c r="I572" s="41"/>
      <c r="J572" s="39" t="str">
        <f t="shared" si="6"/>
        <v>9-3．精積算明細．小工事コード</v>
      </c>
      <c r="K572" s="40"/>
      <c r="L572" s="40"/>
      <c r="M572" s="40"/>
      <c r="N572" s="40"/>
      <c r="O572" s="40"/>
      <c r="P572" s="40"/>
      <c r="Q572" s="40"/>
      <c r="R572" s="40"/>
      <c r="S572" s="40"/>
      <c r="T572" s="40"/>
      <c r="U572" s="40"/>
      <c r="V572" s="40"/>
      <c r="W572" s="40"/>
      <c r="X572" s="40"/>
      <c r="Y572" s="40"/>
      <c r="Z572" s="40"/>
      <c r="AA572" s="41"/>
      <c r="AB572" s="28"/>
    </row>
    <row r="573" spans="1:28" ht="18" customHeight="1">
      <c r="A573" s="26"/>
      <c r="C573" s="347">
        <v>14</v>
      </c>
      <c r="D573" s="349"/>
      <c r="E573" s="47"/>
      <c r="F573" s="40"/>
      <c r="G573" s="31" t="s">
        <v>378</v>
      </c>
      <c r="H573" s="40"/>
      <c r="I573" s="41"/>
      <c r="J573" s="39" t="str">
        <f t="shared" si="6"/>
        <v>9-3．精積算明細．工事連番</v>
      </c>
      <c r="K573" s="40"/>
      <c r="L573" s="40"/>
      <c r="M573" s="40"/>
      <c r="N573" s="40"/>
      <c r="O573" s="40"/>
      <c r="P573" s="40"/>
      <c r="Q573" s="40"/>
      <c r="R573" s="40"/>
      <c r="S573" s="40"/>
      <c r="T573" s="40"/>
      <c r="U573" s="40"/>
      <c r="V573" s="40"/>
      <c r="W573" s="40"/>
      <c r="X573" s="40"/>
      <c r="Y573" s="40"/>
      <c r="Z573" s="40"/>
      <c r="AA573" s="41"/>
      <c r="AB573" s="28"/>
    </row>
    <row r="574" spans="1:28" ht="18" customHeight="1">
      <c r="A574" s="26"/>
      <c r="C574" s="347">
        <v>15</v>
      </c>
      <c r="D574" s="349"/>
      <c r="E574" s="39"/>
      <c r="F574" s="40"/>
      <c r="G574" s="40" t="s">
        <v>433</v>
      </c>
      <c r="H574" s="40"/>
      <c r="I574" s="41"/>
      <c r="J574" s="39" t="str">
        <f t="shared" si="6"/>
        <v>9-3．精積算明細．規格</v>
      </c>
      <c r="K574" s="40"/>
      <c r="L574" s="40"/>
      <c r="M574" s="40"/>
      <c r="N574" s="40"/>
      <c r="O574" s="40"/>
      <c r="P574" s="40"/>
      <c r="Q574" s="40"/>
      <c r="R574" s="40"/>
      <c r="S574" s="40"/>
      <c r="T574" s="40"/>
      <c r="U574" s="40"/>
      <c r="V574" s="40"/>
      <c r="W574" s="40"/>
      <c r="X574" s="40"/>
      <c r="Y574" s="40"/>
      <c r="Z574" s="40"/>
      <c r="AA574" s="41"/>
      <c r="AB574" s="28"/>
    </row>
    <row r="575" spans="1:28" ht="18" customHeight="1">
      <c r="A575" s="26"/>
      <c r="C575" s="347">
        <v>16</v>
      </c>
      <c r="D575" s="349"/>
      <c r="E575" s="50"/>
      <c r="F575" s="40"/>
      <c r="G575" s="40" t="s">
        <v>374</v>
      </c>
      <c r="H575" s="40"/>
      <c r="I575" s="41"/>
      <c r="J575" s="39" t="str">
        <f t="shared" si="6"/>
        <v>9-3．精積算明細．連番</v>
      </c>
      <c r="K575" s="40"/>
      <c r="L575" s="40"/>
      <c r="M575" s="40"/>
      <c r="N575" s="40"/>
      <c r="O575" s="40"/>
      <c r="P575" s="40"/>
      <c r="Q575" s="40"/>
      <c r="R575" s="40"/>
      <c r="S575" s="40"/>
      <c r="T575" s="40"/>
      <c r="U575" s="40"/>
      <c r="V575" s="40"/>
      <c r="W575" s="40"/>
      <c r="X575" s="40"/>
      <c r="Y575" s="40"/>
      <c r="Z575" s="40"/>
      <c r="AA575" s="41"/>
      <c r="AB575" s="28"/>
    </row>
    <row r="576" spans="1:28" ht="18" customHeight="1">
      <c r="A576" s="26"/>
      <c r="C576" s="347">
        <v>17</v>
      </c>
      <c r="D576" s="349"/>
      <c r="E576" s="50"/>
      <c r="F576" s="40"/>
      <c r="G576" s="40" t="s">
        <v>434</v>
      </c>
      <c r="H576" s="40"/>
      <c r="I576" s="41"/>
      <c r="J576" s="39" t="str">
        <f t="shared" si="6"/>
        <v>9-3．精積算明細．数量</v>
      </c>
      <c r="K576" s="40"/>
      <c r="L576" s="40"/>
      <c r="M576" s="40"/>
      <c r="N576" s="40"/>
      <c r="O576" s="40"/>
      <c r="P576" s="40"/>
      <c r="Q576" s="40"/>
      <c r="R576" s="40"/>
      <c r="S576" s="40"/>
      <c r="T576" s="40"/>
      <c r="U576" s="40"/>
      <c r="V576" s="40"/>
      <c r="W576" s="40"/>
      <c r="X576" s="40"/>
      <c r="Y576" s="40"/>
      <c r="Z576" s="40"/>
      <c r="AA576" s="41"/>
      <c r="AB576" s="28"/>
    </row>
    <row r="577" spans="1:28" ht="18" customHeight="1">
      <c r="A577" s="26"/>
      <c r="C577" s="347">
        <v>18</v>
      </c>
      <c r="D577" s="349"/>
      <c r="E577" s="47"/>
      <c r="F577" s="40"/>
      <c r="G577" s="31" t="s">
        <v>435</v>
      </c>
      <c r="H577" s="40"/>
      <c r="I577" s="41"/>
      <c r="J577" s="39" t="str">
        <f t="shared" si="6"/>
        <v>9-3．精積算明細．単価</v>
      </c>
      <c r="K577" s="40"/>
      <c r="L577" s="40"/>
      <c r="M577" s="40"/>
      <c r="N577" s="40"/>
      <c r="O577" s="40"/>
      <c r="P577" s="40"/>
      <c r="Q577" s="40"/>
      <c r="R577" s="40"/>
      <c r="S577" s="40"/>
      <c r="T577" s="40"/>
      <c r="U577" s="40"/>
      <c r="V577" s="40"/>
      <c r="W577" s="40"/>
      <c r="X577" s="40"/>
      <c r="Y577" s="40"/>
      <c r="Z577" s="40"/>
      <c r="AA577" s="41"/>
      <c r="AB577" s="28"/>
    </row>
    <row r="578" spans="1:28" ht="18" customHeight="1">
      <c r="A578" s="26"/>
      <c r="C578" s="347">
        <v>19</v>
      </c>
      <c r="D578" s="349"/>
      <c r="E578" s="47"/>
      <c r="F578" s="40"/>
      <c r="G578" s="31" t="s">
        <v>436</v>
      </c>
      <c r="H578" s="40"/>
      <c r="I578" s="41"/>
      <c r="J578" s="39" t="str">
        <f t="shared" si="6"/>
        <v>9-3．精積算明細．単位区分</v>
      </c>
      <c r="K578" s="40"/>
      <c r="L578" s="40"/>
      <c r="M578" s="40"/>
      <c r="N578" s="40"/>
      <c r="O578" s="40"/>
      <c r="P578" s="40"/>
      <c r="Q578" s="40"/>
      <c r="R578" s="40"/>
      <c r="S578" s="40"/>
      <c r="T578" s="40"/>
      <c r="U578" s="40"/>
      <c r="V578" s="40"/>
      <c r="W578" s="40"/>
      <c r="X578" s="40"/>
      <c r="Y578" s="40"/>
      <c r="Z578" s="40"/>
      <c r="AA578" s="41"/>
      <c r="AB578" s="28"/>
    </row>
    <row r="579" spans="1:28" ht="18" customHeight="1">
      <c r="A579" s="26"/>
      <c r="C579" s="347">
        <v>20</v>
      </c>
      <c r="D579" s="349"/>
      <c r="E579" s="50"/>
      <c r="F579" s="40"/>
      <c r="G579" s="40" t="s">
        <v>437</v>
      </c>
      <c r="H579" s="40"/>
      <c r="I579" s="41"/>
      <c r="J579" s="39" t="str">
        <f t="shared" si="6"/>
        <v>9-3．精積算明細．精積算金額</v>
      </c>
      <c r="K579" s="40"/>
      <c r="L579" s="40"/>
      <c r="M579" s="40"/>
      <c r="N579" s="40"/>
      <c r="O579" s="40"/>
      <c r="P579" s="40"/>
      <c r="Q579" s="40"/>
      <c r="R579" s="40"/>
      <c r="S579" s="40"/>
      <c r="T579" s="40"/>
      <c r="U579" s="40"/>
      <c r="V579" s="40"/>
      <c r="W579" s="40"/>
      <c r="X579" s="40"/>
      <c r="Y579" s="40"/>
      <c r="Z579" s="40"/>
      <c r="AA579" s="41"/>
      <c r="AB579" s="28"/>
    </row>
    <row r="580" spans="1:28" ht="18" customHeight="1">
      <c r="A580" s="26"/>
      <c r="C580" s="347">
        <v>21</v>
      </c>
      <c r="D580" s="349"/>
      <c r="E580" s="47"/>
      <c r="F580" s="40"/>
      <c r="G580" s="31" t="s">
        <v>13</v>
      </c>
      <c r="H580" s="40"/>
      <c r="I580" s="41"/>
      <c r="J580" s="39" t="str">
        <f t="shared" si="6"/>
        <v>9-3．精積算明細．備考</v>
      </c>
      <c r="K580" s="40"/>
      <c r="L580" s="40"/>
      <c r="M580" s="40"/>
      <c r="N580" s="40"/>
      <c r="O580" s="40"/>
      <c r="P580" s="40"/>
      <c r="Q580" s="40"/>
      <c r="R580" s="40"/>
      <c r="S580" s="40"/>
      <c r="T580" s="40"/>
      <c r="U580" s="40"/>
      <c r="V580" s="40"/>
      <c r="W580" s="40"/>
      <c r="X580" s="40"/>
      <c r="Y580" s="40"/>
      <c r="Z580" s="40"/>
      <c r="AA580" s="41"/>
      <c r="AB580" s="28"/>
    </row>
    <row r="581" spans="1:28" ht="18" customHeight="1">
      <c r="A581" s="26"/>
      <c r="C581" s="347">
        <v>22</v>
      </c>
      <c r="D581" s="349"/>
      <c r="E581" s="47"/>
      <c r="F581" s="40"/>
      <c r="G581" s="31" t="s">
        <v>438</v>
      </c>
      <c r="H581" s="40"/>
      <c r="I581" s="41"/>
      <c r="J581" s="39" t="str">
        <f t="shared" si="6"/>
        <v>9-3．精積算明細．業者見積No</v>
      </c>
      <c r="K581" s="40"/>
      <c r="L581" s="40"/>
      <c r="M581" s="40"/>
      <c r="N581" s="40"/>
      <c r="O581" s="40"/>
      <c r="P581" s="40"/>
      <c r="Q581" s="40"/>
      <c r="R581" s="40"/>
      <c r="S581" s="40"/>
      <c r="T581" s="40"/>
      <c r="U581" s="40"/>
      <c r="V581" s="40"/>
      <c r="W581" s="40"/>
      <c r="X581" s="40"/>
      <c r="Y581" s="40"/>
      <c r="Z581" s="40"/>
      <c r="AA581" s="41"/>
      <c r="AB581" s="28"/>
    </row>
    <row r="582" spans="1:28" ht="18" customHeight="1">
      <c r="A582" s="26"/>
      <c r="C582" s="347">
        <v>23</v>
      </c>
      <c r="D582" s="349"/>
      <c r="E582" s="47"/>
      <c r="F582" s="40"/>
      <c r="G582" s="31" t="s">
        <v>439</v>
      </c>
      <c r="H582" s="40"/>
      <c r="I582" s="41"/>
      <c r="J582" s="39" t="str">
        <f t="shared" si="6"/>
        <v>9-3．精積算明細．協力業者コード</v>
      </c>
      <c r="K582" s="40"/>
      <c r="L582" s="40"/>
      <c r="M582" s="40"/>
      <c r="N582" s="40"/>
      <c r="O582" s="40"/>
      <c r="P582" s="40"/>
      <c r="Q582" s="40"/>
      <c r="R582" s="40"/>
      <c r="S582" s="40"/>
      <c r="T582" s="40"/>
      <c r="U582" s="40"/>
      <c r="V582" s="40"/>
      <c r="W582" s="40"/>
      <c r="X582" s="40"/>
      <c r="Y582" s="40"/>
      <c r="Z582" s="40"/>
      <c r="AA582" s="41"/>
      <c r="AB582" s="28"/>
    </row>
    <row r="583" spans="1:28" ht="18" customHeight="1">
      <c r="A583" s="26"/>
      <c r="C583" s="347">
        <v>24</v>
      </c>
      <c r="D583" s="349"/>
      <c r="E583" s="47"/>
      <c r="F583" s="40"/>
      <c r="G583" s="31" t="s">
        <v>440</v>
      </c>
      <c r="H583" s="40"/>
      <c r="I583" s="41"/>
      <c r="J583" s="39" t="str">
        <f t="shared" si="6"/>
        <v>9-3．精積算明細．協力業者見積詳細ID</v>
      </c>
      <c r="K583" s="40"/>
      <c r="L583" s="40"/>
      <c r="M583" s="40"/>
      <c r="N583" s="40"/>
      <c r="O583" s="40"/>
      <c r="P583" s="40"/>
      <c r="Q583" s="40"/>
      <c r="R583" s="40"/>
      <c r="S583" s="40"/>
      <c r="T583" s="40"/>
      <c r="U583" s="40"/>
      <c r="V583" s="40"/>
      <c r="W583" s="40"/>
      <c r="X583" s="40"/>
      <c r="Y583" s="40"/>
      <c r="Z583" s="40"/>
      <c r="AA583" s="41"/>
      <c r="AB583" s="28"/>
    </row>
    <row r="584" spans="1:28" ht="18" customHeight="1">
      <c r="A584" s="26"/>
      <c r="C584" s="347">
        <v>25</v>
      </c>
      <c r="D584" s="349"/>
      <c r="E584" s="47"/>
      <c r="F584" s="31" t="s">
        <v>295</v>
      </c>
      <c r="G584" s="40"/>
      <c r="H584" s="40"/>
      <c r="I584" s="41"/>
      <c r="J584" s="39" t="s">
        <v>709</v>
      </c>
      <c r="K584" s="61"/>
      <c r="L584" s="61"/>
      <c r="M584" s="61"/>
      <c r="N584" s="61"/>
      <c r="O584" s="61"/>
      <c r="P584" s="61"/>
      <c r="Q584" s="61"/>
      <c r="R584" s="40"/>
      <c r="S584" s="40"/>
      <c r="T584" s="40"/>
      <c r="U584" s="40"/>
      <c r="V584" s="40"/>
      <c r="W584" s="40"/>
      <c r="X584" s="40"/>
      <c r="Y584" s="40"/>
      <c r="Z584" s="40"/>
      <c r="AA584" s="41"/>
      <c r="AB584" s="28"/>
    </row>
    <row r="585" spans="1:28" ht="18" customHeight="1">
      <c r="A585" s="26"/>
      <c r="C585" s="347">
        <v>26</v>
      </c>
      <c r="D585" s="349"/>
      <c r="E585" s="47"/>
      <c r="F585" s="31" t="s">
        <v>451</v>
      </c>
      <c r="G585" s="40"/>
      <c r="H585" s="40"/>
      <c r="I585" s="41"/>
      <c r="J585" s="39" t="s">
        <v>710</v>
      </c>
      <c r="K585" s="61"/>
      <c r="L585" s="61"/>
      <c r="M585" s="61"/>
      <c r="N585" s="61"/>
      <c r="O585" s="61"/>
      <c r="P585" s="61"/>
      <c r="Q585" s="61"/>
      <c r="R585" s="40"/>
      <c r="S585" s="40"/>
      <c r="T585" s="40"/>
      <c r="U585" s="40"/>
      <c r="V585" s="40"/>
      <c r="W585" s="40"/>
      <c r="X585" s="40"/>
      <c r="Y585" s="40"/>
      <c r="Z585" s="40"/>
      <c r="AA585" s="41"/>
      <c r="AB585" s="28"/>
    </row>
    <row r="586" spans="1:28" ht="18" customHeight="1">
      <c r="A586" s="26"/>
      <c r="C586" s="347">
        <v>27</v>
      </c>
      <c r="D586" s="349"/>
      <c r="E586" s="47"/>
      <c r="F586" s="416" t="s">
        <v>457</v>
      </c>
      <c r="G586" s="416"/>
      <c r="H586" s="416"/>
      <c r="I586" s="417"/>
      <c r="J586" s="39" t="s">
        <v>715</v>
      </c>
      <c r="K586" s="61"/>
      <c r="L586" s="61"/>
      <c r="M586" s="61"/>
      <c r="N586" s="61"/>
      <c r="O586" s="61"/>
      <c r="P586" s="61"/>
      <c r="Q586" s="61"/>
      <c r="R586" s="40"/>
      <c r="S586" s="40"/>
      <c r="T586" s="40"/>
      <c r="U586" s="40"/>
      <c r="V586" s="40"/>
      <c r="W586" s="40"/>
      <c r="X586" s="40"/>
      <c r="Y586" s="40"/>
      <c r="Z586" s="40"/>
      <c r="AA586" s="41"/>
      <c r="AB586" s="28"/>
    </row>
    <row r="587" spans="1:28" ht="18" customHeight="1">
      <c r="A587" s="26"/>
      <c r="C587" s="38"/>
      <c r="D587" s="38"/>
      <c r="E587" s="46"/>
      <c r="F587" s="63"/>
      <c r="G587" s="36"/>
      <c r="H587" s="36"/>
      <c r="I587" s="36"/>
      <c r="J587" s="36"/>
      <c r="K587" s="36"/>
      <c r="L587" s="36"/>
      <c r="M587" s="36"/>
      <c r="N587" s="36"/>
      <c r="O587" s="36"/>
      <c r="P587" s="36"/>
      <c r="Q587" s="36"/>
      <c r="AB587" s="28"/>
    </row>
    <row r="588" spans="1:28" ht="18" customHeight="1">
      <c r="A588" s="26"/>
      <c r="C588" s="46" t="s">
        <v>716</v>
      </c>
      <c r="D588" s="38"/>
      <c r="AB588" s="28"/>
    </row>
    <row r="589" spans="1:28" ht="18" customHeight="1">
      <c r="A589" s="26"/>
      <c r="C589" s="319" t="s">
        <v>458</v>
      </c>
      <c r="D589" s="319"/>
      <c r="E589" s="319"/>
      <c r="F589" s="319"/>
      <c r="G589" s="332" t="s">
        <v>459</v>
      </c>
      <c r="H589" s="333"/>
      <c r="I589" s="333"/>
      <c r="J589" s="333"/>
      <c r="K589" s="333"/>
      <c r="L589" s="333"/>
      <c r="M589" s="333"/>
      <c r="N589" s="333"/>
      <c r="O589" s="333"/>
      <c r="P589" s="333"/>
      <c r="Q589" s="333"/>
      <c r="R589" s="333"/>
      <c r="S589" s="333"/>
      <c r="T589" s="333"/>
      <c r="U589" s="333"/>
      <c r="V589" s="333"/>
      <c r="W589" s="333"/>
      <c r="X589" s="333"/>
      <c r="Y589" s="333"/>
      <c r="Z589" s="333"/>
      <c r="AA589" s="333"/>
      <c r="AB589" s="28"/>
    </row>
    <row r="590" spans="1:28" ht="36" customHeight="1">
      <c r="A590" s="26"/>
      <c r="C590" s="319" t="s">
        <v>129</v>
      </c>
      <c r="D590" s="319"/>
      <c r="E590" s="319"/>
      <c r="F590" s="319"/>
      <c r="G590" s="332" t="s">
        <v>849</v>
      </c>
      <c r="H590" s="333"/>
      <c r="I590" s="333"/>
      <c r="J590" s="333"/>
      <c r="K590" s="333"/>
      <c r="L590" s="333"/>
      <c r="M590" s="333"/>
      <c r="N590" s="333"/>
      <c r="O590" s="333"/>
      <c r="P590" s="333"/>
      <c r="Q590" s="333"/>
      <c r="R590" s="333"/>
      <c r="S590" s="333"/>
      <c r="T590" s="333"/>
      <c r="U590" s="333"/>
      <c r="V590" s="333"/>
      <c r="W590" s="333"/>
      <c r="X590" s="333"/>
      <c r="Y590" s="333"/>
      <c r="Z590" s="333"/>
      <c r="AA590" s="333"/>
      <c r="AB590" s="28"/>
    </row>
    <row r="591" spans="1:28" ht="18" customHeight="1">
      <c r="A591" s="26"/>
      <c r="C591" s="319" t="s">
        <v>132</v>
      </c>
      <c r="D591" s="319"/>
      <c r="E591" s="319"/>
      <c r="F591" s="319"/>
      <c r="G591" s="332" t="s">
        <v>460</v>
      </c>
      <c r="H591" s="333"/>
      <c r="I591" s="333"/>
      <c r="J591" s="333"/>
      <c r="K591" s="333"/>
      <c r="L591" s="333"/>
      <c r="M591" s="333"/>
      <c r="N591" s="333"/>
      <c r="O591" s="333"/>
      <c r="P591" s="333"/>
      <c r="Q591" s="333"/>
      <c r="R591" s="333"/>
      <c r="S591" s="333"/>
      <c r="T591" s="333"/>
      <c r="U591" s="333"/>
      <c r="V591" s="333"/>
      <c r="W591" s="333"/>
      <c r="X591" s="333"/>
      <c r="Y591" s="333"/>
      <c r="Z591" s="333"/>
      <c r="AA591" s="333"/>
      <c r="AB591" s="28"/>
    </row>
    <row r="592" spans="1:28" ht="18" customHeight="1">
      <c r="A592" s="26"/>
      <c r="C592" s="319" t="s">
        <v>129</v>
      </c>
      <c r="D592" s="319"/>
      <c r="E592" s="319"/>
      <c r="F592" s="319"/>
      <c r="G592" s="332" t="s">
        <v>850</v>
      </c>
      <c r="H592" s="333"/>
      <c r="I592" s="333"/>
      <c r="J592" s="333"/>
      <c r="K592" s="333"/>
      <c r="L592" s="333"/>
      <c r="M592" s="333"/>
      <c r="N592" s="333"/>
      <c r="O592" s="333"/>
      <c r="P592" s="333"/>
      <c r="Q592" s="333"/>
      <c r="R592" s="333"/>
      <c r="S592" s="333"/>
      <c r="T592" s="333"/>
      <c r="U592" s="333"/>
      <c r="V592" s="333"/>
      <c r="W592" s="333"/>
      <c r="X592" s="333"/>
      <c r="Y592" s="333"/>
      <c r="Z592" s="333"/>
      <c r="AA592" s="333"/>
      <c r="AB592" s="28"/>
    </row>
    <row r="593" spans="1:30" ht="18" customHeight="1">
      <c r="A593" s="26"/>
      <c r="C593" s="319" t="s">
        <v>132</v>
      </c>
      <c r="D593" s="319"/>
      <c r="E593" s="319"/>
      <c r="F593" s="319"/>
      <c r="G593" s="332" t="s">
        <v>461</v>
      </c>
      <c r="H593" s="333"/>
      <c r="I593" s="333"/>
      <c r="J593" s="333"/>
      <c r="K593" s="333"/>
      <c r="L593" s="333"/>
      <c r="M593" s="333"/>
      <c r="N593" s="333"/>
      <c r="O593" s="333"/>
      <c r="P593" s="333"/>
      <c r="Q593" s="333"/>
      <c r="R593" s="333"/>
      <c r="S593" s="333"/>
      <c r="T593" s="333"/>
      <c r="U593" s="333"/>
      <c r="V593" s="333"/>
      <c r="W593" s="333"/>
      <c r="X593" s="333"/>
      <c r="Y593" s="333"/>
      <c r="Z593" s="333"/>
      <c r="AA593" s="333"/>
      <c r="AB593" s="28"/>
    </row>
    <row r="594" spans="1:30" ht="18" customHeight="1">
      <c r="A594" s="26"/>
      <c r="C594" s="319" t="s">
        <v>129</v>
      </c>
      <c r="D594" s="319"/>
      <c r="E594" s="319"/>
      <c r="F594" s="319"/>
      <c r="G594" s="332" t="s">
        <v>851</v>
      </c>
      <c r="H594" s="333"/>
      <c r="I594" s="333"/>
      <c r="J594" s="333"/>
      <c r="K594" s="333"/>
      <c r="L594" s="333"/>
      <c r="M594" s="333"/>
      <c r="N594" s="333"/>
      <c r="O594" s="333"/>
      <c r="P594" s="333"/>
      <c r="Q594" s="333"/>
      <c r="R594" s="333"/>
      <c r="S594" s="333"/>
      <c r="T594" s="333"/>
      <c r="U594" s="333"/>
      <c r="V594" s="333"/>
      <c r="W594" s="333"/>
      <c r="X594" s="333"/>
      <c r="Y594" s="333"/>
      <c r="Z594" s="333"/>
      <c r="AA594" s="333"/>
      <c r="AB594" s="28"/>
    </row>
    <row r="595" spans="1:30" ht="18" customHeight="1">
      <c r="A595" s="26"/>
      <c r="C595" s="319" t="s">
        <v>462</v>
      </c>
      <c r="D595" s="319"/>
      <c r="E595" s="319"/>
      <c r="F595" s="319"/>
      <c r="G595" s="332" t="s">
        <v>717</v>
      </c>
      <c r="H595" s="333"/>
      <c r="I595" s="333"/>
      <c r="J595" s="333"/>
      <c r="K595" s="333"/>
      <c r="L595" s="333"/>
      <c r="M595" s="333"/>
      <c r="N595" s="333"/>
      <c r="O595" s="333"/>
      <c r="P595" s="333"/>
      <c r="Q595" s="333"/>
      <c r="R595" s="333"/>
      <c r="S595" s="333"/>
      <c r="T595" s="333"/>
      <c r="U595" s="333"/>
      <c r="V595" s="333"/>
      <c r="W595" s="333"/>
      <c r="X595" s="333"/>
      <c r="Y595" s="333"/>
      <c r="Z595" s="333"/>
      <c r="AA595" s="333"/>
      <c r="AB595" s="28"/>
    </row>
    <row r="596" spans="1:30" ht="18" customHeight="1">
      <c r="A596" s="26"/>
      <c r="C596" s="319" t="s">
        <v>463</v>
      </c>
      <c r="D596" s="319"/>
      <c r="E596" s="319"/>
      <c r="F596" s="319"/>
      <c r="G596" s="332" t="s">
        <v>717</v>
      </c>
      <c r="H596" s="333"/>
      <c r="I596" s="333"/>
      <c r="J596" s="333"/>
      <c r="K596" s="333"/>
      <c r="L596" s="333"/>
      <c r="M596" s="333"/>
      <c r="N596" s="333"/>
      <c r="O596" s="333"/>
      <c r="P596" s="333"/>
      <c r="Q596" s="333"/>
      <c r="R596" s="333"/>
      <c r="S596" s="333"/>
      <c r="T596" s="333"/>
      <c r="U596" s="333"/>
      <c r="V596" s="333"/>
      <c r="W596" s="333"/>
      <c r="X596" s="333"/>
      <c r="Y596" s="333"/>
      <c r="Z596" s="333"/>
      <c r="AA596" s="333"/>
      <c r="AB596" s="28"/>
    </row>
    <row r="597" spans="1:30" ht="18" customHeight="1">
      <c r="A597" s="26"/>
      <c r="C597" s="337" t="s">
        <v>7</v>
      </c>
      <c r="D597" s="337"/>
      <c r="E597" s="337" t="s">
        <v>9</v>
      </c>
      <c r="F597" s="337"/>
      <c r="G597" s="337"/>
      <c r="H597" s="337"/>
      <c r="I597" s="337"/>
      <c r="J597" s="343" t="s">
        <v>18</v>
      </c>
      <c r="K597" s="344"/>
      <c r="L597" s="344"/>
      <c r="M597" s="344"/>
      <c r="N597" s="344"/>
      <c r="O597" s="344"/>
      <c r="P597" s="344"/>
      <c r="Q597" s="344"/>
      <c r="R597" s="344"/>
      <c r="S597" s="344"/>
      <c r="T597" s="344"/>
      <c r="U597" s="344"/>
      <c r="V597" s="344"/>
      <c r="W597" s="344"/>
      <c r="X597" s="344"/>
      <c r="Y597" s="344"/>
      <c r="Z597" s="344"/>
      <c r="AA597" s="345"/>
      <c r="AB597" s="28"/>
    </row>
    <row r="598" spans="1:30" ht="18" customHeight="1">
      <c r="A598" s="26"/>
      <c r="C598" s="334">
        <v>1</v>
      </c>
      <c r="D598" s="334"/>
      <c r="E598" s="39" t="s">
        <v>464</v>
      </c>
      <c r="F598" s="40"/>
      <c r="G598" s="40"/>
      <c r="H598" s="40"/>
      <c r="I598" s="41"/>
      <c r="J598" s="39"/>
      <c r="K598" s="40"/>
      <c r="L598" s="40"/>
      <c r="M598" s="40"/>
      <c r="N598" s="40"/>
      <c r="O598" s="40"/>
      <c r="P598" s="40"/>
      <c r="Q598" s="40"/>
      <c r="R598" s="40"/>
      <c r="S598" s="40"/>
      <c r="T598" s="40"/>
      <c r="U598" s="40"/>
      <c r="V598" s="40"/>
      <c r="W598" s="40"/>
      <c r="X598" s="40"/>
      <c r="Y598" s="40"/>
      <c r="Z598" s="40"/>
      <c r="AA598" s="41"/>
      <c r="AB598" s="28"/>
    </row>
    <row r="599" spans="1:30" ht="18" customHeight="1">
      <c r="A599" s="26"/>
      <c r="C599" s="334">
        <v>2</v>
      </c>
      <c r="D599" s="334"/>
      <c r="E599" s="39"/>
      <c r="F599" s="416" t="s">
        <v>457</v>
      </c>
      <c r="G599" s="416"/>
      <c r="H599" s="416"/>
      <c r="I599" s="417"/>
      <c r="J599" s="39" t="s">
        <v>718</v>
      </c>
      <c r="K599" s="40"/>
      <c r="L599" s="40"/>
      <c r="M599" s="40"/>
      <c r="N599" s="40"/>
      <c r="O599" s="40"/>
      <c r="P599" s="40"/>
      <c r="Q599" s="40"/>
      <c r="R599" s="40"/>
      <c r="S599" s="40"/>
      <c r="T599" s="40"/>
      <c r="U599" s="40"/>
      <c r="V599" s="40"/>
      <c r="W599" s="40"/>
      <c r="X599" s="40"/>
      <c r="Y599" s="40"/>
      <c r="Z599" s="40"/>
      <c r="AA599" s="41"/>
      <c r="AB599" s="28"/>
    </row>
    <row r="600" spans="1:30" ht="18" customHeight="1">
      <c r="A600" s="26"/>
      <c r="C600" s="334">
        <v>3</v>
      </c>
      <c r="D600" s="334"/>
      <c r="E600" s="39"/>
      <c r="F600" s="40" t="s">
        <v>74</v>
      </c>
      <c r="G600" s="40"/>
      <c r="H600" s="40"/>
      <c r="I600" s="41"/>
      <c r="J600" s="39" t="s">
        <v>719</v>
      </c>
      <c r="K600" s="40"/>
      <c r="L600" s="40"/>
      <c r="M600" s="40"/>
      <c r="N600" s="40"/>
      <c r="O600" s="40"/>
      <c r="P600" s="40"/>
      <c r="Q600" s="40"/>
      <c r="R600" s="40"/>
      <c r="S600" s="40"/>
      <c r="T600" s="40"/>
      <c r="U600" s="40"/>
      <c r="V600" s="40"/>
      <c r="W600" s="40"/>
      <c r="X600" s="40"/>
      <c r="Y600" s="40"/>
      <c r="Z600" s="40"/>
      <c r="AA600" s="41"/>
      <c r="AB600" s="28"/>
    </row>
    <row r="601" spans="1:30" ht="18" customHeight="1">
      <c r="A601" s="26"/>
      <c r="C601" s="46"/>
      <c r="D601" s="38"/>
      <c r="AB601" s="28"/>
    </row>
    <row r="602" spans="1:30" ht="18" customHeight="1">
      <c r="A602" s="26"/>
      <c r="C602" s="46" t="s">
        <v>720</v>
      </c>
      <c r="D602" s="38"/>
      <c r="AB602" s="28"/>
    </row>
    <row r="603" spans="1:30" ht="18" customHeight="1">
      <c r="A603" s="26"/>
      <c r="C603" s="343" t="s">
        <v>417</v>
      </c>
      <c r="D603" s="344"/>
      <c r="E603" s="344"/>
      <c r="F603" s="344"/>
      <c r="G603" s="344"/>
      <c r="H603" s="47" t="s">
        <v>455</v>
      </c>
      <c r="I603" s="48"/>
      <c r="J603" s="48"/>
      <c r="K603" s="48"/>
      <c r="L603" s="48"/>
      <c r="M603" s="48"/>
      <c r="N603" s="48"/>
      <c r="O603" s="48"/>
      <c r="P603" s="48"/>
      <c r="Q603" s="48"/>
      <c r="R603" s="48"/>
      <c r="S603" s="48"/>
      <c r="T603" s="48"/>
      <c r="U603" s="48"/>
      <c r="V603" s="48"/>
      <c r="W603" s="48"/>
      <c r="X603" s="48"/>
      <c r="Y603" s="48"/>
      <c r="Z603" s="48"/>
      <c r="AA603" s="49"/>
      <c r="AB603" s="28"/>
      <c r="AD603" s="27" t="e">
        <f>""""&amp;#REF!&amp;""":""example"&amp;#REF!&amp;""","</f>
        <v>#REF!</v>
      </c>
    </row>
    <row r="604" spans="1:30" ht="18" customHeight="1">
      <c r="A604" s="26"/>
      <c r="C604" s="337" t="s">
        <v>7</v>
      </c>
      <c r="D604" s="337"/>
      <c r="E604" s="337" t="s">
        <v>9</v>
      </c>
      <c r="F604" s="337"/>
      <c r="G604" s="337"/>
      <c r="H604" s="337"/>
      <c r="I604" s="337"/>
      <c r="J604" s="343" t="s">
        <v>18</v>
      </c>
      <c r="K604" s="344"/>
      <c r="L604" s="344"/>
      <c r="M604" s="344"/>
      <c r="N604" s="344"/>
      <c r="O604" s="344"/>
      <c r="P604" s="344"/>
      <c r="Q604" s="344"/>
      <c r="R604" s="344"/>
      <c r="S604" s="344"/>
      <c r="T604" s="344"/>
      <c r="U604" s="344"/>
      <c r="V604" s="344"/>
      <c r="W604" s="344"/>
      <c r="X604" s="344"/>
      <c r="Y604" s="344"/>
      <c r="Z604" s="344"/>
      <c r="AA604" s="345"/>
      <c r="AB604" s="28"/>
    </row>
    <row r="605" spans="1:30" ht="18" customHeight="1">
      <c r="A605" s="26"/>
      <c r="C605" s="334">
        <v>1</v>
      </c>
      <c r="D605" s="334"/>
      <c r="E605" s="39" t="s">
        <v>456</v>
      </c>
      <c r="F605" s="40"/>
      <c r="G605" s="40"/>
      <c r="H605" s="40"/>
      <c r="I605" s="41"/>
      <c r="J605" s="39" t="s">
        <v>721</v>
      </c>
      <c r="K605" s="40"/>
      <c r="L605" s="40"/>
      <c r="M605" s="40"/>
      <c r="N605" s="40"/>
      <c r="O605" s="40"/>
      <c r="P605" s="40"/>
      <c r="Q605" s="40"/>
      <c r="R605" s="40"/>
      <c r="S605" s="40"/>
      <c r="T605" s="40"/>
      <c r="U605" s="40"/>
      <c r="V605" s="40"/>
      <c r="W605" s="40"/>
      <c r="X605" s="40"/>
      <c r="Y605" s="40"/>
      <c r="Z605" s="40"/>
      <c r="AA605" s="41"/>
      <c r="AB605" s="28"/>
    </row>
    <row r="606" spans="1:30" ht="18" customHeight="1">
      <c r="A606" s="26"/>
      <c r="C606" s="334">
        <v>2</v>
      </c>
      <c r="D606" s="334"/>
      <c r="E606" s="39" t="s">
        <v>376</v>
      </c>
      <c r="F606" s="40"/>
      <c r="G606" s="40"/>
      <c r="H606" s="40"/>
      <c r="I606" s="41"/>
      <c r="J606" s="39" t="s">
        <v>722</v>
      </c>
      <c r="K606" s="40"/>
      <c r="L606" s="40"/>
      <c r="M606" s="40"/>
      <c r="N606" s="40"/>
      <c r="O606" s="40"/>
      <c r="P606" s="40"/>
      <c r="Q606" s="40"/>
      <c r="R606" s="40"/>
      <c r="S606" s="40"/>
      <c r="T606" s="40"/>
      <c r="U606" s="40"/>
      <c r="V606" s="40"/>
      <c r="W606" s="40"/>
      <c r="X606" s="40"/>
      <c r="Y606" s="40"/>
      <c r="Z606" s="40"/>
      <c r="AA606" s="41"/>
      <c r="AB606" s="28"/>
    </row>
    <row r="607" spans="1:30" ht="18" customHeight="1">
      <c r="A607" s="26"/>
      <c r="C607" s="334">
        <v>3</v>
      </c>
      <c r="D607" s="334"/>
      <c r="E607" s="39" t="s">
        <v>465</v>
      </c>
      <c r="F607" s="40"/>
      <c r="G607" s="40"/>
      <c r="H607" s="40"/>
      <c r="I607" s="41"/>
      <c r="J607" s="39" t="s">
        <v>266</v>
      </c>
      <c r="K607" s="40"/>
      <c r="L607" s="40"/>
      <c r="M607" s="40"/>
      <c r="N607" s="40"/>
      <c r="O607" s="40"/>
      <c r="P607" s="40"/>
      <c r="Q607" s="40"/>
      <c r="R607" s="40"/>
      <c r="S607" s="40"/>
      <c r="T607" s="40"/>
      <c r="U607" s="40"/>
      <c r="V607" s="40"/>
      <c r="W607" s="40"/>
      <c r="X607" s="40"/>
      <c r="Y607" s="40"/>
      <c r="Z607" s="40"/>
      <c r="AA607" s="41"/>
      <c r="AB607" s="28"/>
    </row>
    <row r="608" spans="1:30" ht="18" customHeight="1">
      <c r="A608" s="26"/>
      <c r="C608" s="334">
        <v>4</v>
      </c>
      <c r="D608" s="334"/>
      <c r="E608" s="47" t="s">
        <v>466</v>
      </c>
      <c r="F608" s="31"/>
      <c r="G608" s="31"/>
      <c r="H608" s="31"/>
      <c r="I608" s="32"/>
      <c r="J608" s="39" t="s">
        <v>266</v>
      </c>
      <c r="K608" s="40"/>
      <c r="L608" s="40"/>
      <c r="M608" s="40"/>
      <c r="N608" s="40"/>
      <c r="O608" s="40"/>
      <c r="P608" s="40"/>
      <c r="Q608" s="40"/>
      <c r="R608" s="40"/>
      <c r="S608" s="40"/>
      <c r="T608" s="40"/>
      <c r="U608" s="40"/>
      <c r="V608" s="40"/>
      <c r="W608" s="40"/>
      <c r="X608" s="40"/>
      <c r="Y608" s="40"/>
      <c r="Z608" s="40"/>
      <c r="AA608" s="41"/>
      <c r="AB608" s="28"/>
    </row>
    <row r="609" spans="1:32" ht="18" customHeight="1">
      <c r="A609" s="26"/>
      <c r="C609" s="38"/>
      <c r="D609" s="38"/>
      <c r="AB609" s="28"/>
    </row>
    <row r="610" spans="1:32" ht="18" customHeight="1">
      <c r="A610" s="26"/>
      <c r="C610" s="46" t="s">
        <v>723</v>
      </c>
      <c r="D610" s="38"/>
      <c r="AB610" s="28"/>
    </row>
    <row r="611" spans="1:32" ht="18" customHeight="1">
      <c r="A611" s="26"/>
      <c r="C611" s="400" t="s">
        <v>15</v>
      </c>
      <c r="D611" s="401"/>
      <c r="E611" s="401"/>
      <c r="F611" s="401"/>
      <c r="G611" s="401"/>
      <c r="H611" s="401"/>
      <c r="I611" s="401"/>
      <c r="J611" s="401"/>
      <c r="K611" s="401"/>
      <c r="L611" s="401"/>
      <c r="M611" s="401"/>
      <c r="N611" s="401"/>
      <c r="O611" s="401"/>
      <c r="P611" s="401"/>
      <c r="Q611" s="401"/>
      <c r="R611" s="401"/>
      <c r="S611" s="401"/>
      <c r="T611" s="401"/>
      <c r="U611" s="401"/>
      <c r="V611" s="401"/>
      <c r="W611" s="401"/>
      <c r="X611" s="401"/>
      <c r="Y611" s="401"/>
      <c r="Z611" s="401"/>
      <c r="AA611" s="402"/>
      <c r="AB611" s="28"/>
      <c r="AF611" s="27"/>
    </row>
    <row r="612" spans="1:32" ht="18" customHeight="1">
      <c r="A612" s="26"/>
      <c r="C612" s="403" t="s">
        <v>16</v>
      </c>
      <c r="D612" s="403"/>
      <c r="E612" s="403"/>
      <c r="F612" s="403"/>
      <c r="G612" s="333">
        <v>201</v>
      </c>
      <c r="H612" s="333"/>
      <c r="I612" s="333"/>
      <c r="J612" s="333"/>
      <c r="K612" s="333"/>
      <c r="L612" s="333"/>
      <c r="M612" s="333"/>
      <c r="N612" s="333"/>
      <c r="O612" s="333"/>
      <c r="P612" s="333"/>
      <c r="Q612" s="333"/>
      <c r="R612" s="333"/>
      <c r="S612" s="333"/>
      <c r="T612" s="333"/>
      <c r="U612" s="333"/>
      <c r="V612" s="333"/>
      <c r="W612" s="333"/>
      <c r="X612" s="333"/>
      <c r="Y612" s="333"/>
      <c r="Z612" s="333"/>
      <c r="AA612" s="333"/>
      <c r="AB612" s="28"/>
      <c r="AF612" s="27"/>
    </row>
    <row r="613" spans="1:32" ht="18" customHeight="1">
      <c r="A613" s="26"/>
      <c r="C613" s="403" t="s">
        <v>467</v>
      </c>
      <c r="D613" s="403"/>
      <c r="E613" s="403"/>
      <c r="F613" s="403"/>
      <c r="G613" s="29" t="s">
        <v>468</v>
      </c>
      <c r="H613" s="29"/>
      <c r="I613" s="29"/>
      <c r="J613" s="29"/>
      <c r="K613" s="29"/>
      <c r="L613" s="29"/>
      <c r="M613" s="29"/>
      <c r="N613" s="29"/>
      <c r="O613" s="29"/>
      <c r="P613" s="29"/>
      <c r="Q613" s="29"/>
      <c r="R613" s="29"/>
      <c r="S613" s="29"/>
      <c r="T613" s="29"/>
      <c r="U613" s="29"/>
      <c r="V613" s="29"/>
      <c r="W613" s="29"/>
      <c r="X613" s="29"/>
      <c r="Y613" s="29"/>
      <c r="Z613" s="29"/>
      <c r="AA613" s="30"/>
      <c r="AB613" s="28"/>
      <c r="AF613" s="27"/>
    </row>
    <row r="614" spans="1:32" ht="18" customHeight="1">
      <c r="A614" s="26"/>
      <c r="C614" s="403" t="s">
        <v>469</v>
      </c>
      <c r="D614" s="403"/>
      <c r="E614" s="403"/>
      <c r="F614" s="403"/>
      <c r="G614" s="29" t="s">
        <v>470</v>
      </c>
      <c r="H614" s="29"/>
      <c r="I614" s="29"/>
      <c r="J614" s="29"/>
      <c r="K614" s="29"/>
      <c r="L614" s="29"/>
      <c r="M614" s="29"/>
      <c r="N614" s="29"/>
      <c r="O614" s="29"/>
      <c r="P614" s="29"/>
      <c r="Q614" s="29"/>
      <c r="R614" s="29"/>
      <c r="S614" s="29"/>
      <c r="T614" s="29"/>
      <c r="U614" s="29"/>
      <c r="V614" s="29"/>
      <c r="W614" s="29"/>
      <c r="X614" s="29"/>
      <c r="Y614" s="29"/>
      <c r="Z614" s="29"/>
      <c r="AA614" s="30"/>
      <c r="AB614" s="28"/>
      <c r="AF614" s="27"/>
    </row>
    <row r="615" spans="1:32" ht="18" customHeight="1">
      <c r="A615" s="26"/>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28"/>
    </row>
    <row r="616" spans="1:32" ht="18" customHeight="1">
      <c r="A616" s="58"/>
      <c r="B616" s="64"/>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6"/>
    </row>
    <row r="617" spans="1:32" ht="18" customHeight="1">
      <c r="A617" s="26"/>
      <c r="B617" s="27" t="s">
        <v>19</v>
      </c>
      <c r="AB617" s="28"/>
    </row>
    <row r="618" spans="1:32" ht="18" customHeight="1">
      <c r="A618" s="26"/>
      <c r="B618" s="58"/>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6"/>
      <c r="AB618" s="28"/>
    </row>
    <row r="619" spans="1:32" ht="18" customHeight="1">
      <c r="A619" s="26"/>
      <c r="B619" s="26"/>
      <c r="C619" s="27" t="s">
        <v>298</v>
      </c>
      <c r="AA619" s="28"/>
      <c r="AB619" s="28"/>
    </row>
    <row r="620" spans="1:32" ht="18" customHeight="1">
      <c r="A620" s="26"/>
      <c r="B620" s="26"/>
      <c r="C620" s="27" t="s">
        <v>21</v>
      </c>
      <c r="AA620" s="28"/>
      <c r="AB620" s="28"/>
    </row>
    <row r="621" spans="1:32" ht="18" customHeight="1">
      <c r="A621" s="26"/>
      <c r="B621" s="26"/>
      <c r="C621" s="27" t="s">
        <v>32</v>
      </c>
      <c r="AA621" s="28"/>
      <c r="AB621" s="28"/>
    </row>
    <row r="622" spans="1:32" ht="18" customHeight="1">
      <c r="A622" s="26"/>
      <c r="B622" s="26"/>
      <c r="C622" s="27" t="s">
        <v>28</v>
      </c>
      <c r="AA622" s="28"/>
      <c r="AB622" s="28"/>
    </row>
    <row r="623" spans="1:32" ht="18" customHeight="1">
      <c r="A623" s="26"/>
      <c r="B623" s="26"/>
      <c r="C623" s="27" t="s">
        <v>72</v>
      </c>
      <c r="AA623" s="28"/>
      <c r="AB623" s="28"/>
    </row>
    <row r="624" spans="1:32" ht="18" customHeight="1">
      <c r="A624" s="26"/>
      <c r="B624" s="26"/>
      <c r="C624" s="27" t="s">
        <v>27</v>
      </c>
      <c r="AA624" s="28"/>
      <c r="AB624" s="28"/>
    </row>
    <row r="625" spans="1:28" ht="18" customHeight="1">
      <c r="A625" s="26"/>
      <c r="B625" s="26"/>
      <c r="C625" s="27" t="s">
        <v>21</v>
      </c>
      <c r="AA625" s="28"/>
      <c r="AB625" s="28"/>
    </row>
    <row r="626" spans="1:28" ht="18" customHeight="1">
      <c r="A626" s="26"/>
      <c r="B626" s="26"/>
      <c r="C626" s="27" t="s">
        <v>49</v>
      </c>
      <c r="AA626" s="28"/>
      <c r="AB626" s="28"/>
    </row>
    <row r="627" spans="1:28" ht="18" customHeight="1">
      <c r="A627" s="26"/>
      <c r="B627" s="26"/>
      <c r="C627" s="27" t="s">
        <v>28</v>
      </c>
      <c r="AA627" s="28"/>
      <c r="AB627" s="28"/>
    </row>
    <row r="628" spans="1:28" ht="18" customHeight="1">
      <c r="A628" s="26"/>
      <c r="B628" s="43"/>
      <c r="C628" s="44" t="s">
        <v>26</v>
      </c>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5"/>
      <c r="AB628" s="28"/>
    </row>
    <row r="629" spans="1:28" ht="18" customHeight="1">
      <c r="A629" s="26"/>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28"/>
    </row>
    <row r="630" spans="1:28" ht="18" customHeight="1">
      <c r="A630" s="43"/>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5"/>
    </row>
  </sheetData>
  <mergeCells count="634">
    <mergeCell ref="V5:X5"/>
    <mergeCell ref="Y5:AB5"/>
    <mergeCell ref="C8:K8"/>
    <mergeCell ref="L8:M8"/>
    <mergeCell ref="N8:AA8"/>
    <mergeCell ref="L9:M9"/>
    <mergeCell ref="A1:G2"/>
    <mergeCell ref="H1:AB2"/>
    <mergeCell ref="A3:G4"/>
    <mergeCell ref="H3:AB4"/>
    <mergeCell ref="A5:C5"/>
    <mergeCell ref="D5:G5"/>
    <mergeCell ref="H5:J5"/>
    <mergeCell ref="K5:N5"/>
    <mergeCell ref="O5:Q5"/>
    <mergeCell ref="R5:U5"/>
    <mergeCell ref="L16:M16"/>
    <mergeCell ref="L17:M17"/>
    <mergeCell ref="L18:M18"/>
    <mergeCell ref="L19:M19"/>
    <mergeCell ref="L20:M20"/>
    <mergeCell ref="L21:M21"/>
    <mergeCell ref="L10:M10"/>
    <mergeCell ref="L11:M11"/>
    <mergeCell ref="L12:M12"/>
    <mergeCell ref="L13:M13"/>
    <mergeCell ref="L14:M14"/>
    <mergeCell ref="L15:M15"/>
    <mergeCell ref="L28:M28"/>
    <mergeCell ref="L29:M29"/>
    <mergeCell ref="L30:M30"/>
    <mergeCell ref="L31:M31"/>
    <mergeCell ref="L32:M32"/>
    <mergeCell ref="L33:M33"/>
    <mergeCell ref="L22:M22"/>
    <mergeCell ref="L23:M23"/>
    <mergeCell ref="L24:M24"/>
    <mergeCell ref="L25:M25"/>
    <mergeCell ref="L26:M26"/>
    <mergeCell ref="L27:M27"/>
    <mergeCell ref="L40:M40"/>
    <mergeCell ref="L41:M41"/>
    <mergeCell ref="L42:M42"/>
    <mergeCell ref="L43:M43"/>
    <mergeCell ref="L44:M44"/>
    <mergeCell ref="L45:M45"/>
    <mergeCell ref="L34:M34"/>
    <mergeCell ref="L35:M35"/>
    <mergeCell ref="L36:M36"/>
    <mergeCell ref="L37:M37"/>
    <mergeCell ref="L38:M38"/>
    <mergeCell ref="L39:M39"/>
    <mergeCell ref="L52:M52"/>
    <mergeCell ref="L53:M53"/>
    <mergeCell ref="L54:M54"/>
    <mergeCell ref="L55:M55"/>
    <mergeCell ref="L56:M56"/>
    <mergeCell ref="L57:M57"/>
    <mergeCell ref="L46:M46"/>
    <mergeCell ref="L47:M47"/>
    <mergeCell ref="L48:M48"/>
    <mergeCell ref="L49:M49"/>
    <mergeCell ref="L50:M50"/>
    <mergeCell ref="L51:M51"/>
    <mergeCell ref="L64:M64"/>
    <mergeCell ref="L65:M65"/>
    <mergeCell ref="L66:M66"/>
    <mergeCell ref="L67:M67"/>
    <mergeCell ref="L68:M68"/>
    <mergeCell ref="L69:M69"/>
    <mergeCell ref="L58:M58"/>
    <mergeCell ref="L59:M59"/>
    <mergeCell ref="L60:M60"/>
    <mergeCell ref="L61:M61"/>
    <mergeCell ref="L62:M62"/>
    <mergeCell ref="L63:M63"/>
    <mergeCell ref="L76:M76"/>
    <mergeCell ref="L77:M77"/>
    <mergeCell ref="L78:M78"/>
    <mergeCell ref="L79:M79"/>
    <mergeCell ref="L80:M80"/>
    <mergeCell ref="L81:M81"/>
    <mergeCell ref="L70:M70"/>
    <mergeCell ref="L71:M71"/>
    <mergeCell ref="L72:M72"/>
    <mergeCell ref="L73:M73"/>
    <mergeCell ref="L74:M74"/>
    <mergeCell ref="L75:M75"/>
    <mergeCell ref="L88:M88"/>
    <mergeCell ref="L89:M89"/>
    <mergeCell ref="L90:M90"/>
    <mergeCell ref="L91:M91"/>
    <mergeCell ref="L92:M92"/>
    <mergeCell ref="L93:M93"/>
    <mergeCell ref="L82:M82"/>
    <mergeCell ref="L83:M83"/>
    <mergeCell ref="L84:M84"/>
    <mergeCell ref="L85:M85"/>
    <mergeCell ref="L86:M86"/>
    <mergeCell ref="L87:M87"/>
    <mergeCell ref="L100:M100"/>
    <mergeCell ref="L101:M101"/>
    <mergeCell ref="L102:M102"/>
    <mergeCell ref="L103:M103"/>
    <mergeCell ref="L104:M104"/>
    <mergeCell ref="L105:M105"/>
    <mergeCell ref="L94:M94"/>
    <mergeCell ref="L95:M95"/>
    <mergeCell ref="L96:M96"/>
    <mergeCell ref="L97:M97"/>
    <mergeCell ref="L98:M98"/>
    <mergeCell ref="L99:M99"/>
    <mergeCell ref="C117:F117"/>
    <mergeCell ref="G117:AA117"/>
    <mergeCell ref="C118:F120"/>
    <mergeCell ref="G118:AA118"/>
    <mergeCell ref="G119:AA119"/>
    <mergeCell ref="G120:AA120"/>
    <mergeCell ref="L106:M106"/>
    <mergeCell ref="C113:F113"/>
    <mergeCell ref="G113:AA113"/>
    <mergeCell ref="C114:F116"/>
    <mergeCell ref="G114:AA114"/>
    <mergeCell ref="G115:AA115"/>
    <mergeCell ref="G116:AA116"/>
    <mergeCell ref="C129:D129"/>
    <mergeCell ref="E129:K129"/>
    <mergeCell ref="L129:AA129"/>
    <mergeCell ref="C130:D130"/>
    <mergeCell ref="C131:D131"/>
    <mergeCell ref="C134:F134"/>
    <mergeCell ref="G134:AA134"/>
    <mergeCell ref="C121:F121"/>
    <mergeCell ref="G121:AA121"/>
    <mergeCell ref="C122:F124"/>
    <mergeCell ref="G122:AA122"/>
    <mergeCell ref="G123:AA123"/>
    <mergeCell ref="G124:AA124"/>
    <mergeCell ref="C140:F140"/>
    <mergeCell ref="G140:AA140"/>
    <mergeCell ref="C141:F143"/>
    <mergeCell ref="G141:AA141"/>
    <mergeCell ref="G142:AA142"/>
    <mergeCell ref="G143:AA143"/>
    <mergeCell ref="C135:F135"/>
    <mergeCell ref="G135:AA135"/>
    <mergeCell ref="C136:F136"/>
    <mergeCell ref="G136:AA136"/>
    <mergeCell ref="C137:F139"/>
    <mergeCell ref="G137:AA137"/>
    <mergeCell ref="G138:AA138"/>
    <mergeCell ref="G139:AA139"/>
    <mergeCell ref="C152:D152"/>
    <mergeCell ref="C156:D156"/>
    <mergeCell ref="E156:K156"/>
    <mergeCell ref="L156:AA156"/>
    <mergeCell ref="C157:D157"/>
    <mergeCell ref="C158:D158"/>
    <mergeCell ref="C148:D148"/>
    <mergeCell ref="E148:K148"/>
    <mergeCell ref="L148:AA148"/>
    <mergeCell ref="C149:D149"/>
    <mergeCell ref="C150:D150"/>
    <mergeCell ref="C151:D151"/>
    <mergeCell ref="C169:F169"/>
    <mergeCell ref="G169:AA169"/>
    <mergeCell ref="C170:F172"/>
    <mergeCell ref="G170:AA170"/>
    <mergeCell ref="G171:AA171"/>
    <mergeCell ref="G172:AA172"/>
    <mergeCell ref="C161:AA161"/>
    <mergeCell ref="C162:F162"/>
    <mergeCell ref="G162:AA162"/>
    <mergeCell ref="C163:F163"/>
    <mergeCell ref="C164:F164"/>
    <mergeCell ref="G164:AA164"/>
    <mergeCell ref="C181:F181"/>
    <mergeCell ref="G181:AA181"/>
    <mergeCell ref="C182:F182"/>
    <mergeCell ref="G182:AA182"/>
    <mergeCell ref="C183:D183"/>
    <mergeCell ref="E183:K183"/>
    <mergeCell ref="L183:AA183"/>
    <mergeCell ref="C175:D175"/>
    <mergeCell ref="E175:K175"/>
    <mergeCell ref="L175:AA175"/>
    <mergeCell ref="C176:D176"/>
    <mergeCell ref="C177:D177"/>
    <mergeCell ref="C180:F180"/>
    <mergeCell ref="G180:AA180"/>
    <mergeCell ref="C190:D190"/>
    <mergeCell ref="C191:D191"/>
    <mergeCell ref="C192:D192"/>
    <mergeCell ref="C193:D193"/>
    <mergeCell ref="C194:D194"/>
    <mergeCell ref="C195:D195"/>
    <mergeCell ref="C184:D184"/>
    <mergeCell ref="C187:F187"/>
    <mergeCell ref="G187:AA187"/>
    <mergeCell ref="C188:F188"/>
    <mergeCell ref="G188:AA188"/>
    <mergeCell ref="C189:D189"/>
    <mergeCell ref="E189:K189"/>
    <mergeCell ref="L189:AA189"/>
    <mergeCell ref="C202:D202"/>
    <mergeCell ref="C203:D203"/>
    <mergeCell ref="C204:D204"/>
    <mergeCell ref="C205:D205"/>
    <mergeCell ref="C206:D206"/>
    <mergeCell ref="C207:D207"/>
    <mergeCell ref="C196:D196"/>
    <mergeCell ref="C197:D197"/>
    <mergeCell ref="C198:D198"/>
    <mergeCell ref="C199:D199"/>
    <mergeCell ref="C200:D200"/>
    <mergeCell ref="C201:D201"/>
    <mergeCell ref="C214:D214"/>
    <mergeCell ref="C215:D215"/>
    <mergeCell ref="C216:D216"/>
    <mergeCell ref="C217:D217"/>
    <mergeCell ref="C218:D218"/>
    <mergeCell ref="C219:D219"/>
    <mergeCell ref="C208:D208"/>
    <mergeCell ref="C209:D209"/>
    <mergeCell ref="C210:D210"/>
    <mergeCell ref="C211:D211"/>
    <mergeCell ref="C212:D212"/>
    <mergeCell ref="C213:D213"/>
    <mergeCell ref="C226:D226"/>
    <mergeCell ref="C227:D227"/>
    <mergeCell ref="C228:D228"/>
    <mergeCell ref="C229:D229"/>
    <mergeCell ref="C230:D230"/>
    <mergeCell ref="C231:D231"/>
    <mergeCell ref="C220:D220"/>
    <mergeCell ref="C221:D221"/>
    <mergeCell ref="C222:D222"/>
    <mergeCell ref="C223:D223"/>
    <mergeCell ref="C224:D224"/>
    <mergeCell ref="C225:D225"/>
    <mergeCell ref="C238:D238"/>
    <mergeCell ref="C241:AA241"/>
    <mergeCell ref="C242:F242"/>
    <mergeCell ref="G242:AA242"/>
    <mergeCell ref="C245:F245"/>
    <mergeCell ref="G245:AA245"/>
    <mergeCell ref="C232:D232"/>
    <mergeCell ref="C233:D233"/>
    <mergeCell ref="C234:D234"/>
    <mergeCell ref="C235:D235"/>
    <mergeCell ref="C236:D236"/>
    <mergeCell ref="C237:D237"/>
    <mergeCell ref="C252:D252"/>
    <mergeCell ref="C255:F255"/>
    <mergeCell ref="G255:AA255"/>
    <mergeCell ref="C256:F256"/>
    <mergeCell ref="G256:AA256"/>
    <mergeCell ref="C257:D257"/>
    <mergeCell ref="E257:K257"/>
    <mergeCell ref="L257:AA257"/>
    <mergeCell ref="C246:F248"/>
    <mergeCell ref="G246:AA246"/>
    <mergeCell ref="G247:AA247"/>
    <mergeCell ref="G248:AA248"/>
    <mergeCell ref="C251:D251"/>
    <mergeCell ref="E251:K251"/>
    <mergeCell ref="L251:AA251"/>
    <mergeCell ref="C264:D264"/>
    <mergeCell ref="C265:D265"/>
    <mergeCell ref="C266:D266"/>
    <mergeCell ref="C269:F269"/>
    <mergeCell ref="G269:AA269"/>
    <mergeCell ref="C270:F270"/>
    <mergeCell ref="G270:AA270"/>
    <mergeCell ref="C258:D258"/>
    <mergeCell ref="C259:D259"/>
    <mergeCell ref="C260:D260"/>
    <mergeCell ref="C261:D261"/>
    <mergeCell ref="C262:D262"/>
    <mergeCell ref="C263:D263"/>
    <mergeCell ref="C275:D275"/>
    <mergeCell ref="C278:F278"/>
    <mergeCell ref="G278:AA278"/>
    <mergeCell ref="C279:F279"/>
    <mergeCell ref="G279:AA279"/>
    <mergeCell ref="C280:D280"/>
    <mergeCell ref="E280:K280"/>
    <mergeCell ref="L280:AA280"/>
    <mergeCell ref="C271:D271"/>
    <mergeCell ref="E271:K271"/>
    <mergeCell ref="L271:AA271"/>
    <mergeCell ref="C272:D272"/>
    <mergeCell ref="C273:D273"/>
    <mergeCell ref="C274:D274"/>
    <mergeCell ref="G288:AA288"/>
    <mergeCell ref="C289:F289"/>
    <mergeCell ref="G289:AA289"/>
    <mergeCell ref="C290:D290"/>
    <mergeCell ref="E290:K290"/>
    <mergeCell ref="L290:AA290"/>
    <mergeCell ref="C281:D281"/>
    <mergeCell ref="C282:D282"/>
    <mergeCell ref="C283:D283"/>
    <mergeCell ref="C284:D284"/>
    <mergeCell ref="C285:D285"/>
    <mergeCell ref="C288:F288"/>
    <mergeCell ref="C297:D297"/>
    <mergeCell ref="C298:D298"/>
    <mergeCell ref="C299:D299"/>
    <mergeCell ref="C300:D300"/>
    <mergeCell ref="C301:D301"/>
    <mergeCell ref="C302:D302"/>
    <mergeCell ref="C291:D291"/>
    <mergeCell ref="C292:D292"/>
    <mergeCell ref="C293:D293"/>
    <mergeCell ref="C294:D294"/>
    <mergeCell ref="C295:D295"/>
    <mergeCell ref="C296:D296"/>
    <mergeCell ref="C311:F311"/>
    <mergeCell ref="G311:AA311"/>
    <mergeCell ref="C312:D312"/>
    <mergeCell ref="E312:K312"/>
    <mergeCell ref="L312:AA312"/>
    <mergeCell ref="C313:D313"/>
    <mergeCell ref="L313:AA313"/>
    <mergeCell ref="C303:D303"/>
    <mergeCell ref="C304:D304"/>
    <mergeCell ref="C305:D305"/>
    <mergeCell ref="B307:AA308"/>
    <mergeCell ref="C310:F310"/>
    <mergeCell ref="G310:AA310"/>
    <mergeCell ref="C320:D320"/>
    <mergeCell ref="C321:D321"/>
    <mergeCell ref="C322:D322"/>
    <mergeCell ref="C323:D323"/>
    <mergeCell ref="C324:D324"/>
    <mergeCell ref="C325:D325"/>
    <mergeCell ref="C314:D314"/>
    <mergeCell ref="C315:D315"/>
    <mergeCell ref="C316:D316"/>
    <mergeCell ref="C317:D317"/>
    <mergeCell ref="C318:D318"/>
    <mergeCell ref="C319:D319"/>
    <mergeCell ref="C333:D333"/>
    <mergeCell ref="L333:AA333"/>
    <mergeCell ref="C334:D334"/>
    <mergeCell ref="C335:D335"/>
    <mergeCell ref="C336:D336"/>
    <mergeCell ref="C337:D337"/>
    <mergeCell ref="B327:AA328"/>
    <mergeCell ref="C330:F330"/>
    <mergeCell ref="G330:AA330"/>
    <mergeCell ref="C331:F331"/>
    <mergeCell ref="G331:AA331"/>
    <mergeCell ref="C332:D332"/>
    <mergeCell ref="E332:K332"/>
    <mergeCell ref="L332:AA332"/>
    <mergeCell ref="C344:D344"/>
    <mergeCell ref="C345:D345"/>
    <mergeCell ref="C351:F351"/>
    <mergeCell ref="C352:F352"/>
    <mergeCell ref="C353:D353"/>
    <mergeCell ref="E353:K353"/>
    <mergeCell ref="C338:D338"/>
    <mergeCell ref="C339:D339"/>
    <mergeCell ref="C340:D340"/>
    <mergeCell ref="C341:D341"/>
    <mergeCell ref="C342:D342"/>
    <mergeCell ref="C343:D343"/>
    <mergeCell ref="C358:D358"/>
    <mergeCell ref="C359:D359"/>
    <mergeCell ref="C360:D360"/>
    <mergeCell ref="C361:D361"/>
    <mergeCell ref="C362:D362"/>
    <mergeCell ref="C363:D363"/>
    <mergeCell ref="L353:AA353"/>
    <mergeCell ref="C354:D354"/>
    <mergeCell ref="L354:AA354"/>
    <mergeCell ref="C355:D355"/>
    <mergeCell ref="C356:D356"/>
    <mergeCell ref="C357:D357"/>
    <mergeCell ref="C372:F372"/>
    <mergeCell ref="C373:F375"/>
    <mergeCell ref="C378:D378"/>
    <mergeCell ref="E378:K378"/>
    <mergeCell ref="L378:AA378"/>
    <mergeCell ref="C379:D379"/>
    <mergeCell ref="C364:D364"/>
    <mergeCell ref="C365:D365"/>
    <mergeCell ref="C366:D366"/>
    <mergeCell ref="C367:D367"/>
    <mergeCell ref="C368:D368"/>
    <mergeCell ref="C371:F371"/>
    <mergeCell ref="L391:AA391"/>
    <mergeCell ref="C392:D392"/>
    <mergeCell ref="C395:D395"/>
    <mergeCell ref="E395:I395"/>
    <mergeCell ref="J395:AA395"/>
    <mergeCell ref="C380:D380"/>
    <mergeCell ref="B382:AA383"/>
    <mergeCell ref="C385:F385"/>
    <mergeCell ref="C386:F386"/>
    <mergeCell ref="C387:D387"/>
    <mergeCell ref="C388:D388"/>
    <mergeCell ref="C396:D396"/>
    <mergeCell ref="C397:D397"/>
    <mergeCell ref="C398:D398"/>
    <mergeCell ref="C399:D399"/>
    <mergeCell ref="C400:D400"/>
    <mergeCell ref="C404:F404"/>
    <mergeCell ref="C389:D389"/>
    <mergeCell ref="C390:D390"/>
    <mergeCell ref="C391:D391"/>
    <mergeCell ref="C408:D408"/>
    <mergeCell ref="C409:D409"/>
    <mergeCell ref="C410:D410"/>
    <mergeCell ref="C411:D411"/>
    <mergeCell ref="C412:D412"/>
    <mergeCell ref="C413:D413"/>
    <mergeCell ref="G404:AA404"/>
    <mergeCell ref="C405:F405"/>
    <mergeCell ref="G405:AA405"/>
    <mergeCell ref="C406:F406"/>
    <mergeCell ref="G406:AA406"/>
    <mergeCell ref="C407:D407"/>
    <mergeCell ref="E407:I407"/>
    <mergeCell ref="J407:AA407"/>
    <mergeCell ref="C421:D421"/>
    <mergeCell ref="E421:I421"/>
    <mergeCell ref="J421:AA421"/>
    <mergeCell ref="C422:D422"/>
    <mergeCell ref="C423:D423"/>
    <mergeCell ref="C424:D424"/>
    <mergeCell ref="C414:D414"/>
    <mergeCell ref="C415:D415"/>
    <mergeCell ref="C419:F419"/>
    <mergeCell ref="G419:AA419"/>
    <mergeCell ref="C420:F420"/>
    <mergeCell ref="G420:AA420"/>
    <mergeCell ref="C431:D431"/>
    <mergeCell ref="C432:D432"/>
    <mergeCell ref="C433:D433"/>
    <mergeCell ref="C434:D434"/>
    <mergeCell ref="C435:D435"/>
    <mergeCell ref="C436:D436"/>
    <mergeCell ref="C425:D425"/>
    <mergeCell ref="C426:D426"/>
    <mergeCell ref="C427:D427"/>
    <mergeCell ref="C428:D428"/>
    <mergeCell ref="C429:D429"/>
    <mergeCell ref="C430:D430"/>
    <mergeCell ref="C443:D443"/>
    <mergeCell ref="C444:D444"/>
    <mergeCell ref="C445:D445"/>
    <mergeCell ref="C449:G449"/>
    <mergeCell ref="C450:D450"/>
    <mergeCell ref="E450:I450"/>
    <mergeCell ref="C437:D437"/>
    <mergeCell ref="C438:D438"/>
    <mergeCell ref="C439:D439"/>
    <mergeCell ref="C440:D440"/>
    <mergeCell ref="C441:D441"/>
    <mergeCell ref="C442:D442"/>
    <mergeCell ref="C456:D456"/>
    <mergeCell ref="C457:D457"/>
    <mergeCell ref="C458:D458"/>
    <mergeCell ref="C459:D459"/>
    <mergeCell ref="C460:D460"/>
    <mergeCell ref="C465:F465"/>
    <mergeCell ref="J450:AA450"/>
    <mergeCell ref="C451:D451"/>
    <mergeCell ref="C452:D452"/>
    <mergeCell ref="C453:D453"/>
    <mergeCell ref="C454:D454"/>
    <mergeCell ref="C455:D455"/>
    <mergeCell ref="C469:D469"/>
    <mergeCell ref="C470:D470"/>
    <mergeCell ref="C471:D471"/>
    <mergeCell ref="C472:D472"/>
    <mergeCell ref="C473:D473"/>
    <mergeCell ref="C474:D474"/>
    <mergeCell ref="G465:AA465"/>
    <mergeCell ref="C466:D466"/>
    <mergeCell ref="E466:I466"/>
    <mergeCell ref="J466:AA466"/>
    <mergeCell ref="C467:D467"/>
    <mergeCell ref="C468:D468"/>
    <mergeCell ref="C481:D481"/>
    <mergeCell ref="C482:D482"/>
    <mergeCell ref="C483:D483"/>
    <mergeCell ref="C484:D484"/>
    <mergeCell ref="C485:D485"/>
    <mergeCell ref="C486:D486"/>
    <mergeCell ref="C475:D475"/>
    <mergeCell ref="C476:D476"/>
    <mergeCell ref="C477:D477"/>
    <mergeCell ref="C478:D478"/>
    <mergeCell ref="C479:D479"/>
    <mergeCell ref="C480:D480"/>
    <mergeCell ref="J495:AA495"/>
    <mergeCell ref="C496:D496"/>
    <mergeCell ref="C497:D497"/>
    <mergeCell ref="C498:D498"/>
    <mergeCell ref="C499:D499"/>
    <mergeCell ref="C500:D500"/>
    <mergeCell ref="C487:D487"/>
    <mergeCell ref="C488:D488"/>
    <mergeCell ref="C489:D489"/>
    <mergeCell ref="C490:D490"/>
    <mergeCell ref="C494:G494"/>
    <mergeCell ref="C495:D495"/>
    <mergeCell ref="E495:I495"/>
    <mergeCell ref="C507:D507"/>
    <mergeCell ref="C512:F512"/>
    <mergeCell ref="G512:AA512"/>
    <mergeCell ref="C513:F513"/>
    <mergeCell ref="G513:AA513"/>
    <mergeCell ref="C514:F514"/>
    <mergeCell ref="G514:AA514"/>
    <mergeCell ref="C501:D501"/>
    <mergeCell ref="C502:D502"/>
    <mergeCell ref="C503:D503"/>
    <mergeCell ref="C504:D504"/>
    <mergeCell ref="C505:D505"/>
    <mergeCell ref="C506:D506"/>
    <mergeCell ref="C519:D519"/>
    <mergeCell ref="C520:D520"/>
    <mergeCell ref="C521:D521"/>
    <mergeCell ref="C522:D522"/>
    <mergeCell ref="C523:D523"/>
    <mergeCell ref="C524:D524"/>
    <mergeCell ref="C515:D515"/>
    <mergeCell ref="E515:I515"/>
    <mergeCell ref="J515:AA515"/>
    <mergeCell ref="C516:D516"/>
    <mergeCell ref="C517:D517"/>
    <mergeCell ref="C518:D518"/>
    <mergeCell ref="C531:D531"/>
    <mergeCell ref="C532:D532"/>
    <mergeCell ref="C533:D533"/>
    <mergeCell ref="C534:D534"/>
    <mergeCell ref="C535:D535"/>
    <mergeCell ref="C536:D536"/>
    <mergeCell ref="C525:D525"/>
    <mergeCell ref="C526:D526"/>
    <mergeCell ref="C527:D527"/>
    <mergeCell ref="C528:D528"/>
    <mergeCell ref="C529:D529"/>
    <mergeCell ref="C530:D530"/>
    <mergeCell ref="C544:F544"/>
    <mergeCell ref="G544:AA544"/>
    <mergeCell ref="C548:G548"/>
    <mergeCell ref="C549:D549"/>
    <mergeCell ref="E549:I549"/>
    <mergeCell ref="J549:AA549"/>
    <mergeCell ref="C537:D537"/>
    <mergeCell ref="C538:D538"/>
    <mergeCell ref="C539:D539"/>
    <mergeCell ref="C540:D540"/>
    <mergeCell ref="C543:F543"/>
    <mergeCell ref="G543:AA543"/>
    <mergeCell ref="G559:AA559"/>
    <mergeCell ref="C560:D560"/>
    <mergeCell ref="E560:I560"/>
    <mergeCell ref="J560:AA560"/>
    <mergeCell ref="C561:D561"/>
    <mergeCell ref="C562:D562"/>
    <mergeCell ref="C550:D550"/>
    <mergeCell ref="C551:D551"/>
    <mergeCell ref="C552:D552"/>
    <mergeCell ref="C553:D553"/>
    <mergeCell ref="C554:D554"/>
    <mergeCell ref="C559:F559"/>
    <mergeCell ref="C569:D569"/>
    <mergeCell ref="C570:D570"/>
    <mergeCell ref="C571:D571"/>
    <mergeCell ref="C572:D572"/>
    <mergeCell ref="C573:D573"/>
    <mergeCell ref="C574:D574"/>
    <mergeCell ref="C563:D563"/>
    <mergeCell ref="C564:D564"/>
    <mergeCell ref="C565:D565"/>
    <mergeCell ref="C566:D566"/>
    <mergeCell ref="C567:D567"/>
    <mergeCell ref="C568:D568"/>
    <mergeCell ref="C581:D581"/>
    <mergeCell ref="C582:D582"/>
    <mergeCell ref="C583:D583"/>
    <mergeCell ref="C584:D584"/>
    <mergeCell ref="C585:D585"/>
    <mergeCell ref="C586:D586"/>
    <mergeCell ref="C575:D575"/>
    <mergeCell ref="C576:D576"/>
    <mergeCell ref="C577:D577"/>
    <mergeCell ref="C578:D578"/>
    <mergeCell ref="C579:D579"/>
    <mergeCell ref="C580:D580"/>
    <mergeCell ref="C592:F592"/>
    <mergeCell ref="G592:AA592"/>
    <mergeCell ref="C593:F593"/>
    <mergeCell ref="G593:AA593"/>
    <mergeCell ref="C594:F594"/>
    <mergeCell ref="G594:AA594"/>
    <mergeCell ref="F586:I586"/>
    <mergeCell ref="C589:F589"/>
    <mergeCell ref="G589:AA589"/>
    <mergeCell ref="C590:F590"/>
    <mergeCell ref="G590:AA590"/>
    <mergeCell ref="C591:F591"/>
    <mergeCell ref="G591:AA591"/>
    <mergeCell ref="C598:D598"/>
    <mergeCell ref="C599:D599"/>
    <mergeCell ref="F599:I599"/>
    <mergeCell ref="C600:D600"/>
    <mergeCell ref="C603:G603"/>
    <mergeCell ref="C604:D604"/>
    <mergeCell ref="E604:I604"/>
    <mergeCell ref="C595:F595"/>
    <mergeCell ref="G595:AA595"/>
    <mergeCell ref="C596:F596"/>
    <mergeCell ref="G596:AA596"/>
    <mergeCell ref="C597:D597"/>
    <mergeCell ref="E597:I597"/>
    <mergeCell ref="J597:AA597"/>
    <mergeCell ref="C612:F612"/>
    <mergeCell ref="G612:AA612"/>
    <mergeCell ref="C613:F613"/>
    <mergeCell ref="C614:F614"/>
    <mergeCell ref="J604:AA604"/>
    <mergeCell ref="C605:D605"/>
    <mergeCell ref="C606:D606"/>
    <mergeCell ref="C607:D607"/>
    <mergeCell ref="C608:D608"/>
    <mergeCell ref="C611:AA611"/>
  </mergeCells>
  <phoneticPr fontId="3"/>
  <pageMargins left="0.39370078740157499" right="0.39370078740157499" top="0.39370078740157499" bottom="0.39370078740157499" header="0.31496062992126" footer="0.31496062992126"/>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改訂履歴</vt:lpstr>
      <vt:lpstr>選択項目取得API</vt:lpstr>
      <vt:lpstr>案件登録選択肢検索API</vt:lpstr>
      <vt:lpstr>案件情報取得API</vt:lpstr>
      <vt:lpstr>案件更新処理フロー</vt:lpstr>
      <vt:lpstr>案件情報更新API </vt:lpstr>
      <vt:lpstr>先行作業内諾書の注文書作成選択肢検索API</vt:lpstr>
      <vt:lpstr>先行作業内諾書の注文書作成登録API</vt:lpstr>
      <vt:lpstr>先行作業内諾書明細_印刷API</vt:lpstr>
      <vt:lpstr>案件情報更新API  (2)</vt:lpstr>
      <vt:lpstr>'案件情報更新API '!Print_Area</vt:lpstr>
      <vt:lpstr>'案件情報更新API  (2)'!Print_Area</vt:lpstr>
      <vt:lpstr>案件情報取得API!Print_Area</vt:lpstr>
      <vt:lpstr>案件登録選択肢検索API!Print_Area</vt:lpstr>
      <vt:lpstr>先行作業内諾書の注文書作成選択肢検索API!Print_Area</vt:lpstr>
      <vt:lpstr>先行作業内諾書の注文書作成登録API!Print_Area</vt:lpstr>
      <vt:lpstr>先行作業内諾書明細_印刷API!Print_Area</vt:lpstr>
      <vt:lpstr>選択項目取得API!Print_Area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tomohito1992@gmail.com</dc:creator>
  <cp:lastModifiedBy>公民 世界</cp:lastModifiedBy>
  <dcterms:created xsi:type="dcterms:W3CDTF">2024-11-07T01:35:08Z</dcterms:created>
  <dcterms:modified xsi:type="dcterms:W3CDTF">2025-11-11T11:32:56Z</dcterms:modified>
</cp:coreProperties>
</file>