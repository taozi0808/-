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3"/>
  <workbookPr codeName="ThisWorkbook"/>
  <mc:AlternateContent xmlns:mc="http://schemas.openxmlformats.org/markup-compatibility/2006">
    <mc:Choice Requires="x15">
      <x15ac:absPath xmlns:x15ac="http://schemas.microsoft.com/office/spreadsheetml/2010/11/ac" url="C:\kaku\101-BJ\COMMON\06 概要設計(秘密)\0602 概要設計書\2.1 機能仕様設計\2.1.3 画面設計\"/>
    </mc:Choice>
  </mc:AlternateContent>
  <xr:revisionPtr revIDLastSave="0" documentId="13_ncr:1_{0E3248B9-D9CE-451F-90EF-4C7DE140E2CD}" xr6:coauthVersionLast="36" xr6:coauthVersionMax="47" xr10:uidLastSave="{00000000-0000-0000-0000-000000000000}"/>
  <bookViews>
    <workbookView xWindow="-120" yWindow="-120" windowWidth="29040" windowHeight="15720" tabRatio="875" xr2:uid="{00000000-000D-0000-FFFF-FFFF00000000}"/>
  </bookViews>
  <sheets>
    <sheet name="表紙" sheetId="644" r:id="rId1"/>
    <sheet name="改版履歴" sheetId="672" r:id="rId2"/>
    <sheet name="機能概要" sheetId="665" r:id="rId3"/>
    <sheet name="画面レイアウト" sheetId="629" r:id="rId4"/>
    <sheet name="項目仕様" sheetId="640" r:id="rId5"/>
    <sheet name="イベント仕様" sheetId="666" r:id="rId6"/>
    <sheet name="SQL詳細仕様" sheetId="668" r:id="rId7"/>
    <sheet name="機能シート" sheetId="618" state="hidden" r:id="rId8"/>
  </sheets>
  <definedNames>
    <definedName name="_xlnm._FilterDatabase" localSheetId="4" hidden="1">項目仕様!$A$8:$AZ$31</definedName>
    <definedName name="_xlnm.Print_Area" localSheetId="6">SQL詳細仕様!$A$1:$AZ$112</definedName>
    <definedName name="_xlnm.Print_Area" localSheetId="5">イベント仕様!$A$1:$AZ$183</definedName>
    <definedName name="_xlnm.Print_Area" localSheetId="3">画面レイアウト!$A$1:$AZ$40</definedName>
    <definedName name="_xlnm.Print_Area" localSheetId="1">改版履歴!$A$1:$AZ$39</definedName>
    <definedName name="_xlnm.Print_Area" localSheetId="2">機能概要!$A$1:$AZ$35</definedName>
    <definedName name="_xlnm.Print_Area" localSheetId="4">項目仕様!$A$1:$AZ$31</definedName>
    <definedName name="_xlnm.Print_Titles" localSheetId="5">イベント仕様!$1:$5</definedName>
    <definedName name="_xlnm.Print_Titles" localSheetId="3">画面レイアウト!$1:$4</definedName>
    <definedName name="_xlnm.Print_Titles" localSheetId="1">改版履歴!$1:$5</definedName>
  </definedNames>
  <calcPr calcId="191029"/>
</workbook>
</file>

<file path=xl/calcChain.xml><?xml version="1.0" encoding="utf-8"?>
<calcChain xmlns="http://schemas.openxmlformats.org/spreadsheetml/2006/main">
  <c r="BA90" i="668" l="1"/>
  <c r="BA91" i="668"/>
  <c r="BA89" i="668"/>
  <c r="BA88" i="668"/>
  <c r="BA103" i="668" l="1"/>
  <c r="BA102" i="668"/>
  <c r="BA101" i="668"/>
  <c r="BA100" i="668"/>
  <c r="BA99" i="668"/>
  <c r="BA98" i="668"/>
  <c r="BA97" i="668"/>
  <c r="BA96" i="668"/>
  <c r="BA95" i="668"/>
  <c r="BA94" i="668"/>
  <c r="BA93" i="668"/>
  <c r="BA92" i="668"/>
  <c r="BA87" i="668"/>
  <c r="BA86" i="668"/>
  <c r="BA85" i="668"/>
  <c r="BA84" i="668"/>
  <c r="BA83" i="668"/>
  <c r="BA82" i="668"/>
  <c r="BA81" i="668"/>
  <c r="BA80" i="668"/>
  <c r="BA79" i="668"/>
  <c r="BA78" i="668"/>
  <c r="BA77" i="668"/>
  <c r="BA76" i="668"/>
  <c r="BA75" i="668"/>
  <c r="BA74" i="668"/>
  <c r="BA73" i="668"/>
  <c r="BA72" i="668"/>
  <c r="BA71" i="668"/>
  <c r="BA70" i="668"/>
  <c r="BA69" i="668"/>
  <c r="BA68" i="668"/>
  <c r="BA67" i="668"/>
  <c r="BA66" i="668"/>
  <c r="BA65" i="668"/>
  <c r="BA64" i="668"/>
  <c r="BA63" i="668"/>
  <c r="BA62" i="668"/>
  <c r="BA61" i="668"/>
  <c r="BA60" i="668"/>
  <c r="BA59" i="668"/>
  <c r="BA58" i="668"/>
  <c r="BA57" i="668"/>
  <c r="BA56" i="668"/>
  <c r="BA55" i="668"/>
  <c r="BA54" i="668"/>
  <c r="BA53" i="668"/>
  <c r="BA120" i="666" l="1"/>
  <c r="C120" i="666"/>
  <c r="BA54" i="666" l="1"/>
  <c r="C54" i="666"/>
  <c r="BA53" i="666"/>
  <c r="C53" i="666"/>
  <c r="BA52" i="666"/>
  <c r="C52" i="666"/>
  <c r="BA69" i="666"/>
  <c r="C69" i="666"/>
  <c r="BA68" i="666"/>
  <c r="C68" i="666"/>
  <c r="BA51" i="666"/>
  <c r="C51" i="666"/>
  <c r="BA118" i="666"/>
  <c r="C118" i="666"/>
  <c r="BA119" i="666"/>
  <c r="C119" i="666"/>
  <c r="BA117" i="666"/>
  <c r="C117" i="666"/>
  <c r="C63" i="666"/>
  <c r="BA47" i="666"/>
  <c r="BA46" i="666"/>
  <c r="C46" i="666"/>
  <c r="C155" i="666" l="1"/>
  <c r="C156" i="666"/>
  <c r="C158" i="666"/>
  <c r="C159" i="666"/>
  <c r="C160" i="666"/>
  <c r="C161" i="666"/>
  <c r="C162" i="666"/>
  <c r="C163" i="666"/>
  <c r="C164" i="666"/>
  <c r="C165" i="666"/>
  <c r="C166" i="666"/>
  <c r="C167" i="666"/>
  <c r="C168" i="666"/>
  <c r="C169" i="666"/>
  <c r="C170" i="666"/>
  <c r="C171" i="666"/>
  <c r="C172" i="666"/>
  <c r="C173" i="666"/>
  <c r="C174" i="666"/>
  <c r="C175" i="666"/>
  <c r="C176" i="666"/>
  <c r="C177" i="666"/>
  <c r="C178" i="666"/>
  <c r="C179" i="666"/>
  <c r="C180" i="666"/>
  <c r="C181" i="666"/>
  <c r="C182" i="666"/>
  <c r="C104" i="666"/>
  <c r="C105" i="666"/>
  <c r="C106" i="666"/>
  <c r="C107" i="666"/>
  <c r="C108" i="666"/>
  <c r="C109" i="666"/>
  <c r="C110" i="666"/>
  <c r="C111" i="666"/>
  <c r="C112" i="666"/>
  <c r="C113" i="666"/>
  <c r="C114" i="666"/>
  <c r="C115" i="666"/>
  <c r="C116" i="666"/>
  <c r="C122" i="666"/>
  <c r="C123" i="666"/>
  <c r="C124" i="666"/>
  <c r="C125" i="666"/>
  <c r="C126" i="666"/>
  <c r="C127" i="666"/>
  <c r="C128" i="666"/>
  <c r="C129" i="666"/>
  <c r="C130" i="666"/>
  <c r="C131" i="666"/>
  <c r="C132" i="666"/>
  <c r="C133" i="666"/>
  <c r="C134" i="666"/>
  <c r="C135" i="666"/>
  <c r="C136" i="666"/>
  <c r="C137" i="666"/>
  <c r="C138" i="666"/>
  <c r="C139" i="666"/>
  <c r="C140" i="666"/>
  <c r="C141" i="666"/>
  <c r="C142" i="666"/>
  <c r="C143" i="666"/>
  <c r="C144" i="666"/>
  <c r="C145" i="666"/>
  <c r="C146" i="666"/>
  <c r="C147" i="666"/>
  <c r="C148" i="666"/>
  <c r="C149" i="666"/>
  <c r="C150" i="666"/>
  <c r="C151" i="666"/>
  <c r="C152" i="666"/>
  <c r="C153" i="666"/>
  <c r="C154" i="666"/>
  <c r="C8" i="666"/>
  <c r="C9" i="666"/>
  <c r="C10" i="666"/>
  <c r="C11" i="666"/>
  <c r="C12" i="666"/>
  <c r="C13" i="666"/>
  <c r="C14" i="666"/>
  <c r="C15" i="666"/>
  <c r="C16" i="666"/>
  <c r="C17" i="666"/>
  <c r="C18" i="666"/>
  <c r="C19" i="666"/>
  <c r="C20" i="666"/>
  <c r="C21" i="666"/>
  <c r="C22" i="666"/>
  <c r="C23" i="666"/>
  <c r="C24" i="666"/>
  <c r="C25" i="666"/>
  <c r="C26" i="666"/>
  <c r="C27" i="666"/>
  <c r="C29" i="666"/>
  <c r="C30" i="666"/>
  <c r="C31" i="666"/>
  <c r="C32" i="666"/>
  <c r="C33" i="666"/>
  <c r="C34" i="666"/>
  <c r="C35" i="666"/>
  <c r="C36" i="666"/>
  <c r="C37" i="666"/>
  <c r="C39" i="666"/>
  <c r="C40" i="666"/>
  <c r="C41" i="666"/>
  <c r="C42" i="666"/>
  <c r="C43" i="666"/>
  <c r="C44" i="666"/>
  <c r="C45" i="666"/>
  <c r="C47" i="666"/>
  <c r="C48" i="666"/>
  <c r="C49" i="666"/>
  <c r="C50" i="666"/>
  <c r="C55" i="666"/>
  <c r="C57" i="666"/>
  <c r="C58" i="666"/>
  <c r="C59" i="666"/>
  <c r="C60" i="666"/>
  <c r="C61" i="666"/>
  <c r="C62" i="666"/>
  <c r="C64" i="666"/>
  <c r="C65" i="666"/>
  <c r="C66" i="666"/>
  <c r="C67" i="666"/>
  <c r="C70" i="666"/>
  <c r="C71" i="666"/>
  <c r="C72" i="666"/>
  <c r="C75" i="666"/>
  <c r="C76" i="666"/>
  <c r="C77" i="666"/>
  <c r="C78" i="666"/>
  <c r="C80" i="666"/>
  <c r="C81" i="666"/>
  <c r="C82" i="666"/>
  <c r="C83" i="666"/>
  <c r="C85" i="666"/>
  <c r="C86" i="666"/>
  <c r="C87" i="666"/>
  <c r="C88" i="666"/>
  <c r="C90" i="666"/>
  <c r="C91" i="666"/>
  <c r="C92" i="666"/>
  <c r="C93" i="666"/>
  <c r="C94" i="666"/>
  <c r="C95" i="666"/>
  <c r="C96" i="666"/>
  <c r="C97" i="666"/>
  <c r="C98" i="666"/>
  <c r="C99" i="666"/>
  <c r="C100" i="666"/>
  <c r="C101" i="666"/>
  <c r="C102" i="666"/>
  <c r="C7" i="666"/>
  <c r="AG3" i="672" l="1"/>
  <c r="V3" i="672"/>
  <c r="K3" i="672"/>
  <c r="AG2" i="672"/>
  <c r="V2" i="672"/>
  <c r="K2" i="672"/>
  <c r="A39" i="672"/>
  <c r="A38" i="672"/>
  <c r="A37" i="672"/>
  <c r="A36" i="672"/>
  <c r="A35" i="672"/>
  <c r="A34" i="672"/>
  <c r="A33" i="672"/>
  <c r="A32" i="672"/>
  <c r="A31" i="672"/>
  <c r="A30" i="672"/>
  <c r="A29" i="672"/>
  <c r="A28" i="672"/>
  <c r="A27" i="672"/>
  <c r="A26" i="672"/>
  <c r="A25" i="672"/>
  <c r="A24" i="672"/>
  <c r="A23" i="672"/>
  <c r="A22" i="672"/>
  <c r="A21" i="672"/>
  <c r="A20" i="672"/>
  <c r="A19" i="672"/>
  <c r="A18" i="672"/>
  <c r="A17" i="672"/>
  <c r="A16" i="672"/>
  <c r="A15" i="672"/>
  <c r="A14" i="672"/>
  <c r="A13" i="672"/>
  <c r="A12" i="672"/>
  <c r="A11" i="672"/>
  <c r="A10" i="672"/>
  <c r="A9" i="672"/>
  <c r="A8" i="672"/>
  <c r="A7" i="672"/>
  <c r="A6" i="672"/>
  <c r="B10" i="644" l="1"/>
  <c r="B11" i="644"/>
  <c r="B12" i="644"/>
  <c r="AG3" i="668" l="1"/>
  <c r="V3" i="668"/>
  <c r="K3" i="668"/>
  <c r="AG2" i="668"/>
  <c r="V2" i="668"/>
  <c r="K2" i="668"/>
  <c r="AG3" i="666"/>
  <c r="V3" i="666"/>
  <c r="K3" i="666"/>
  <c r="AG2" i="666"/>
  <c r="V2" i="666"/>
  <c r="K2" i="666"/>
  <c r="BA112" i="668"/>
  <c r="BA111" i="668"/>
  <c r="BA110" i="668"/>
  <c r="BA109" i="668"/>
  <c r="BA108" i="668"/>
  <c r="BA107" i="668"/>
  <c r="BA106" i="668"/>
  <c r="BA105" i="668"/>
  <c r="BA104" i="668"/>
  <c r="BA52" i="668"/>
  <c r="BA51" i="668"/>
  <c r="BA50" i="668"/>
  <c r="BA49" i="668"/>
  <c r="BA48" i="668"/>
  <c r="BA47" i="668"/>
  <c r="BA46" i="668"/>
  <c r="BA45" i="668"/>
  <c r="BA44" i="668"/>
  <c r="BA43" i="668"/>
  <c r="BA42" i="668"/>
  <c r="BA40" i="668"/>
  <c r="BA39" i="668"/>
  <c r="BA38" i="668"/>
  <c r="BA37" i="668"/>
  <c r="BA36" i="668"/>
  <c r="BA35" i="668"/>
  <c r="BA34" i="668"/>
  <c r="BA33" i="668"/>
  <c r="BA32" i="668"/>
  <c r="BA31" i="668"/>
  <c r="BA29" i="668"/>
  <c r="BA28" i="668"/>
  <c r="BA27" i="668"/>
  <c r="BA26" i="668"/>
  <c r="BA18" i="668"/>
  <c r="BA17" i="668"/>
  <c r="BA16" i="668"/>
  <c r="BA8" i="668"/>
  <c r="BA7" i="668"/>
  <c r="BA6" i="668"/>
  <c r="BF2" i="668"/>
  <c r="BE2" i="668"/>
  <c r="BD2" i="668"/>
  <c r="BG2" i="668" s="1"/>
  <c r="BB186" i="666"/>
  <c r="BB185" i="666"/>
  <c r="BB184" i="666"/>
  <c r="BA183" i="666"/>
  <c r="BA182" i="666"/>
  <c r="BA181" i="666"/>
  <c r="BA180" i="666"/>
  <c r="BA179" i="666"/>
  <c r="BA178" i="666"/>
  <c r="BA177" i="666"/>
  <c r="BA176" i="666"/>
  <c r="BA175" i="666"/>
  <c r="BA174" i="666"/>
  <c r="BA173" i="666"/>
  <c r="BA172" i="666"/>
  <c r="BA171" i="666"/>
  <c r="BA170" i="666"/>
  <c r="BA169" i="666"/>
  <c r="BA168" i="666"/>
  <c r="BA167" i="666"/>
  <c r="BA166" i="666"/>
  <c r="BA165" i="666"/>
  <c r="BA164" i="666"/>
  <c r="BA163" i="666"/>
  <c r="BA161" i="666"/>
  <c r="BA159" i="666"/>
  <c r="BA157" i="666"/>
  <c r="BA156" i="666"/>
  <c r="BA155" i="666"/>
  <c r="BA153" i="666"/>
  <c r="BA152" i="666"/>
  <c r="BA150" i="666"/>
  <c r="BA149" i="666"/>
  <c r="BA148" i="666"/>
  <c r="BA146" i="666"/>
  <c r="BA145" i="666"/>
  <c r="BA143" i="666"/>
  <c r="BA142" i="666"/>
  <c r="BA141" i="666"/>
  <c r="BA140" i="666"/>
  <c r="BA138" i="666"/>
  <c r="BA137" i="666"/>
  <c r="BA136" i="666"/>
  <c r="BA135" i="666"/>
  <c r="BA133" i="666"/>
  <c r="BA132" i="666"/>
  <c r="BA130" i="666"/>
  <c r="BA129" i="666"/>
  <c r="BA128" i="666"/>
  <c r="BA126" i="666"/>
  <c r="BA125" i="666"/>
  <c r="BA123" i="666"/>
  <c r="BA122" i="666"/>
  <c r="BA121" i="666"/>
  <c r="BA116" i="666"/>
  <c r="BA114" i="666"/>
  <c r="BA113" i="666"/>
  <c r="BA112" i="666"/>
  <c r="BA111" i="666"/>
  <c r="BA109" i="666"/>
  <c r="BA108" i="666"/>
  <c r="BA107" i="666"/>
  <c r="BA106" i="666"/>
  <c r="BA104" i="666"/>
  <c r="BA103" i="666"/>
  <c r="BA102" i="666"/>
  <c r="BA101" i="666"/>
  <c r="BA99" i="666"/>
  <c r="BA98" i="666"/>
  <c r="BA97" i="666"/>
  <c r="BA96" i="666"/>
  <c r="BA94" i="666"/>
  <c r="BA93" i="666"/>
  <c r="BA92" i="666"/>
  <c r="BA90" i="666"/>
  <c r="BA89" i="666"/>
  <c r="BA88" i="666"/>
  <c r="BA87" i="666"/>
  <c r="BA85" i="666"/>
  <c r="BA84" i="666"/>
  <c r="BA83" i="666"/>
  <c r="BA82" i="666"/>
  <c r="BA80" i="666"/>
  <c r="BA79" i="666"/>
  <c r="BA78" i="666"/>
  <c r="BA77" i="666"/>
  <c r="BA75" i="666"/>
  <c r="BA74" i="666"/>
  <c r="BA73" i="666"/>
  <c r="BA72" i="666"/>
  <c r="BA70" i="666"/>
  <c r="BA66" i="666"/>
  <c r="BA65" i="666"/>
  <c r="BA56" i="666"/>
  <c r="BA55" i="666"/>
  <c r="BA50" i="666"/>
  <c r="BA48" i="666"/>
  <c r="BA38" i="666"/>
  <c r="BA37" i="666"/>
  <c r="BA35" i="666"/>
  <c r="BA34" i="666"/>
  <c r="BA32" i="666"/>
  <c r="BA31" i="666"/>
  <c r="BA30" i="666"/>
  <c r="BA28" i="666"/>
  <c r="BA27" i="666"/>
  <c r="BA25" i="666"/>
  <c r="BA24" i="666"/>
  <c r="BA22" i="666"/>
  <c r="BA21" i="666"/>
  <c r="BA20" i="666"/>
  <c r="BA18" i="666"/>
  <c r="BA17" i="666"/>
  <c r="BA16" i="666"/>
  <c r="BA14" i="666"/>
  <c r="BA13" i="666"/>
  <c r="BA12" i="666"/>
  <c r="BA11" i="666"/>
  <c r="BA9" i="666"/>
  <c r="BA8" i="666"/>
  <c r="BA7" i="666"/>
  <c r="BA6" i="666"/>
  <c r="BF2" i="666"/>
  <c r="BE2" i="666"/>
  <c r="BD2" i="666"/>
  <c r="BG2" i="666" s="1"/>
  <c r="BA10" i="666" l="1"/>
  <c r="BA9" i="668"/>
  <c r="BA15" i="666" l="1"/>
  <c r="BA10" i="668"/>
  <c r="BA11" i="668" l="1"/>
  <c r="BA19" i="666"/>
  <c r="BA12" i="668" l="1"/>
  <c r="BA23" i="666"/>
  <c r="BA13" i="668" l="1"/>
  <c r="BA26" i="666"/>
  <c r="BA14" i="668" l="1"/>
  <c r="BA15" i="668" s="1"/>
  <c r="BA29" i="666"/>
  <c r="BA33" i="666"/>
  <c r="BA19" i="668" l="1"/>
  <c r="BA36" i="666"/>
  <c r="BA20" i="668" l="1"/>
  <c r="BA21" i="668" s="1"/>
  <c r="BA39" i="666"/>
  <c r="BA22" i="668" l="1"/>
  <c r="BA23" i="668" s="1"/>
  <c r="BA24" i="668" s="1"/>
  <c r="BA25" i="668" s="1"/>
  <c r="BA41" i="668" s="1"/>
  <c r="BA40" i="666"/>
  <c r="BA41" i="666" l="1"/>
  <c r="BA42" i="666" s="1"/>
  <c r="BA43" i="666" s="1"/>
  <c r="BA44" i="666" s="1"/>
  <c r="BA45" i="666" s="1"/>
  <c r="BA49" i="666" s="1"/>
  <c r="BA57" i="666" s="1"/>
  <c r="BA58" i="666" l="1"/>
  <c r="BA59" i="666" s="1"/>
  <c r="BA60" i="666" s="1"/>
  <c r="BA61" i="666" s="1"/>
  <c r="BA62" i="666" s="1"/>
  <c r="BA9" i="640"/>
  <c r="BA64" i="666" l="1"/>
  <c r="BA67" i="666" s="1"/>
  <c r="BA71" i="666" s="1"/>
  <c r="BA76" i="666" s="1"/>
  <c r="BA81" i="666" s="1"/>
  <c r="BA86" i="666" s="1"/>
  <c r="BA91" i="666" s="1"/>
  <c r="BA95" i="666" s="1"/>
  <c r="BA100" i="666" s="1"/>
  <c r="BA105" i="666" s="1"/>
  <c r="BA110" i="666" s="1"/>
  <c r="BA124" i="666" s="1"/>
  <c r="BA127" i="666" s="1"/>
  <c r="BA131" i="666" s="1"/>
  <c r="BA134" i="666" s="1"/>
  <c r="BA139" i="666" s="1"/>
  <c r="BA144" i="666" s="1"/>
  <c r="BA147" i="666" s="1"/>
  <c r="BA151" i="666" s="1"/>
  <c r="BA154" i="666" s="1"/>
  <c r="BA158" i="666" s="1"/>
  <c r="BA160" i="666" s="1"/>
  <c r="BA162" i="666" s="1"/>
  <c r="BA63" i="666"/>
  <c r="AG3" i="629"/>
  <c r="AG2" i="629"/>
  <c r="U31" i="640" l="1"/>
  <c r="AG2" i="665" l="1"/>
  <c r="U6" i="640" l="1"/>
  <c r="BF2" i="640"/>
  <c r="BE2" i="640"/>
  <c r="BD2" i="640"/>
  <c r="BG2" i="640" s="1"/>
  <c r="A6" i="640"/>
  <c r="A7" i="640" s="1"/>
  <c r="A8" i="640" s="1"/>
  <c r="K2" i="629"/>
  <c r="V2" i="629"/>
  <c r="K3" i="629"/>
  <c r="V3" i="629"/>
  <c r="K2" i="665"/>
  <c r="V2" i="665"/>
  <c r="K3" i="665"/>
  <c r="V3" i="665"/>
  <c r="AG3" i="665"/>
  <c r="K2" i="640"/>
  <c r="V2" i="640"/>
  <c r="AG2" i="640"/>
  <c r="K3" i="640"/>
  <c r="V3" i="640"/>
  <c r="AG3" i="640"/>
  <c r="C6" i="640" s="1"/>
  <c r="BA6" i="640"/>
  <c r="BA8" i="640"/>
  <c r="BA17" i="640"/>
  <c r="BA31" i="640"/>
  <c r="B7" i="644"/>
  <c r="B8" i="644"/>
  <c r="B9" i="644"/>
  <c r="A9" i="640" l="1"/>
  <c r="A10" i="640" s="1"/>
  <c r="A11" i="640" s="1"/>
  <c r="A12" i="640" s="1"/>
  <c r="A13" i="640" s="1"/>
  <c r="A14" i="640" l="1"/>
  <c r="A15" i="640" s="1"/>
  <c r="A16" i="640" s="1"/>
  <c r="A17" i="640" s="1"/>
  <c r="A18" i="640" l="1"/>
  <c r="A19" i="640" s="1"/>
  <c r="A20" i="640" s="1"/>
  <c r="C38" i="666"/>
  <c r="C79" i="666"/>
  <c r="C89" i="666"/>
  <c r="C157" i="666"/>
  <c r="C56" i="666"/>
  <c r="C6" i="666"/>
  <c r="C28" i="666"/>
  <c r="C74" i="666"/>
  <c r="A21" i="640" l="1"/>
  <c r="A22" i="640" s="1"/>
  <c r="A23" i="640" s="1"/>
  <c r="A24" i="640" s="1"/>
  <c r="A25" i="640" s="1"/>
  <c r="A26" i="640" s="1"/>
  <c r="A27" i="640"/>
  <c r="A29" i="640" s="1"/>
  <c r="C73" i="666" s="1"/>
  <c r="C103" i="666"/>
  <c r="C84" i="666"/>
  <c r="C121" i="66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nexs</author>
  </authors>
  <commentList>
    <comment ref="K10" authorId="0" shapeId="0" xr:uid="{00000000-0006-0000-0000-000001000000}">
      <text>
        <r>
          <rPr>
            <b/>
            <sz val="9"/>
            <color indexed="81"/>
            <rFont val="ＭＳ Ｐゴシック"/>
            <family val="3"/>
            <charset val="128"/>
          </rPr>
          <t>画面レイアウト／帳票レイアウト
を切り分けてください。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nexs</author>
  </authors>
  <commentList>
    <comment ref="O6" authorId="0" shapeId="0" xr:uid="{55C55419-129C-4F82-835F-21CA82510E4D}">
      <text>
        <r>
          <rPr>
            <b/>
            <sz val="9"/>
            <color indexed="12"/>
            <rFont val="ＭＳ Ｐゴシック"/>
            <family val="3"/>
            <charset val="128"/>
          </rPr>
          <t>各シート毎には作成者、更新者、日付を削除しましたのでここに詳しく記載するようにしてください。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1134601004853</author>
  </authors>
  <commentList>
    <comment ref="AQ5" authorId="0" shapeId="0" xr:uid="{00000000-0006-0000-0400-000001000000}">
      <text>
        <r>
          <rPr>
            <b/>
            <sz val="9"/>
            <color indexed="81"/>
            <rFont val="ＭＳ Ｐゴシック"/>
            <family val="3"/>
            <charset val="128"/>
          </rPr>
          <t>画面レイアウトのみでは
つたわらない仕様を補記する。</t>
        </r>
      </text>
    </comment>
  </commentList>
</comments>
</file>

<file path=xl/sharedStrings.xml><?xml version="1.0" encoding="utf-8"?>
<sst xmlns="http://schemas.openxmlformats.org/spreadsheetml/2006/main" count="831" uniqueCount="407">
  <si>
    <t>値の参照元</t>
    <rPh sb="0" eb="1">
      <t>アタイ</t>
    </rPh>
    <rPh sb="2" eb="4">
      <t>サンショウ</t>
    </rPh>
    <rPh sb="4" eb="5">
      <t>モト</t>
    </rPh>
    <phoneticPr fontId="2"/>
  </si>
  <si>
    <t>・画面中央</t>
    <rPh sb="1" eb="3">
      <t>ガメン</t>
    </rPh>
    <rPh sb="3" eb="5">
      <t>チュウオウ</t>
    </rPh>
    <phoneticPr fontId="2"/>
  </si>
  <si>
    <t>名称</t>
    <rPh sb="0" eb="2">
      <t>メイショウ</t>
    </rPh>
    <phoneticPr fontId="2"/>
  </si>
  <si>
    <t>「▼項目」カテゴリ内で、テスト内容欄最も右端の欄のヘッダ名</t>
    <rPh sb="2" eb="4">
      <t>コウモク</t>
    </rPh>
    <rPh sb="9" eb="10">
      <t>ナイ</t>
    </rPh>
    <rPh sb="15" eb="17">
      <t>ナイヨウ</t>
    </rPh>
    <rPh sb="17" eb="18">
      <t>ラン</t>
    </rPh>
    <rPh sb="18" eb="19">
      <t>モット</t>
    </rPh>
    <rPh sb="20" eb="21">
      <t>ミギ</t>
    </rPh>
    <rPh sb="21" eb="22">
      <t>ハシ</t>
    </rPh>
    <rPh sb="23" eb="24">
      <t>ラン</t>
    </rPh>
    <rPh sb="28" eb="29">
      <t>メイ</t>
    </rPh>
    <phoneticPr fontId="2"/>
  </si>
  <si>
    <t>「▼出力項目」カテゴリ内で、テスト内容欄最も左端の欄のヘッダ名</t>
    <rPh sb="2" eb="4">
      <t>シュツリョク</t>
    </rPh>
    <rPh sb="4" eb="6">
      <t>コウモク</t>
    </rPh>
    <rPh sb="11" eb="12">
      <t>ナイ</t>
    </rPh>
    <rPh sb="17" eb="19">
      <t>ナイヨウ</t>
    </rPh>
    <rPh sb="19" eb="20">
      <t>ラン</t>
    </rPh>
    <rPh sb="20" eb="21">
      <t>モット</t>
    </rPh>
    <rPh sb="22" eb="24">
      <t>ヒダリハシ</t>
    </rPh>
    <rPh sb="25" eb="26">
      <t>ラン</t>
    </rPh>
    <rPh sb="30" eb="31">
      <t>メイ</t>
    </rPh>
    <phoneticPr fontId="2"/>
  </si>
  <si>
    <t>「▼出力項目」カテゴリ内で、テスト内容欄最も右端のヘッダ名</t>
    <rPh sb="2" eb="4">
      <t>シュツリョク</t>
    </rPh>
    <rPh sb="4" eb="6">
      <t>コウモク</t>
    </rPh>
    <rPh sb="11" eb="12">
      <t>ナイ</t>
    </rPh>
    <rPh sb="17" eb="19">
      <t>ナイヨウ</t>
    </rPh>
    <rPh sb="19" eb="20">
      <t>ラン</t>
    </rPh>
    <rPh sb="20" eb="21">
      <t>モット</t>
    </rPh>
    <rPh sb="22" eb="24">
      <t>ミギハシ</t>
    </rPh>
    <rPh sb="28" eb="29">
      <t>メイ</t>
    </rPh>
    <phoneticPr fontId="2"/>
  </si>
  <si>
    <t>セット方法、またはフォーマット等</t>
    <phoneticPr fontId="2"/>
  </si>
  <si>
    <t>仕様書になると二段に増える備考部分ヘッダ名と、二段目の名称</t>
    <rPh sb="0" eb="2">
      <t>シヨウ</t>
    </rPh>
    <rPh sb="2" eb="3">
      <t>ショ</t>
    </rPh>
    <rPh sb="7" eb="9">
      <t>ニダン</t>
    </rPh>
    <rPh sb="10" eb="11">
      <t>フ</t>
    </rPh>
    <rPh sb="13" eb="15">
      <t>ビコウ</t>
    </rPh>
    <rPh sb="15" eb="17">
      <t>ブブン</t>
    </rPh>
    <rPh sb="20" eb="21">
      <t>メイ</t>
    </rPh>
    <rPh sb="23" eb="26">
      <t>ニダンメ</t>
    </rPh>
    <rPh sb="27" eb="29">
      <t>メイショウ</t>
    </rPh>
    <phoneticPr fontId="2"/>
  </si>
  <si>
    <t>「▼項目」カテゴリ内で、テスト内容欄最も左端の欄のヘッダ名</t>
    <rPh sb="2" eb="4">
      <t>コウモク</t>
    </rPh>
    <rPh sb="9" eb="10">
      <t>ナイ</t>
    </rPh>
    <rPh sb="15" eb="17">
      <t>ナイヨウ</t>
    </rPh>
    <rPh sb="17" eb="18">
      <t>ラン</t>
    </rPh>
    <rPh sb="18" eb="19">
      <t>モット</t>
    </rPh>
    <rPh sb="20" eb="22">
      <t>ヒダリハシ</t>
    </rPh>
    <rPh sb="23" eb="24">
      <t>ラン</t>
    </rPh>
    <rPh sb="28" eb="29">
      <t>メイ</t>
    </rPh>
    <phoneticPr fontId="2"/>
  </si>
  <si>
    <t>№</t>
    <phoneticPr fontId="6"/>
  </si>
  <si>
    <t>I/O</t>
    <phoneticPr fontId="6"/>
  </si>
  <si>
    <t>説明</t>
    <rPh sb="0" eb="2">
      <t>セツメイ</t>
    </rPh>
    <phoneticPr fontId="2"/>
  </si>
  <si>
    <t>書式</t>
    <rPh sb="0" eb="2">
      <t>ショシキ</t>
    </rPh>
    <phoneticPr fontId="2"/>
  </si>
  <si>
    <r>
      <t>注：</t>
    </r>
    <r>
      <rPr>
        <sz val="11"/>
        <rFont val="ＭＳ Ｐゴシック"/>
        <family val="3"/>
        <charset val="128"/>
      </rPr>
      <t>これより下の部分は仕様書の構成に関わる設定です。この仕様書作成マクロは、以下の設定を見て動いています。</t>
    </r>
    <rPh sb="0" eb="1">
      <t>チュウ</t>
    </rPh>
    <rPh sb="6" eb="7">
      <t>シタ</t>
    </rPh>
    <rPh sb="8" eb="10">
      <t>ブブン</t>
    </rPh>
    <rPh sb="11" eb="14">
      <t>シヨウショ</t>
    </rPh>
    <rPh sb="15" eb="17">
      <t>コウセイ</t>
    </rPh>
    <rPh sb="18" eb="19">
      <t>カカ</t>
    </rPh>
    <rPh sb="21" eb="23">
      <t>セッテイ</t>
    </rPh>
    <rPh sb="28" eb="30">
      <t>シヨウ</t>
    </rPh>
    <rPh sb="30" eb="31">
      <t>ショ</t>
    </rPh>
    <rPh sb="31" eb="33">
      <t>サクセイ</t>
    </rPh>
    <rPh sb="38" eb="40">
      <t>イカ</t>
    </rPh>
    <rPh sb="41" eb="43">
      <t>セッテイ</t>
    </rPh>
    <rPh sb="44" eb="45">
      <t>ミ</t>
    </rPh>
    <rPh sb="46" eb="47">
      <t>ウゴ</t>
    </rPh>
    <phoneticPr fontId="2"/>
  </si>
  <si>
    <t>　　 仕様書の構成を変更する際には「画面項目説明」シートの構成を変更した後、細心の注意を払って以下の部分を変更してください。</t>
    <rPh sb="3" eb="6">
      <t>シヨウショ</t>
    </rPh>
    <phoneticPr fontId="2"/>
  </si>
  <si>
    <t>（二列のうち片方でよい）</t>
    <rPh sb="1" eb="3">
      <t>ニレツ</t>
    </rPh>
    <rPh sb="6" eb="8">
      <t>カタホウ</t>
    </rPh>
    <phoneticPr fontId="2"/>
  </si>
  <si>
    <t>上のヘッダ名が二段に分かれた際の分け方</t>
    <rPh sb="0" eb="1">
      <t>ウエ</t>
    </rPh>
    <rPh sb="5" eb="6">
      <t>メイ</t>
    </rPh>
    <rPh sb="7" eb="9">
      <t>ニダン</t>
    </rPh>
    <rPh sb="10" eb="11">
      <t>ワ</t>
    </rPh>
    <rPh sb="14" eb="15">
      <t>サイ</t>
    </rPh>
    <rPh sb="16" eb="17">
      <t>ワ</t>
    </rPh>
    <rPh sb="18" eb="19">
      <t>カタ</t>
    </rPh>
    <phoneticPr fontId="2"/>
  </si>
  <si>
    <t>(現状変更未対応に等しい状態です……）</t>
    <rPh sb="1" eb="3">
      <t>ゲンジョウ</t>
    </rPh>
    <rPh sb="3" eb="5">
      <t>ヘンコウ</t>
    </rPh>
    <rPh sb="5" eb="8">
      <t>ミタイオウ</t>
    </rPh>
    <rPh sb="9" eb="10">
      <t>ヒト</t>
    </rPh>
    <rPh sb="12" eb="14">
      <t>ジョウタイ</t>
    </rPh>
    <phoneticPr fontId="2"/>
  </si>
  <si>
    <t>（同上）</t>
    <rPh sb="1" eb="3">
      <t>ドウジョウ</t>
    </rPh>
    <phoneticPr fontId="2"/>
  </si>
  <si>
    <t>変更内容</t>
    <rPh sb="0" eb="2">
      <t>ヘンコウ</t>
    </rPh>
    <rPh sb="2" eb="4">
      <t>ナイヨウ</t>
    </rPh>
    <phoneticPr fontId="2"/>
  </si>
  <si>
    <t>【改版履歴】</t>
    <rPh sb="1" eb="3">
      <t>カイハン</t>
    </rPh>
    <rPh sb="3" eb="5">
      <t>リレキ</t>
    </rPh>
    <phoneticPr fontId="2"/>
  </si>
  <si>
    <t>【画面レイアウト】</t>
    <rPh sb="1" eb="3">
      <t>ガメン</t>
    </rPh>
    <phoneticPr fontId="2"/>
  </si>
  <si>
    <t>顧客名 / プロジェクト名</t>
    <rPh sb="0" eb="2">
      <t>コキャク</t>
    </rPh>
    <rPh sb="2" eb="3">
      <t>メイ</t>
    </rPh>
    <rPh sb="12" eb="13">
      <t>メイ</t>
    </rPh>
    <phoneticPr fontId="2"/>
  </si>
  <si>
    <t>システム名 / サブシステム名</t>
    <rPh sb="4" eb="5">
      <t>メイ</t>
    </rPh>
    <rPh sb="14" eb="15">
      <t>メイ</t>
    </rPh>
    <phoneticPr fontId="2"/>
  </si>
  <si>
    <t>機能ID / 機能名</t>
    <rPh sb="0" eb="2">
      <t>キノウ</t>
    </rPh>
    <rPh sb="7" eb="10">
      <t>キノウメイ</t>
    </rPh>
    <phoneticPr fontId="2"/>
  </si>
  <si>
    <t>項目名</t>
    <rPh sb="0" eb="2">
      <t>コウモク</t>
    </rPh>
    <rPh sb="2" eb="3">
      <t>メイ</t>
    </rPh>
    <phoneticPr fontId="6"/>
  </si>
  <si>
    <t>型</t>
    <rPh sb="0" eb="1">
      <t>カタ</t>
    </rPh>
    <phoneticPr fontId="6"/>
  </si>
  <si>
    <t>桁数</t>
    <rPh sb="0" eb="1">
      <t>ケタ</t>
    </rPh>
    <rPh sb="1" eb="2">
      <t>スウ</t>
    </rPh>
    <phoneticPr fontId="6"/>
  </si>
  <si>
    <t>説明</t>
    <rPh sb="0" eb="2">
      <t>セツメイ</t>
    </rPh>
    <phoneticPr fontId="6"/>
  </si>
  <si>
    <t>【項目仕様】</t>
    <rPh sb="1" eb="3">
      <t>コウモク</t>
    </rPh>
    <rPh sb="3" eb="5">
      <t>シヨウ</t>
    </rPh>
    <phoneticPr fontId="2"/>
  </si>
  <si>
    <t>No</t>
    <phoneticPr fontId="2"/>
  </si>
  <si>
    <t>№</t>
    <phoneticPr fontId="2"/>
  </si>
  <si>
    <t>補足</t>
    <rPh sb="0" eb="2">
      <t>ホソク</t>
    </rPh>
    <phoneticPr fontId="2"/>
  </si>
  <si>
    <t>仕様書構成</t>
    <rPh sb="0" eb="3">
      <t>シヨウショ</t>
    </rPh>
    <rPh sb="3" eb="5">
      <t>コウセイ</t>
    </rPh>
    <phoneticPr fontId="2"/>
  </si>
  <si>
    <t>設計区分</t>
    <rPh sb="0" eb="2">
      <t>セッケイ</t>
    </rPh>
    <rPh sb="2" eb="4">
      <t>クブン</t>
    </rPh>
    <phoneticPr fontId="2"/>
  </si>
  <si>
    <t>概要設計</t>
  </si>
  <si>
    <t>【表紙】</t>
    <rPh sb="1" eb="3">
      <t>ヒョウシ</t>
    </rPh>
    <phoneticPr fontId="2"/>
  </si>
  <si>
    <t>表紙</t>
    <rPh sb="0" eb="2">
      <t>ヒョウシ</t>
    </rPh>
    <phoneticPr fontId="2"/>
  </si>
  <si>
    <t>改版履歴</t>
    <rPh sb="0" eb="2">
      <t>カイハン</t>
    </rPh>
    <rPh sb="2" eb="4">
      <t>リレキ</t>
    </rPh>
    <phoneticPr fontId="2"/>
  </si>
  <si>
    <t>画面レイアウト</t>
    <rPh sb="0" eb="2">
      <t>ガメン</t>
    </rPh>
    <phoneticPr fontId="2"/>
  </si>
  <si>
    <t>項目仕様</t>
    <rPh sb="0" eb="2">
      <t>コウモク</t>
    </rPh>
    <rPh sb="2" eb="4">
      <t>シヨウ</t>
    </rPh>
    <phoneticPr fontId="2"/>
  </si>
  <si>
    <t>担当者</t>
    <rPh sb="0" eb="2">
      <t>タントウ</t>
    </rPh>
    <rPh sb="2" eb="3">
      <t>シャ</t>
    </rPh>
    <phoneticPr fontId="2"/>
  </si>
  <si>
    <t>更新日</t>
    <rPh sb="0" eb="3">
      <t>コウシンビ</t>
    </rPh>
    <phoneticPr fontId="2"/>
  </si>
  <si>
    <t>説明</t>
    <rPh sb="0" eb="2">
      <t>セツメイ</t>
    </rPh>
    <phoneticPr fontId="2"/>
  </si>
  <si>
    <t>I/O</t>
    <phoneticPr fontId="2"/>
  </si>
  <si>
    <t>セット方法、</t>
  </si>
  <si>
    <t>またはフォーマット等</t>
  </si>
  <si>
    <t>：現在のブック内の「画面項目説明」シートを元に新規シート「画面項目テスト仕様書」を作成します。既存の作成結果は「画面項目テスト仕様書第n版」に変更されます。</t>
    <rPh sb="1" eb="3">
      <t>ゲンザイ</t>
    </rPh>
    <rPh sb="7" eb="8">
      <t>ナイ</t>
    </rPh>
    <rPh sb="23" eb="25">
      <t>シンキ</t>
    </rPh>
    <rPh sb="47" eb="49">
      <t>キゾン</t>
    </rPh>
    <rPh sb="50" eb="52">
      <t>サクセイ</t>
    </rPh>
    <rPh sb="52" eb="54">
      <t>ケッカ</t>
    </rPh>
    <rPh sb="56" eb="58">
      <t>ガメン</t>
    </rPh>
    <rPh sb="58" eb="60">
      <t>コウモク</t>
    </rPh>
    <rPh sb="63" eb="65">
      <t>シヨウ</t>
    </rPh>
    <rPh sb="65" eb="66">
      <t>ショ</t>
    </rPh>
    <rPh sb="66" eb="67">
      <t>ダイ</t>
    </rPh>
    <rPh sb="68" eb="69">
      <t>ハン</t>
    </rPh>
    <rPh sb="71" eb="73">
      <t>ヘンコウ</t>
    </rPh>
    <phoneticPr fontId="2"/>
  </si>
  <si>
    <t>：このオプションを選択すると、テスト項目の無いテスト内容欄に「 - 」が挿入されます。</t>
    <rPh sb="9" eb="11">
      <t>センタク</t>
    </rPh>
    <rPh sb="18" eb="20">
      <t>コウモク</t>
    </rPh>
    <rPh sb="21" eb="22">
      <t>ナ</t>
    </rPh>
    <rPh sb="26" eb="28">
      <t>ナイヨウ</t>
    </rPh>
    <rPh sb="28" eb="29">
      <t>ラン</t>
    </rPh>
    <rPh sb="36" eb="38">
      <t>ソウニュウ</t>
    </rPh>
    <phoneticPr fontId="2"/>
  </si>
  <si>
    <t>：このオプションを選択すると、テスト項目の有無に関わらずテスト内容欄は空欄になります。</t>
    <rPh sb="9" eb="11">
      <t>センタク</t>
    </rPh>
    <rPh sb="18" eb="20">
      <t>コウモク</t>
    </rPh>
    <rPh sb="21" eb="23">
      <t>ウム</t>
    </rPh>
    <rPh sb="24" eb="25">
      <t>カカ</t>
    </rPh>
    <rPh sb="31" eb="33">
      <t>ナイヨウ</t>
    </rPh>
    <rPh sb="33" eb="34">
      <t>ラン</t>
    </rPh>
    <rPh sb="35" eb="37">
      <t>クウラン</t>
    </rPh>
    <phoneticPr fontId="2"/>
  </si>
  <si>
    <t>画面　又は</t>
  </si>
  <si>
    <t>No</t>
    <phoneticPr fontId="2"/>
  </si>
  <si>
    <t>項目のナンバーが振られているセルのヘッダ名</t>
    <rPh sb="0" eb="2">
      <t>コウモク</t>
    </rPh>
    <rPh sb="8" eb="9">
      <t>フ</t>
    </rPh>
    <rPh sb="20" eb="21">
      <t>メイ</t>
    </rPh>
    <phoneticPr fontId="2"/>
  </si>
  <si>
    <t>内容</t>
    <rPh sb="0" eb="2">
      <t>ナイヨウ</t>
    </rPh>
    <phoneticPr fontId="2"/>
  </si>
  <si>
    <t>必須</t>
    <rPh sb="0" eb="2">
      <t>ヒッス</t>
    </rPh>
    <phoneticPr fontId="6"/>
  </si>
  <si>
    <t>テキスト</t>
  </si>
  <si>
    <t>ボタン</t>
  </si>
  <si>
    <t>備考</t>
    <rPh sb="0" eb="2">
      <t>ビコウ</t>
    </rPh>
    <phoneticPr fontId="2"/>
  </si>
  <si>
    <t>・左寄せ</t>
    <rPh sb="1" eb="2">
      <t>ヒダリ</t>
    </rPh>
    <phoneticPr fontId="2"/>
  </si>
  <si>
    <t>I</t>
  </si>
  <si>
    <t>【機能概要】</t>
    <phoneticPr fontId="2"/>
  </si>
  <si>
    <t>■機能概要</t>
    <rPh sb="1" eb="3">
      <t>キノウ</t>
    </rPh>
    <rPh sb="3" eb="5">
      <t>ガイヨウ</t>
    </rPh>
    <phoneticPr fontId="2"/>
  </si>
  <si>
    <t>■仕様補足説明</t>
    <rPh sb="1" eb="3">
      <t>シヨウ</t>
    </rPh>
    <rPh sb="3" eb="5">
      <t>ホソク</t>
    </rPh>
    <rPh sb="5" eb="7">
      <t>セツメイ</t>
    </rPh>
    <phoneticPr fontId="2"/>
  </si>
  <si>
    <t>合計項目数</t>
  </si>
  <si>
    <t>初回合格数</t>
  </si>
  <si>
    <t>初回不合格数</t>
  </si>
  <si>
    <t>未処理数</t>
  </si>
  <si>
    <t>四象限</t>
    <phoneticPr fontId="2"/>
  </si>
  <si>
    <t>試験日</t>
  </si>
  <si>
    <t>試験者</t>
  </si>
  <si>
    <t>合否</t>
    <phoneticPr fontId="2"/>
  </si>
  <si>
    <t>完了日付</t>
  </si>
  <si>
    <t>新規作成</t>
    <rPh sb="0" eb="2">
      <t>シンキ</t>
    </rPh>
    <rPh sb="2" eb="4">
      <t>サクセイ</t>
    </rPh>
    <phoneticPr fontId="2"/>
  </si>
  <si>
    <t>－</t>
    <phoneticPr fontId="2"/>
  </si>
  <si>
    <t>・中央揃え</t>
    <rPh sb="1" eb="3">
      <t>チュウオウ</t>
    </rPh>
    <rPh sb="3" eb="4">
      <t>ゾロ</t>
    </rPh>
    <phoneticPr fontId="2"/>
  </si>
  <si>
    <t>日付</t>
  </si>
  <si>
    <t>選択</t>
  </si>
  <si>
    <t>【機能ボタン】</t>
    <rPh sb="1" eb="3">
      <t>キノウ</t>
    </rPh>
    <phoneticPr fontId="2"/>
  </si>
  <si>
    <t>BQ</t>
    <phoneticPr fontId="2"/>
  </si>
  <si>
    <t>BJ</t>
    <phoneticPr fontId="2"/>
  </si>
  <si>
    <t>受講管理システム</t>
    <phoneticPr fontId="2"/>
  </si>
  <si>
    <t>方面担当</t>
    <rPh sb="0" eb="2">
      <t>ホウメン</t>
    </rPh>
    <rPh sb="2" eb="4">
      <t>タントウ</t>
    </rPh>
    <phoneticPr fontId="2"/>
  </si>
  <si>
    <t>NPC中田</t>
    <rPh sb="3" eb="5">
      <t>ナカタ</t>
    </rPh>
    <phoneticPr fontId="2"/>
  </si>
  <si>
    <t>BJ990100E</t>
    <phoneticPr fontId="2"/>
  </si>
  <si>
    <t>ログインユーザマスタ管理</t>
    <rPh sb="10" eb="12">
      <t>カンリ</t>
    </rPh>
    <phoneticPr fontId="2"/>
  </si>
  <si>
    <t>・ログインユーザの管理やパスワードの管理を行う画面</t>
    <phoneticPr fontId="2"/>
  </si>
  <si>
    <t>マスタメンテナンス</t>
    <phoneticPr fontId="2"/>
  </si>
  <si>
    <t>※新規作成ボタン</t>
    <rPh sb="1" eb="3">
      <t>シンキ</t>
    </rPh>
    <rPh sb="3" eb="5">
      <t>サクセイ</t>
    </rPh>
    <phoneticPr fontId="2"/>
  </si>
  <si>
    <t>※修正</t>
    <phoneticPr fontId="2"/>
  </si>
  <si>
    <t>無効を含む</t>
    <rPh sb="0" eb="2">
      <t>ムコウ</t>
    </rPh>
    <rPh sb="3" eb="4">
      <t>フク</t>
    </rPh>
    <phoneticPr fontId="2"/>
  </si>
  <si>
    <t>【ログイン情報】</t>
    <rPh sb="5" eb="7">
      <t>ジョウホウ</t>
    </rPh>
    <phoneticPr fontId="2"/>
  </si>
  <si>
    <t>ログイン名</t>
    <rPh sb="4" eb="5">
      <t>メイ</t>
    </rPh>
    <phoneticPr fontId="2"/>
  </si>
  <si>
    <t>権限区分</t>
    <rPh sb="0" eb="2">
      <t>ケンゲン</t>
    </rPh>
    <rPh sb="2" eb="4">
      <t>クブン</t>
    </rPh>
    <phoneticPr fontId="2"/>
  </si>
  <si>
    <t>ログインID</t>
    <phoneticPr fontId="2"/>
  </si>
  <si>
    <t>パスワード変更日</t>
    <rPh sb="5" eb="8">
      <t>ヘンコウビ</t>
    </rPh>
    <phoneticPr fontId="2"/>
  </si>
  <si>
    <t>チェック</t>
  </si>
  <si>
    <t>参照テーブル</t>
    <rPh sb="0" eb="2">
      <t>サンショウ</t>
    </rPh>
    <phoneticPr fontId="2"/>
  </si>
  <si>
    <t>CRUD</t>
    <phoneticPr fontId="2"/>
  </si>
  <si>
    <t>更新テーブル</t>
    <rPh sb="0" eb="2">
      <t>コウシン</t>
    </rPh>
    <phoneticPr fontId="2"/>
  </si>
  <si>
    <t>出力テーブル</t>
    <rPh sb="0" eb="2">
      <t>シュツリョク</t>
    </rPh>
    <phoneticPr fontId="2"/>
  </si>
  <si>
    <t>帳票／出力ファイル</t>
    <rPh sb="0" eb="2">
      <t>チョウヒョウ</t>
    </rPh>
    <rPh sb="3" eb="5">
      <t>シュツリョク</t>
    </rPh>
    <phoneticPr fontId="2"/>
  </si>
  <si>
    <t>種類</t>
    <rPh sb="0" eb="2">
      <t>シュルイ</t>
    </rPh>
    <phoneticPr fontId="2"/>
  </si>
  <si>
    <t>Ｃ：CREATE（新規）
Ｒ：READ（参照）
Ｕ：UPDATE（更新）
Ｄ：DELETE（削除）</t>
    <phoneticPr fontId="2"/>
  </si>
  <si>
    <t>・一覧の行をダブルクリック</t>
    <phoneticPr fontId="2"/>
  </si>
  <si>
    <t>　することにより対応する明細</t>
    <phoneticPr fontId="2"/>
  </si>
  <si>
    <t>※無効を含む</t>
    <rPh sb="1" eb="3">
      <t>ムコウ</t>
    </rPh>
    <rPh sb="4" eb="5">
      <t>フク</t>
    </rPh>
    <phoneticPr fontId="2"/>
  </si>
  <si>
    <t>チェックされた場合、無効</t>
    <rPh sb="7" eb="9">
      <t>バアイ</t>
    </rPh>
    <rPh sb="10" eb="12">
      <t>ムコウ</t>
    </rPh>
    <phoneticPr fontId="2"/>
  </si>
  <si>
    <t>データを一覧表示対象と</t>
    <rPh sb="4" eb="6">
      <t>イチラン</t>
    </rPh>
    <rPh sb="6" eb="8">
      <t>ヒョウジ</t>
    </rPh>
    <rPh sb="8" eb="10">
      <t>タイショウ</t>
    </rPh>
    <phoneticPr fontId="2"/>
  </si>
  <si>
    <t>※ログイン情報</t>
    <rPh sb="5" eb="7">
      <t>ジョウホウ</t>
    </rPh>
    <phoneticPr fontId="2"/>
  </si>
  <si>
    <t>　は無効IDとする</t>
    <rPh sb="2" eb="4">
      <t>ムコウ</t>
    </rPh>
    <phoneticPr fontId="2"/>
  </si>
  <si>
    <t>・パスワードチェック</t>
    <phoneticPr fontId="2"/>
  </si>
  <si>
    <t>　8桁以上のチェックを行う</t>
    <rPh sb="2" eb="5">
      <t>ケタイジョウ</t>
    </rPh>
    <rPh sb="11" eb="12">
      <t>オコナ</t>
    </rPh>
    <phoneticPr fontId="2"/>
  </si>
  <si>
    <t>方面担当マスタ</t>
    <rPh sb="0" eb="2">
      <t>ホウメン</t>
    </rPh>
    <rPh sb="2" eb="4">
      <t>タントウ</t>
    </rPh>
    <phoneticPr fontId="2"/>
  </si>
  <si>
    <t>R</t>
    <phoneticPr fontId="2"/>
  </si>
  <si>
    <t>-</t>
    <phoneticPr fontId="2"/>
  </si>
  <si>
    <t>ログイン情報を初期表示する</t>
    <rPh sb="4" eb="6">
      <t>ジョウホウ</t>
    </rPh>
    <rPh sb="7" eb="9">
      <t>ショキ</t>
    </rPh>
    <rPh sb="9" eb="11">
      <t>ヒョウジ</t>
    </rPh>
    <phoneticPr fontId="2"/>
  </si>
  <si>
    <t>【ログイン情報一覧】</t>
    <rPh sb="5" eb="7">
      <t>ジョウホウ</t>
    </rPh>
    <rPh sb="7" eb="9">
      <t>イチラン</t>
    </rPh>
    <phoneticPr fontId="2"/>
  </si>
  <si>
    <t>ログインマスタ</t>
    <phoneticPr fontId="2"/>
  </si>
  <si>
    <t>方面担当マスタ
方面担当名称</t>
    <rPh sb="0" eb="2">
      <t>ホウメン</t>
    </rPh>
    <rPh sb="2" eb="4">
      <t>タントウ</t>
    </rPh>
    <phoneticPr fontId="2"/>
  </si>
  <si>
    <t>I/O</t>
  </si>
  <si>
    <t>　明細情報を初期表示し、</t>
    <phoneticPr fontId="2"/>
  </si>
  <si>
    <t>ログイン情報入力後、登録</t>
    <phoneticPr fontId="3"/>
  </si>
  <si>
    <t>ボタン押下でDB登録する</t>
    <phoneticPr fontId="2"/>
  </si>
  <si>
    <t>する</t>
    <phoneticPr fontId="2"/>
  </si>
  <si>
    <t>　情報を表示し修正可能とする</t>
    <phoneticPr fontId="2"/>
  </si>
  <si>
    <t>　英数字、記号の混在チェック</t>
    <rPh sb="1" eb="4">
      <t>エイスウジ</t>
    </rPh>
    <rPh sb="5" eb="7">
      <t>キゴウ</t>
    </rPh>
    <rPh sb="8" eb="10">
      <t>コンザイ</t>
    </rPh>
    <phoneticPr fontId="2"/>
  </si>
  <si>
    <t>　は行わない</t>
    <rPh sb="2" eb="3">
      <t>オコナ</t>
    </rPh>
    <phoneticPr fontId="2"/>
  </si>
  <si>
    <t>・無効チェックをチェック</t>
    <phoneticPr fontId="2"/>
  </si>
  <si>
    <t>　した場合、該当のログインID</t>
    <rPh sb="3" eb="5">
      <t>バアイ</t>
    </rPh>
    <rPh sb="6" eb="8">
      <t>ガイトウ</t>
    </rPh>
    <phoneticPr fontId="2"/>
  </si>
  <si>
    <t>表示対象にログインマスタ.無効フラグ＝1の情報を含むか否か
初期値：False</t>
    <rPh sb="27" eb="28">
      <t>イナ</t>
    </rPh>
    <phoneticPr fontId="2"/>
  </si>
  <si>
    <t>O</t>
  </si>
  <si>
    <t>ログインマスタ
ログイン名</t>
    <phoneticPr fontId="2"/>
  </si>
  <si>
    <t>パスワード</t>
    <phoneticPr fontId="2"/>
  </si>
  <si>
    <t>ログインマスタ
パスワード</t>
    <phoneticPr fontId="2"/>
  </si>
  <si>
    <t>ログインマスタ
パスワード変更日</t>
    <phoneticPr fontId="2"/>
  </si>
  <si>
    <t>（ログインマスタ.権限区分）
1：システム管理者、2：協会本部、3：方面本部</t>
    <rPh sb="9" eb="11">
      <t>ケンゲン</t>
    </rPh>
    <rPh sb="11" eb="13">
      <t>クブン</t>
    </rPh>
    <phoneticPr fontId="2"/>
  </si>
  <si>
    <t>中央揃え</t>
    <rPh sb="0" eb="2">
      <t>チュウオウ</t>
    </rPh>
    <rPh sb="2" eb="3">
      <t>ソロ</t>
    </rPh>
    <phoneticPr fontId="2"/>
  </si>
  <si>
    <t>初期値：フォーカス行の方面IDに紐づく方面担当名称
（新規作成時は空白）</t>
    <rPh sb="0" eb="2">
      <t>ショキ</t>
    </rPh>
    <rPh sb="2" eb="3">
      <t>チ</t>
    </rPh>
    <rPh sb="9" eb="10">
      <t>ギョウ</t>
    </rPh>
    <rPh sb="11" eb="13">
      <t>ホウメン</t>
    </rPh>
    <rPh sb="16" eb="17">
      <t>ヒモ</t>
    </rPh>
    <rPh sb="27" eb="29">
      <t>シンキ</t>
    </rPh>
    <rPh sb="29" eb="31">
      <t>サクセイ</t>
    </rPh>
    <rPh sb="31" eb="32">
      <t>ジ</t>
    </rPh>
    <rPh sb="33" eb="35">
      <t>クウハク</t>
    </rPh>
    <phoneticPr fontId="2"/>
  </si>
  <si>
    <t>初期値：フォーカス行のログイン名
（新規作成時は空白）</t>
    <rPh sb="0" eb="2">
      <t>ショキ</t>
    </rPh>
    <rPh sb="2" eb="3">
      <t>チ</t>
    </rPh>
    <rPh sb="9" eb="10">
      <t>ギョウ</t>
    </rPh>
    <phoneticPr fontId="2"/>
  </si>
  <si>
    <t>初期値：フォーカス行の権限区分名称
（新規作成時は空白）</t>
    <rPh sb="0" eb="2">
      <t>ショキ</t>
    </rPh>
    <rPh sb="2" eb="3">
      <t>チ</t>
    </rPh>
    <rPh sb="9" eb="10">
      <t>ギョウ</t>
    </rPh>
    <rPh sb="11" eb="13">
      <t>ケンゲン</t>
    </rPh>
    <rPh sb="13" eb="15">
      <t>クブン</t>
    </rPh>
    <rPh sb="15" eb="17">
      <t>メイショウ</t>
    </rPh>
    <phoneticPr fontId="2"/>
  </si>
  <si>
    <t>ログインID</t>
    <phoneticPr fontId="2"/>
  </si>
  <si>
    <t>初期値：フォーカス行のログインID
（新規作成時は空白）</t>
    <rPh sb="0" eb="2">
      <t>ショキ</t>
    </rPh>
    <rPh sb="2" eb="3">
      <t>チ</t>
    </rPh>
    <rPh sb="9" eb="10">
      <t>ギョウ</t>
    </rPh>
    <phoneticPr fontId="2"/>
  </si>
  <si>
    <t>初期値：フォーカス行のパスワード変更日
（新規作成時は空白）</t>
    <rPh sb="0" eb="2">
      <t>ショキ</t>
    </rPh>
    <rPh sb="2" eb="3">
      <t>チ</t>
    </rPh>
    <rPh sb="9" eb="10">
      <t>ギョウ</t>
    </rPh>
    <phoneticPr fontId="2"/>
  </si>
  <si>
    <t>初期値：フォーカス行の無効フラグ
（新規作成時はチェックなし）</t>
    <rPh sb="0" eb="2">
      <t>ショキ</t>
    </rPh>
    <rPh sb="2" eb="3">
      <t>チ</t>
    </rPh>
    <rPh sb="9" eb="10">
      <t>ギョウ</t>
    </rPh>
    <rPh sb="11" eb="13">
      <t>ムコウ</t>
    </rPh>
    <phoneticPr fontId="2"/>
  </si>
  <si>
    <t>CRU</t>
    <phoneticPr fontId="2"/>
  </si>
  <si>
    <t>ログインマスタ
ログインID</t>
    <phoneticPr fontId="2"/>
  </si>
  <si>
    <t>【イベント仕様】</t>
    <rPh sb="5" eb="7">
      <t>シヨウ</t>
    </rPh>
    <phoneticPr fontId="2"/>
  </si>
  <si>
    <t>項目名/オブジェクト名</t>
    <rPh sb="0" eb="2">
      <t>コウモク</t>
    </rPh>
    <rPh sb="2" eb="3">
      <t>メイ</t>
    </rPh>
    <rPh sb="10" eb="11">
      <t>メイ</t>
    </rPh>
    <phoneticPr fontId="6"/>
  </si>
  <si>
    <t>イベント名</t>
    <rPh sb="4" eb="5">
      <t>メイ</t>
    </rPh>
    <phoneticPr fontId="6"/>
  </si>
  <si>
    <t>画面ロード時処理</t>
    <rPh sb="0" eb="2">
      <t>ガメン</t>
    </rPh>
    <rPh sb="5" eb="6">
      <t>ジ</t>
    </rPh>
    <rPh sb="6" eb="8">
      <t>ショリ</t>
    </rPh>
    <phoneticPr fontId="2"/>
  </si>
  <si>
    <t>1</t>
    <phoneticPr fontId="2"/>
  </si>
  <si>
    <t>初期値表示処理</t>
    <rPh sb="0" eb="3">
      <t>ショキチ</t>
    </rPh>
    <rPh sb="3" eb="5">
      <t>ヒョウジ</t>
    </rPh>
    <rPh sb="5" eb="7">
      <t>ショリ</t>
    </rPh>
    <phoneticPr fontId="2"/>
  </si>
  <si>
    <t>1.1</t>
    <phoneticPr fontId="2"/>
  </si>
  <si>
    <t>各コンボボックスを作成する</t>
  </si>
  <si>
    <t>・・・画面ロード直後は選択不可、ログイン情報一覧のセルをクリック、</t>
    <rPh sb="3" eb="5">
      <t>ガメン</t>
    </rPh>
    <rPh sb="8" eb="10">
      <t>チョクゴ</t>
    </rPh>
    <rPh sb="11" eb="13">
      <t>センタク</t>
    </rPh>
    <rPh sb="13" eb="15">
      <t>フカ</t>
    </rPh>
    <rPh sb="20" eb="22">
      <t>ジョウホウ</t>
    </rPh>
    <rPh sb="22" eb="24">
      <t>イチラン</t>
    </rPh>
    <phoneticPr fontId="2"/>
  </si>
  <si>
    <t>または新規作成ボタン押下で選択可に</t>
    <rPh sb="3" eb="5">
      <t>シンキ</t>
    </rPh>
    <rPh sb="5" eb="7">
      <t>サクセイ</t>
    </rPh>
    <rPh sb="10" eb="12">
      <t>オウカ</t>
    </rPh>
    <rPh sb="13" eb="15">
      <t>センタク</t>
    </rPh>
    <rPh sb="15" eb="16">
      <t>カ</t>
    </rPh>
    <phoneticPr fontId="2"/>
  </si>
  <si>
    <t>・方面担当</t>
    <rPh sb="1" eb="3">
      <t>ホウメン</t>
    </rPh>
    <rPh sb="3" eb="5">
      <t>タントウ</t>
    </rPh>
    <phoneticPr fontId="11"/>
  </si>
  <si>
    <t>[リスト]</t>
  </si>
  <si>
    <t>正・単</t>
  </si>
  <si>
    <t>○</t>
  </si>
  <si>
    <t>▼</t>
  </si>
  <si>
    <t>削除フラグ='1'データは対象外</t>
  </si>
  <si>
    <t>方面担当略称</t>
  </si>
  <si>
    <t>方面ID :非表示</t>
    <rPh sb="0" eb="2">
      <t>ホウメン</t>
    </rPh>
    <rPh sb="6" eb="9">
      <t>ヒヒョウジ</t>
    </rPh>
    <phoneticPr fontId="2"/>
  </si>
  <si>
    <t>・権限区分</t>
    <rPh sb="1" eb="3">
      <t>ケンゲン</t>
    </rPh>
    <rPh sb="3" eb="5">
      <t>クブン</t>
    </rPh>
    <phoneticPr fontId="11"/>
  </si>
  <si>
    <t>権限区分名</t>
    <rPh sb="0" eb="2">
      <t>ケンゲン</t>
    </rPh>
    <rPh sb="2" eb="4">
      <t>クブン</t>
    </rPh>
    <rPh sb="4" eb="5">
      <t>メイ</t>
    </rPh>
    <phoneticPr fontId="2"/>
  </si>
  <si>
    <t>権限区分：非表示</t>
    <rPh sb="0" eb="2">
      <t>ケンゲン</t>
    </rPh>
    <rPh sb="2" eb="4">
      <t>クブン</t>
    </rPh>
    <rPh sb="5" eb="8">
      <t>ヒヒョウジ</t>
    </rPh>
    <phoneticPr fontId="2"/>
  </si>
  <si>
    <t>1.2</t>
    <phoneticPr fontId="2"/>
  </si>
  <si>
    <t>2</t>
    <phoneticPr fontId="2"/>
  </si>
  <si>
    <t>ログインマスタ情報の一覧表示</t>
    <rPh sb="7" eb="9">
      <t>ジョウホウ</t>
    </rPh>
    <rPh sb="10" eb="12">
      <t>イチラン</t>
    </rPh>
    <rPh sb="12" eb="14">
      <t>ヒョウジ</t>
    </rPh>
    <phoneticPr fontId="2"/>
  </si>
  <si>
    <t>2.1</t>
    <phoneticPr fontId="2"/>
  </si>
  <si>
    <t>ログインユーザ情報をログインユーザマスタから取得し、ログインユーザ情報一覧にセットする</t>
    <rPh sb="7" eb="9">
      <t>ジョウホウ</t>
    </rPh>
    <rPh sb="22" eb="24">
      <t>シュトク</t>
    </rPh>
    <rPh sb="33" eb="35">
      <t>ジョウホウ</t>
    </rPh>
    <rPh sb="35" eb="37">
      <t>イチラン</t>
    </rPh>
    <phoneticPr fontId="2"/>
  </si>
  <si>
    <t>SQLID：</t>
  </si>
  <si>
    <t>S1</t>
    <phoneticPr fontId="2"/>
  </si>
  <si>
    <t>引数.無効を含む＝False</t>
    <rPh sb="0" eb="2">
      <t>ヒキスウ</t>
    </rPh>
    <rPh sb="3" eb="5">
      <t>ムコウ</t>
    </rPh>
    <rPh sb="6" eb="7">
      <t>フク</t>
    </rPh>
    <phoneticPr fontId="2"/>
  </si>
  <si>
    <t>2.2</t>
    <phoneticPr fontId="2"/>
  </si>
  <si>
    <t>フォーカスを明細の1行目のセットする</t>
    <rPh sb="6" eb="8">
      <t>メイサイ</t>
    </rPh>
    <rPh sb="10" eb="12">
      <t>ギョウメ</t>
    </rPh>
    <phoneticPr fontId="2"/>
  </si>
  <si>
    <t>無効を含むチェックがＴＲＵＥの場合</t>
    <rPh sb="0" eb="2">
      <t>ムコウ</t>
    </rPh>
    <rPh sb="3" eb="4">
      <t>フク</t>
    </rPh>
    <rPh sb="15" eb="17">
      <t>バアイ</t>
    </rPh>
    <phoneticPr fontId="2"/>
  </si>
  <si>
    <t>引数.無効を含む＝True</t>
    <rPh sb="0" eb="2">
      <t>ヒキスウ</t>
    </rPh>
    <rPh sb="3" eb="5">
      <t>ムコウ</t>
    </rPh>
    <rPh sb="6" eb="7">
      <t>フク</t>
    </rPh>
    <phoneticPr fontId="2"/>
  </si>
  <si>
    <t>無効を含むチェックがFALSEの場合</t>
    <rPh sb="0" eb="2">
      <t>ムコウ</t>
    </rPh>
    <rPh sb="3" eb="4">
      <t>フク</t>
    </rPh>
    <rPh sb="16" eb="18">
      <t>バアイ</t>
    </rPh>
    <phoneticPr fontId="2"/>
  </si>
  <si>
    <t>3</t>
    <phoneticPr fontId="2"/>
  </si>
  <si>
    <t>行クリック、ダブルクリックの場合</t>
    <rPh sb="0" eb="1">
      <t>ギョウ</t>
    </rPh>
    <rPh sb="14" eb="16">
      <t>バアイ</t>
    </rPh>
    <phoneticPr fontId="2"/>
  </si>
  <si>
    <t>クリック行のの情報をログイン情報にセット表示する</t>
    <rPh sb="4" eb="5">
      <t>ギョウ</t>
    </rPh>
    <rPh sb="7" eb="9">
      <t>ジョウホウ</t>
    </rPh>
    <rPh sb="14" eb="16">
      <t>ジョウホウ</t>
    </rPh>
    <rPh sb="20" eb="22">
      <t>ヒョウジ</t>
    </rPh>
    <phoneticPr fontId="2"/>
  </si>
  <si>
    <t>画面.ログイン情報.方面担当</t>
    <rPh sb="0" eb="2">
      <t>ガメン</t>
    </rPh>
    <rPh sb="7" eb="9">
      <t>ジョウホウ</t>
    </rPh>
    <rPh sb="10" eb="12">
      <t>ホウメン</t>
    </rPh>
    <rPh sb="12" eb="14">
      <t>タントウ</t>
    </rPh>
    <phoneticPr fontId="2"/>
  </si>
  <si>
    <t>←</t>
    <phoneticPr fontId="2"/>
  </si>
  <si>
    <t>画面.グリット情報.方面担当</t>
    <rPh sb="0" eb="2">
      <t>ガメン</t>
    </rPh>
    <rPh sb="7" eb="9">
      <t>ジョウホウ</t>
    </rPh>
    <rPh sb="10" eb="12">
      <t>ホウメン</t>
    </rPh>
    <rPh sb="12" eb="14">
      <t>タントウ</t>
    </rPh>
    <phoneticPr fontId="2"/>
  </si>
  <si>
    <t>画面.ログイン情報.ログイン名</t>
    <rPh sb="14" eb="15">
      <t>メイ</t>
    </rPh>
    <phoneticPr fontId="2"/>
  </si>
  <si>
    <t>画面.グリット情報.ログイン名</t>
    <rPh sb="14" eb="15">
      <t>メイ</t>
    </rPh>
    <phoneticPr fontId="2"/>
  </si>
  <si>
    <t>画面.ログイン情報.権限区分</t>
    <rPh sb="10" eb="12">
      <t>ケンゲン</t>
    </rPh>
    <rPh sb="12" eb="14">
      <t>クブン</t>
    </rPh>
    <phoneticPr fontId="2"/>
  </si>
  <si>
    <t>画面.グリット情報.権限区分</t>
    <rPh sb="10" eb="12">
      <t>ケンゲン</t>
    </rPh>
    <rPh sb="12" eb="14">
      <t>クブン</t>
    </rPh>
    <phoneticPr fontId="2"/>
  </si>
  <si>
    <t>画面.ログイン情報.ログインID</t>
    <phoneticPr fontId="2"/>
  </si>
  <si>
    <t>画面.グリット情報.ログインID</t>
    <phoneticPr fontId="2"/>
  </si>
  <si>
    <t>画面.ログイン情報.パスワード</t>
    <phoneticPr fontId="2"/>
  </si>
  <si>
    <t>画面.グリット情報.パスワード</t>
    <phoneticPr fontId="2"/>
  </si>
  <si>
    <t>画面.ログイン情報.パスワード変更日</t>
    <rPh sb="15" eb="18">
      <t>ヘンコウビ</t>
    </rPh>
    <phoneticPr fontId="2"/>
  </si>
  <si>
    <t>画面.グリット情報.パスワード変更日</t>
    <rPh sb="15" eb="18">
      <t>ヘンコウビ</t>
    </rPh>
    <phoneticPr fontId="2"/>
  </si>
  <si>
    <t>画面.ログイン情報.有効無効フラグ</t>
    <rPh sb="10" eb="12">
      <t>ユウコウ</t>
    </rPh>
    <rPh sb="12" eb="14">
      <t>ムコウ</t>
    </rPh>
    <phoneticPr fontId="2"/>
  </si>
  <si>
    <t>画面.グリット情報.有効無効フラグ</t>
    <rPh sb="10" eb="12">
      <t>ユウコウ</t>
    </rPh>
    <rPh sb="12" eb="14">
      <t>ムコウ</t>
    </rPh>
    <phoneticPr fontId="2"/>
  </si>
  <si>
    <t>1.2.</t>
    <phoneticPr fontId="2"/>
  </si>
  <si>
    <t>フォーカスを画面.ログイン情報.方面担当にセットする</t>
    <rPh sb="6" eb="8">
      <t>ガメン</t>
    </rPh>
    <rPh sb="13" eb="15">
      <t>ジョウホウ</t>
    </rPh>
    <rPh sb="16" eb="18">
      <t>ホウメン</t>
    </rPh>
    <rPh sb="18" eb="20">
      <t>タントウ</t>
    </rPh>
    <phoneticPr fontId="2"/>
  </si>
  <si>
    <t>画面.ログイン情報を初期値セットする</t>
    <rPh sb="0" eb="2">
      <t>ガメン</t>
    </rPh>
    <rPh sb="7" eb="9">
      <t>ジョウホウ</t>
    </rPh>
    <rPh sb="10" eb="13">
      <t>ショキチ</t>
    </rPh>
    <phoneticPr fontId="2"/>
  </si>
  <si>
    <t>空白</t>
    <rPh sb="0" eb="2">
      <t>クウハク</t>
    </rPh>
    <phoneticPr fontId="2"/>
  </si>
  <si>
    <t>False</t>
    <phoneticPr fontId="2"/>
  </si>
  <si>
    <t>変数.新規作成モードを設定する</t>
    <rPh sb="0" eb="2">
      <t>ヘンスウ</t>
    </rPh>
    <rPh sb="3" eb="5">
      <t>シンキ</t>
    </rPh>
    <rPh sb="5" eb="7">
      <t>サクセイ</t>
    </rPh>
    <rPh sb="11" eb="13">
      <t>セッテイ</t>
    </rPh>
    <phoneticPr fontId="2"/>
  </si>
  <si>
    <t>変数.新規作成モード＝True（新規モード）</t>
    <rPh sb="16" eb="18">
      <t>シンキ</t>
    </rPh>
    <phoneticPr fontId="2"/>
  </si>
  <si>
    <t>4</t>
    <phoneticPr fontId="2"/>
  </si>
  <si>
    <t>画面.ログイン情報.方面担当が空白の場合</t>
    <rPh sb="0" eb="2">
      <t>ガメン</t>
    </rPh>
    <rPh sb="7" eb="9">
      <t>ジョウホウ</t>
    </rPh>
    <rPh sb="10" eb="12">
      <t>ホウメン</t>
    </rPh>
    <rPh sb="12" eb="14">
      <t>タントウ</t>
    </rPh>
    <rPh sb="15" eb="17">
      <t>クウハク</t>
    </rPh>
    <rPh sb="18" eb="20">
      <t>バアイ</t>
    </rPh>
    <phoneticPr fontId="2"/>
  </si>
  <si>
    <t>以下のメッセージを表示する。</t>
    <rPh sb="0" eb="2">
      <t>イカ</t>
    </rPh>
    <rPh sb="9" eb="11">
      <t>ヒョウジ</t>
    </rPh>
    <phoneticPr fontId="2"/>
  </si>
  <si>
    <t>"方面担当"を入力してください。</t>
    <rPh sb="1" eb="3">
      <t>ホウメン</t>
    </rPh>
    <rPh sb="3" eb="5">
      <t>タントウ</t>
    </rPh>
    <rPh sb="7" eb="9">
      <t>ニュウリョク</t>
    </rPh>
    <phoneticPr fontId="2"/>
  </si>
  <si>
    <t>E0001</t>
    <phoneticPr fontId="2"/>
  </si>
  <si>
    <t>異・単</t>
  </si>
  <si>
    <t>カーソルを画面.ログイン情報.方面担当にセットする</t>
    <rPh sb="5" eb="7">
      <t>ガメン</t>
    </rPh>
    <rPh sb="12" eb="14">
      <t>ジョウホウ</t>
    </rPh>
    <rPh sb="15" eb="17">
      <t>ホウメン</t>
    </rPh>
    <rPh sb="17" eb="19">
      <t>タントウ</t>
    </rPh>
    <phoneticPr fontId="2"/>
  </si>
  <si>
    <t>画面.ログイン情報.ログイン名が空白の場合</t>
    <rPh sb="0" eb="2">
      <t>ガメン</t>
    </rPh>
    <rPh sb="7" eb="9">
      <t>ジョウホウ</t>
    </rPh>
    <rPh sb="14" eb="15">
      <t>メイ</t>
    </rPh>
    <rPh sb="16" eb="18">
      <t>クウハク</t>
    </rPh>
    <rPh sb="19" eb="21">
      <t>バアイ</t>
    </rPh>
    <phoneticPr fontId="2"/>
  </si>
  <si>
    <t>"ログイン名"を入力してください。</t>
    <rPh sb="5" eb="6">
      <t>メイ</t>
    </rPh>
    <rPh sb="8" eb="10">
      <t>ニュウリョク</t>
    </rPh>
    <phoneticPr fontId="2"/>
  </si>
  <si>
    <t>カーソルを画面.ログイン情報.ログイン名にセットする</t>
    <rPh sb="5" eb="7">
      <t>ガメン</t>
    </rPh>
    <rPh sb="12" eb="14">
      <t>ジョウホウ</t>
    </rPh>
    <rPh sb="19" eb="20">
      <t>メイ</t>
    </rPh>
    <phoneticPr fontId="2"/>
  </si>
  <si>
    <t>画面.ログイン情報.権限区分が空白の場合</t>
    <rPh sb="0" eb="2">
      <t>ガメン</t>
    </rPh>
    <rPh sb="7" eb="9">
      <t>ジョウホウ</t>
    </rPh>
    <rPh sb="10" eb="12">
      <t>ケンゲン</t>
    </rPh>
    <rPh sb="12" eb="14">
      <t>クブン</t>
    </rPh>
    <rPh sb="15" eb="17">
      <t>クウハク</t>
    </rPh>
    <rPh sb="18" eb="20">
      <t>バアイ</t>
    </rPh>
    <phoneticPr fontId="2"/>
  </si>
  <si>
    <t>"権限区分"を入力してください。</t>
    <rPh sb="1" eb="3">
      <t>ケンゲン</t>
    </rPh>
    <rPh sb="3" eb="5">
      <t>クブン</t>
    </rPh>
    <rPh sb="7" eb="9">
      <t>ニュウリョク</t>
    </rPh>
    <phoneticPr fontId="2"/>
  </si>
  <si>
    <t>カーソルを画面.ログイン情報.権限区分にセットする</t>
    <rPh sb="5" eb="7">
      <t>ガメン</t>
    </rPh>
    <rPh sb="12" eb="14">
      <t>ジョウホウ</t>
    </rPh>
    <rPh sb="15" eb="17">
      <t>ケンゲン</t>
    </rPh>
    <rPh sb="17" eb="19">
      <t>クブン</t>
    </rPh>
    <phoneticPr fontId="2"/>
  </si>
  <si>
    <t>画面.ログイン情報.ログインIDが空白の場合</t>
    <rPh sb="0" eb="2">
      <t>ガメン</t>
    </rPh>
    <rPh sb="7" eb="9">
      <t>ジョウホウ</t>
    </rPh>
    <rPh sb="17" eb="19">
      <t>クウハク</t>
    </rPh>
    <rPh sb="20" eb="22">
      <t>バアイ</t>
    </rPh>
    <phoneticPr fontId="2"/>
  </si>
  <si>
    <t>"ログインID"を入力してください。</t>
    <rPh sb="9" eb="11">
      <t>ニュウリョク</t>
    </rPh>
    <phoneticPr fontId="2"/>
  </si>
  <si>
    <t>カーソルを画面.ログイン情報.ログインIDにセットする</t>
    <rPh sb="5" eb="7">
      <t>ガメン</t>
    </rPh>
    <rPh sb="12" eb="14">
      <t>ジョウホウ</t>
    </rPh>
    <phoneticPr fontId="2"/>
  </si>
  <si>
    <t>ログインID件数をログインユーザマスタから取得する</t>
    <rPh sb="6" eb="8">
      <t>ケンスウ</t>
    </rPh>
    <rPh sb="21" eb="23">
      <t>シュトク</t>
    </rPh>
    <phoneticPr fontId="2"/>
  </si>
  <si>
    <t>S2</t>
    <phoneticPr fontId="2"/>
  </si>
  <si>
    <t>引数.ログインID＝画面.ログイン情報.ログインID</t>
    <rPh sb="0" eb="2">
      <t>ヒキスウ</t>
    </rPh>
    <rPh sb="10" eb="12">
      <t>ガメン</t>
    </rPh>
    <rPh sb="17" eb="19">
      <t>ジョウホウ</t>
    </rPh>
    <phoneticPr fontId="2"/>
  </si>
  <si>
    <t>ログインID件数＞0の場合</t>
    <rPh sb="6" eb="8">
      <t>ケンスウ</t>
    </rPh>
    <rPh sb="11" eb="13">
      <t>バアイ</t>
    </rPh>
    <phoneticPr fontId="2"/>
  </si>
  <si>
    <t>2.2.1</t>
    <phoneticPr fontId="2"/>
  </si>
  <si>
    <t>入力された"ログインID"は既に登録済みです。</t>
    <rPh sb="0" eb="2">
      <t>ニュウリョク</t>
    </rPh>
    <rPh sb="14" eb="15">
      <t>スデ</t>
    </rPh>
    <rPh sb="16" eb="18">
      <t>トウロク</t>
    </rPh>
    <rPh sb="18" eb="19">
      <t>ズ</t>
    </rPh>
    <phoneticPr fontId="2"/>
  </si>
  <si>
    <t>E0009</t>
    <phoneticPr fontId="2"/>
  </si>
  <si>
    <t>2.2.2</t>
    <phoneticPr fontId="2"/>
  </si>
  <si>
    <t>画面.ログイン情報.パスワードが空白の場合</t>
    <rPh sb="0" eb="2">
      <t>ガメン</t>
    </rPh>
    <rPh sb="7" eb="9">
      <t>ジョウホウ</t>
    </rPh>
    <rPh sb="16" eb="18">
      <t>クウハク</t>
    </rPh>
    <rPh sb="19" eb="21">
      <t>バアイ</t>
    </rPh>
    <phoneticPr fontId="2"/>
  </si>
  <si>
    <t>"パスワード"を入力してください。</t>
    <rPh sb="8" eb="10">
      <t>ニュウリョク</t>
    </rPh>
    <phoneticPr fontId="2"/>
  </si>
  <si>
    <t>カーソルを画面.ログイン情報.パスワードにセットする</t>
    <rPh sb="5" eb="7">
      <t>ガメン</t>
    </rPh>
    <rPh sb="12" eb="14">
      <t>ジョウホウ</t>
    </rPh>
    <phoneticPr fontId="2"/>
  </si>
  <si>
    <t>画面.ログイン情報.パスワードの桁数＜8の場合</t>
    <rPh sb="0" eb="2">
      <t>ガメン</t>
    </rPh>
    <rPh sb="7" eb="9">
      <t>ジョウホウ</t>
    </rPh>
    <rPh sb="16" eb="18">
      <t>ケタスウ</t>
    </rPh>
    <rPh sb="21" eb="23">
      <t>バアイ</t>
    </rPh>
    <phoneticPr fontId="2"/>
  </si>
  <si>
    <t>"パスワードは8桁以上"を入力してください。</t>
    <rPh sb="8" eb="11">
      <t>ケタイジョウ</t>
    </rPh>
    <rPh sb="13" eb="15">
      <t>ニュウリョク</t>
    </rPh>
    <phoneticPr fontId="2"/>
  </si>
  <si>
    <t>画面.ログイン情報.パスワード変更日＜システム日付-1月</t>
    <rPh sb="0" eb="2">
      <t>ガメン</t>
    </rPh>
    <rPh sb="7" eb="9">
      <t>ジョウホウ</t>
    </rPh>
    <rPh sb="15" eb="18">
      <t>ヘンコウビ</t>
    </rPh>
    <rPh sb="23" eb="25">
      <t>ヒヅケ</t>
    </rPh>
    <rPh sb="27" eb="28">
      <t>ツキ</t>
    </rPh>
    <phoneticPr fontId="2"/>
  </si>
  <si>
    <t>"パスワード"を変更してください。</t>
    <rPh sb="8" eb="10">
      <t>ヘンコウ</t>
    </rPh>
    <phoneticPr fontId="2"/>
  </si>
  <si>
    <t>W0011</t>
    <phoneticPr fontId="2"/>
  </si>
  <si>
    <t>画面.ログイン情報をログインユーザマスタに登録する</t>
    <rPh sb="0" eb="2">
      <t>ガメン</t>
    </rPh>
    <rPh sb="7" eb="9">
      <t>ジョウホウ</t>
    </rPh>
    <rPh sb="21" eb="23">
      <t>トウロク</t>
    </rPh>
    <phoneticPr fontId="2"/>
  </si>
  <si>
    <t>ログインユーザマスタを登録</t>
    <rPh sb="11" eb="13">
      <t>トウロク</t>
    </rPh>
    <phoneticPr fontId="2"/>
  </si>
  <si>
    <t>S3</t>
    <phoneticPr fontId="2"/>
  </si>
  <si>
    <t>1.3</t>
    <phoneticPr fontId="2"/>
  </si>
  <si>
    <t>1.4</t>
    <phoneticPr fontId="2"/>
  </si>
  <si>
    <t>有効無効フラグ＝Trueの場合</t>
    <rPh sb="0" eb="2">
      <t>ユウコウ</t>
    </rPh>
    <rPh sb="2" eb="4">
      <t>ムコウ</t>
    </rPh>
    <rPh sb="13" eb="15">
      <t>バアイ</t>
    </rPh>
    <phoneticPr fontId="2"/>
  </si>
  <si>
    <t>ログインID＝画面.ログイン情報.ログインIDの場合</t>
    <rPh sb="7" eb="9">
      <t>ガメン</t>
    </rPh>
    <rPh sb="14" eb="16">
      <t>ジョウホウ</t>
    </rPh>
    <rPh sb="24" eb="26">
      <t>バアイ</t>
    </rPh>
    <phoneticPr fontId="2"/>
  </si>
  <si>
    <t>異・複</t>
  </si>
  <si>
    <t>"ログインID"は削除できません。</t>
    <rPh sb="9" eb="11">
      <t>サクジョ</t>
    </rPh>
    <phoneticPr fontId="2"/>
  </si>
  <si>
    <t>W0004</t>
  </si>
  <si>
    <t>フォーカスを画面.ログイン情報.有効無効フラグにセットする</t>
    <rPh sb="6" eb="8">
      <t>ガメン</t>
    </rPh>
    <rPh sb="13" eb="15">
      <t>ジョウホウ</t>
    </rPh>
    <rPh sb="16" eb="18">
      <t>ユウコウ</t>
    </rPh>
    <rPh sb="18" eb="20">
      <t>ムコウ</t>
    </rPh>
    <phoneticPr fontId="2"/>
  </si>
  <si>
    <t>画面.ログイン情報をログインユーザマスタに更新する</t>
    <rPh sb="0" eb="2">
      <t>ガメン</t>
    </rPh>
    <rPh sb="7" eb="9">
      <t>ジョウホウ</t>
    </rPh>
    <rPh sb="21" eb="23">
      <t>コウシン</t>
    </rPh>
    <phoneticPr fontId="2"/>
  </si>
  <si>
    <t>ログインユーザマスタを更新</t>
    <rPh sb="11" eb="13">
      <t>コウシン</t>
    </rPh>
    <phoneticPr fontId="2"/>
  </si>
  <si>
    <t>S4</t>
    <phoneticPr fontId="2"/>
  </si>
  <si>
    <t>2.5</t>
    <phoneticPr fontId="2"/>
  </si>
  <si>
    <t>1</t>
  </si>
  <si>
    <t>確認メッセージを表示する</t>
    <rPh sb="0" eb="2">
      <t>カクニン</t>
    </rPh>
    <rPh sb="8" eb="10">
      <t>ヒョウジ</t>
    </rPh>
    <phoneticPr fontId="2"/>
  </si>
  <si>
    <t>「更新されていないため入力値が破棄されます。よろしいですか？」</t>
  </si>
  <si>
    <t>MessageId：</t>
  </si>
  <si>
    <t>W0001</t>
    <phoneticPr fontId="2"/>
  </si>
  <si>
    <t>1.1</t>
  </si>
  <si>
    <t>「はい」を選択した場合</t>
    <rPh sb="5" eb="7">
      <t>センタク</t>
    </rPh>
    <rPh sb="9" eb="11">
      <t>バアイ</t>
    </rPh>
    <phoneticPr fontId="2"/>
  </si>
  <si>
    <t>1.1.1</t>
  </si>
  <si>
    <t>1.2</t>
  </si>
  <si>
    <t>「いいえ」を選択した場合</t>
    <rPh sb="6" eb="8">
      <t>センタク</t>
    </rPh>
    <rPh sb="10" eb="12">
      <t>バアイ</t>
    </rPh>
    <phoneticPr fontId="2"/>
  </si>
  <si>
    <t>1.2.1</t>
  </si>
  <si>
    <t>閉じるボタン押下時処理を終了する</t>
    <rPh sb="0" eb="1">
      <t>ト</t>
    </rPh>
    <rPh sb="6" eb="7">
      <t>オシ</t>
    </rPh>
    <rPh sb="7" eb="8">
      <t>シタ</t>
    </rPh>
    <rPh sb="8" eb="9">
      <t>ジ</t>
    </rPh>
    <rPh sb="9" eb="11">
      <t>ショリ</t>
    </rPh>
    <phoneticPr fontId="2"/>
  </si>
  <si>
    <t>SQLID</t>
    <phoneticPr fontId="6"/>
  </si>
  <si>
    <t>分類</t>
    <rPh sb="0" eb="2">
      <t>ブンルイ</t>
    </rPh>
    <phoneticPr fontId="6"/>
  </si>
  <si>
    <t>なし</t>
    <phoneticPr fontId="2"/>
  </si>
  <si>
    <t>クエリ仕様</t>
    <rPh sb="3" eb="5">
      <t>シヨウ</t>
    </rPh>
    <phoneticPr fontId="6"/>
  </si>
  <si>
    <t>Select</t>
  </si>
  <si>
    <t>◆ログインユーザ情報取得</t>
    <rPh sb="8" eb="10">
      <t>ジョウホウ</t>
    </rPh>
    <rPh sb="10" eb="12">
      <t>シュトク</t>
    </rPh>
    <phoneticPr fontId="2"/>
  </si>
  <si>
    <t>取得項目</t>
    <rPh sb="0" eb="2">
      <t>シュトク</t>
    </rPh>
    <rPh sb="2" eb="4">
      <t>コウモク</t>
    </rPh>
    <phoneticPr fontId="2"/>
  </si>
  <si>
    <t>①</t>
    <phoneticPr fontId="2"/>
  </si>
  <si>
    <t>方面ID</t>
    <rPh sb="0" eb="2">
      <t>ホウメン</t>
    </rPh>
    <phoneticPr fontId="2"/>
  </si>
  <si>
    <t>②</t>
    <phoneticPr fontId="2"/>
  </si>
  <si>
    <t>③</t>
    <phoneticPr fontId="2"/>
  </si>
  <si>
    <t xml:space="preserve">CASE WHEN 権限区分 = '0' THEN 'システム管理者' </t>
    <rPh sb="10" eb="12">
      <t>ケンゲン</t>
    </rPh>
    <rPh sb="12" eb="14">
      <t>クブン</t>
    </rPh>
    <rPh sb="31" eb="34">
      <t>カンリシャ</t>
    </rPh>
    <phoneticPr fontId="2"/>
  </si>
  <si>
    <t xml:space="preserve">　 WHEN 権限区分 = '1' THEN '協会本部' </t>
    <rPh sb="24" eb="26">
      <t>キョウカイ</t>
    </rPh>
    <rPh sb="26" eb="28">
      <t>ホンブ</t>
    </rPh>
    <phoneticPr fontId="2"/>
  </si>
  <si>
    <t xml:space="preserve">　 WHEN 権限区分 = '3' THEN '方面本部' </t>
    <rPh sb="24" eb="26">
      <t>ホウメン</t>
    </rPh>
    <rPh sb="26" eb="28">
      <t>ホンブ</t>
    </rPh>
    <phoneticPr fontId="2"/>
  </si>
  <si>
    <t>ELSE '' END</t>
    <phoneticPr fontId="2"/>
  </si>
  <si>
    <t>パスワード変更日</t>
    <rPh sb="5" eb="7">
      <t>ヘンコウ</t>
    </rPh>
    <rPh sb="7" eb="8">
      <t>ビ</t>
    </rPh>
    <phoneticPr fontId="2"/>
  </si>
  <si>
    <t>削除フラグ</t>
    <rPh sb="0" eb="2">
      <t>サクジョ</t>
    </rPh>
    <phoneticPr fontId="2"/>
  </si>
  <si>
    <t>登録担当者</t>
    <rPh sb="0" eb="2">
      <t>トウロク</t>
    </rPh>
    <rPh sb="2" eb="5">
      <t>タントウシャ</t>
    </rPh>
    <phoneticPr fontId="2"/>
  </si>
  <si>
    <t>登録日</t>
    <rPh sb="0" eb="3">
      <t>トウロクビ</t>
    </rPh>
    <phoneticPr fontId="2"/>
  </si>
  <si>
    <t>更新担当者</t>
    <rPh sb="0" eb="2">
      <t>コウシン</t>
    </rPh>
    <rPh sb="2" eb="5">
      <t>タントウシャ</t>
    </rPh>
    <phoneticPr fontId="2"/>
  </si>
  <si>
    <t>①ログインユーザマスタ</t>
    <phoneticPr fontId="2"/>
  </si>
  <si>
    <t>②方面マスタ</t>
    <rPh sb="1" eb="3">
      <t>ホウメン</t>
    </rPh>
    <phoneticPr fontId="2"/>
  </si>
  <si>
    <t>LEFT JOIN 条件</t>
    <rPh sb="10" eb="12">
      <t>ジョウケン</t>
    </rPh>
    <phoneticPr fontId="2"/>
  </si>
  <si>
    <t>①方面ID　＝　②方面ID</t>
    <rPh sb="1" eb="3">
      <t>ホウメン</t>
    </rPh>
    <rPh sb="9" eb="11">
      <t>ホウメン</t>
    </rPh>
    <phoneticPr fontId="2"/>
  </si>
  <si>
    <t>②削除フラグ≠'1'</t>
    <rPh sb="1" eb="3">
      <t>サクジョ</t>
    </rPh>
    <phoneticPr fontId="2"/>
  </si>
  <si>
    <t>条件</t>
    <rPh sb="0" eb="2">
      <t>ジョウケン</t>
    </rPh>
    <phoneticPr fontId="2"/>
  </si>
  <si>
    <t>※すべてAND</t>
    <phoneticPr fontId="2"/>
  </si>
  <si>
    <t>引数.無効フラグ＝False の場合</t>
    <rPh sb="0" eb="2">
      <t>ヒキスウ</t>
    </rPh>
    <rPh sb="3" eb="5">
      <t>ムコウ</t>
    </rPh>
    <rPh sb="16" eb="18">
      <t>バアイ</t>
    </rPh>
    <phoneticPr fontId="2"/>
  </si>
  <si>
    <t>①削除フラグ≠'1'</t>
    <rPh sb="1" eb="3">
      <t>サクジョ</t>
    </rPh>
    <phoneticPr fontId="2"/>
  </si>
  <si>
    <t>並び順</t>
    <rPh sb="0" eb="1">
      <t>ナラ</t>
    </rPh>
    <rPh sb="2" eb="3">
      <t>ジュン</t>
    </rPh>
    <phoneticPr fontId="2"/>
  </si>
  <si>
    <t>◆ログインユーザID件数取得</t>
    <phoneticPr fontId="2"/>
  </si>
  <si>
    <t>件数</t>
    <rPh sb="0" eb="2">
      <t>ケンスウ</t>
    </rPh>
    <phoneticPr fontId="2"/>
  </si>
  <si>
    <t>①ログインID＝引数.ログインID</t>
    <rPh sb="8" eb="10">
      <t>ヒキスウ</t>
    </rPh>
    <phoneticPr fontId="2"/>
  </si>
  <si>
    <t>Insert</t>
  </si>
  <si>
    <t>◆ログインユーザマスタ登録</t>
    <rPh sb="11" eb="13">
      <t>トウロク</t>
    </rPh>
    <phoneticPr fontId="2"/>
  </si>
  <si>
    <t>登録テーブル</t>
    <rPh sb="0" eb="2">
      <t>トウロク</t>
    </rPh>
    <phoneticPr fontId="2"/>
  </si>
  <si>
    <t>登録項目</t>
    <rPh sb="0" eb="2">
      <t>トウロク</t>
    </rPh>
    <rPh sb="2" eb="4">
      <t>コウモク</t>
    </rPh>
    <phoneticPr fontId="2"/>
  </si>
  <si>
    <t>画面.ログイン情報.方面ID</t>
    <rPh sb="0" eb="2">
      <t>ガメン</t>
    </rPh>
    <rPh sb="7" eb="9">
      <t>ジョウホウ</t>
    </rPh>
    <rPh sb="10" eb="12">
      <t>ホウメン</t>
    </rPh>
    <phoneticPr fontId="2"/>
  </si>
  <si>
    <t>画面.ログイン情報.ログインID</t>
    <rPh sb="0" eb="2">
      <t>ガメン</t>
    </rPh>
    <rPh sb="7" eb="9">
      <t>ジョウホウ</t>
    </rPh>
    <phoneticPr fontId="2"/>
  </si>
  <si>
    <t>画面.ログイン情報.ログイン名</t>
    <rPh sb="0" eb="2">
      <t>ガメン</t>
    </rPh>
    <rPh sb="7" eb="9">
      <t>ジョウホウ</t>
    </rPh>
    <rPh sb="14" eb="15">
      <t>メイ</t>
    </rPh>
    <phoneticPr fontId="2"/>
  </si>
  <si>
    <t>画面.ログイン情報.権限区分</t>
    <rPh sb="0" eb="2">
      <t>ガメン</t>
    </rPh>
    <rPh sb="7" eb="9">
      <t>ジョウホウ</t>
    </rPh>
    <rPh sb="10" eb="12">
      <t>ケンゲン</t>
    </rPh>
    <rPh sb="12" eb="14">
      <t>クブン</t>
    </rPh>
    <phoneticPr fontId="2"/>
  </si>
  <si>
    <t>画面.ログイン情報.パスワード</t>
    <rPh sb="0" eb="2">
      <t>ガメン</t>
    </rPh>
    <rPh sb="7" eb="9">
      <t>ジョウホウ</t>
    </rPh>
    <phoneticPr fontId="2"/>
  </si>
  <si>
    <t>画面.ログイン情報.パスワード変更日</t>
    <rPh sb="0" eb="2">
      <t>ガメン</t>
    </rPh>
    <rPh sb="7" eb="9">
      <t>ジョウホウ</t>
    </rPh>
    <rPh sb="15" eb="18">
      <t>ヘンコウビ</t>
    </rPh>
    <phoneticPr fontId="2"/>
  </si>
  <si>
    <t>画面.ログイン情報.有効無効フラグ＝Trueの場合</t>
    <rPh sb="0" eb="2">
      <t>ガメン</t>
    </rPh>
    <rPh sb="7" eb="9">
      <t>ジョウホウ</t>
    </rPh>
    <rPh sb="10" eb="12">
      <t>ユウコウ</t>
    </rPh>
    <rPh sb="12" eb="14">
      <t>ムコウ</t>
    </rPh>
    <rPh sb="23" eb="25">
      <t>バアイ</t>
    </rPh>
    <phoneticPr fontId="2"/>
  </si>
  <si>
    <t>'1'をセット</t>
    <phoneticPr fontId="2"/>
  </si>
  <si>
    <t>上記以外の場合</t>
    <rPh sb="0" eb="2">
      <t>ジョウキ</t>
    </rPh>
    <rPh sb="2" eb="4">
      <t>イガイ</t>
    </rPh>
    <rPh sb="5" eb="7">
      <t>バアイ</t>
    </rPh>
    <phoneticPr fontId="2"/>
  </si>
  <si>
    <t>'0'をセット</t>
    <phoneticPr fontId="2"/>
  </si>
  <si>
    <t>①</t>
  </si>
  <si>
    <t>システム日付</t>
    <rPh sb="4" eb="6">
      <t>ヒヅケ</t>
    </rPh>
    <phoneticPr fontId="2"/>
  </si>
  <si>
    <t>Update</t>
  </si>
  <si>
    <t>◆ログインユーザマスタ更新</t>
    <rPh sb="11" eb="13">
      <t>コウシン</t>
    </rPh>
    <phoneticPr fontId="2"/>
  </si>
  <si>
    <t>更新項目</t>
    <rPh sb="0" eb="2">
      <t>コウシン</t>
    </rPh>
    <rPh sb="2" eb="4">
      <t>コウモク</t>
    </rPh>
    <phoneticPr fontId="2"/>
  </si>
  <si>
    <t>SET</t>
    <phoneticPr fontId="2"/>
  </si>
  <si>
    <t>＝</t>
    <phoneticPr fontId="2"/>
  </si>
  <si>
    <t>ログインID　＝　画面.ログイン情報.ログインID</t>
    <phoneticPr fontId="2"/>
  </si>
  <si>
    <t>MessageID:</t>
  </si>
  <si>
    <t>E0001</t>
  </si>
  <si>
    <t/>
  </si>
  <si>
    <t>文字数が8桁以上であることをチェックする
初期値：フォーカス行のパスワード　●にてパスワード表示は行わない（新規作成時は空白）</t>
    <rPh sb="21" eb="24">
      <t>ショキチ</t>
    </rPh>
    <rPh sb="30" eb="31">
      <t>ギョウ</t>
    </rPh>
    <rPh sb="54" eb="56">
      <t>シンキ</t>
    </rPh>
    <rPh sb="56" eb="58">
      <t>サクセイ</t>
    </rPh>
    <rPh sb="58" eb="59">
      <t>ジ</t>
    </rPh>
    <rPh sb="60" eb="62">
      <t>クウハク</t>
    </rPh>
    <phoneticPr fontId="2"/>
  </si>
  <si>
    <t>イベント仕様</t>
    <rPh sb="4" eb="6">
      <t>シヨウ</t>
    </rPh>
    <phoneticPr fontId="2"/>
  </si>
  <si>
    <t>・左寄せ、非表示列</t>
    <rPh sb="1" eb="2">
      <t>ヒダリ</t>
    </rPh>
    <rPh sb="5" eb="9">
      <t>ヒヒョウジレツ</t>
    </rPh>
    <phoneticPr fontId="2"/>
  </si>
  <si>
    <t>-</t>
    <phoneticPr fontId="2"/>
  </si>
  <si>
    <t>機能概要、システムフロー図</t>
    <rPh sb="0" eb="2">
      <t>キノウ</t>
    </rPh>
    <rPh sb="2" eb="4">
      <t>ガイヨウ</t>
    </rPh>
    <phoneticPr fontId="2"/>
  </si>
  <si>
    <t>金田</t>
    <rPh sb="0" eb="2">
      <t>カネダ</t>
    </rPh>
    <phoneticPr fontId="2"/>
  </si>
  <si>
    <t>リリース日</t>
    <rPh sb="4" eb="5">
      <t>ビ</t>
    </rPh>
    <phoneticPr fontId="2"/>
  </si>
  <si>
    <t>-</t>
  </si>
  <si>
    <t>詳細設計</t>
    <rPh sb="0" eb="2">
      <t>ショウサイ</t>
    </rPh>
    <rPh sb="2" eb="4">
      <t>セッケイ</t>
    </rPh>
    <phoneticPr fontId="2"/>
  </si>
  <si>
    <t>■システムフロー図</t>
    <phoneticPr fontId="2"/>
  </si>
  <si>
    <t>戻るボタン押下時処理を終了する</t>
    <rPh sb="0" eb="1">
      <t>モド</t>
    </rPh>
    <rPh sb="5" eb="6">
      <t>オシ</t>
    </rPh>
    <rPh sb="6" eb="7">
      <t>シタ</t>
    </rPh>
    <rPh sb="7" eb="8">
      <t>ジ</t>
    </rPh>
    <rPh sb="8" eb="10">
      <t>ショリ</t>
    </rPh>
    <phoneticPr fontId="2"/>
  </si>
  <si>
    <r>
      <rPr>
        <strike/>
        <sz val="9"/>
        <color rgb="FFFF0000"/>
        <rFont val="ＭＳ Ｐゴシック"/>
        <family val="3"/>
        <charset val="128"/>
      </rPr>
      <t>本画面を終了する</t>
    </r>
    <r>
      <rPr>
        <sz val="9"/>
        <color theme="1"/>
        <rFont val="ＭＳ Ｐゴシック"/>
        <family val="3"/>
        <charset val="128"/>
      </rPr>
      <t>　</t>
    </r>
    <r>
      <rPr>
        <sz val="9"/>
        <color rgb="FFFF0000"/>
        <rFont val="ＭＳ Ｐゴシック"/>
        <family val="3"/>
        <charset val="128"/>
      </rPr>
      <t>メインメニューへ遷移する</t>
    </r>
    <rPh sb="17" eb="19">
      <t>センイ</t>
    </rPh>
    <phoneticPr fontId="2"/>
  </si>
  <si>
    <t>有効無効フラグ</t>
    <rPh sb="0" eb="4">
      <t>ユウコウムコウ</t>
    </rPh>
    <phoneticPr fontId="2"/>
  </si>
  <si>
    <t>定数マスタ</t>
    <phoneticPr fontId="2"/>
  </si>
  <si>
    <r>
      <rPr>
        <sz val="9"/>
        <color rgb="FFFF0000"/>
        <rFont val="ＭＳ Ｐゴシック"/>
        <family val="3"/>
        <charset val="128"/>
      </rPr>
      <t xml:space="preserve">定数マスタ
</t>
    </r>
    <r>
      <rPr>
        <sz val="9"/>
        <color theme="1"/>
        <rFont val="ＭＳ Ｐゴシック"/>
        <family val="3"/>
        <charset val="128"/>
      </rPr>
      <t>MCONST</t>
    </r>
    <phoneticPr fontId="2"/>
  </si>
  <si>
    <t>定数マスタ
MCONST</t>
    <phoneticPr fontId="2"/>
  </si>
  <si>
    <r>
      <t>方面マスタから取得</t>
    </r>
    <r>
      <rPr>
        <strike/>
        <sz val="9"/>
        <color rgb="FFFF0000"/>
        <rFont val="ＭＳ Ｐゴシック"/>
        <family val="3"/>
        <charset val="128"/>
      </rPr>
      <t>（共通ルーチン）</t>
    </r>
    <r>
      <rPr>
        <sz val="9"/>
        <color rgb="FFFF0000"/>
        <rFont val="ＭＳ Ｐゴシック"/>
        <family val="3"/>
        <charset val="128"/>
      </rPr>
      <t>（共通DM）</t>
    </r>
    <rPh sb="0" eb="2">
      <t>ホウメン</t>
    </rPh>
    <rPh sb="7" eb="9">
      <t>シュトク</t>
    </rPh>
    <rPh sb="10" eb="12">
      <t>キョウツウ</t>
    </rPh>
    <phoneticPr fontId="2"/>
  </si>
  <si>
    <r>
      <t>コンスタントマスタから取得（共通ルーチン）</t>
    </r>
    <r>
      <rPr>
        <sz val="9"/>
        <color rgb="FFFF0000"/>
        <rFont val="ＭＳ Ｐゴシック"/>
        <family val="3"/>
        <charset val="128"/>
      </rPr>
      <t>定数マスタから取得（共通DM）</t>
    </r>
    <rPh sb="11" eb="13">
      <t>シュトク</t>
    </rPh>
    <rPh sb="14" eb="16">
      <t>キョウツウ</t>
    </rPh>
    <phoneticPr fontId="2"/>
  </si>
  <si>
    <t>戻る</t>
    <rPh sb="0" eb="1">
      <t>モド</t>
    </rPh>
    <phoneticPr fontId="2"/>
  </si>
  <si>
    <t>メインメニューへ遷移する</t>
    <rPh sb="8" eb="10">
      <t>センイ</t>
    </rPh>
    <phoneticPr fontId="2"/>
  </si>
  <si>
    <t>閉じる</t>
    <rPh sb="0" eb="1">
      <t>ト</t>
    </rPh>
    <phoneticPr fontId="2"/>
  </si>
  <si>
    <t>画面を閉じる</t>
    <rPh sb="0" eb="2">
      <t>ガメン</t>
    </rPh>
    <rPh sb="3" eb="4">
      <t>ト</t>
    </rPh>
    <phoneticPr fontId="2"/>
  </si>
  <si>
    <t>無効を含むチェックボックスを選択</t>
    <rPh sb="14" eb="16">
      <t>センタク</t>
    </rPh>
    <phoneticPr fontId="2"/>
  </si>
  <si>
    <t>ログイン情報一覧の行を</t>
    <phoneticPr fontId="2"/>
  </si>
  <si>
    <t>クリック、ダブルクリック</t>
    <phoneticPr fontId="2"/>
  </si>
  <si>
    <t>新規作成ボタン押下</t>
    <rPh sb="7" eb="9">
      <t>オウカ</t>
    </rPh>
    <phoneticPr fontId="2"/>
  </si>
  <si>
    <t>有効期限</t>
    <rPh sb="0" eb="2">
      <t>ユウコウ</t>
    </rPh>
    <rPh sb="2" eb="4">
      <t>キゲン</t>
    </rPh>
    <phoneticPr fontId="2"/>
  </si>
  <si>
    <t>画面.ログイン情報.有効期限</t>
    <rPh sb="10" eb="12">
      <t>ユウコウ</t>
    </rPh>
    <rPh sb="12" eb="14">
      <t>キゲン</t>
    </rPh>
    <phoneticPr fontId="2"/>
  </si>
  <si>
    <t>画面.グリット情報.有効期限</t>
    <rPh sb="10" eb="12">
      <t>ユウコウ</t>
    </rPh>
    <rPh sb="12" eb="14">
      <t>キゲン</t>
    </rPh>
    <phoneticPr fontId="2"/>
  </si>
  <si>
    <t>※登録・更新ボタン</t>
    <rPh sb="1" eb="3">
      <t>トウロク</t>
    </rPh>
    <rPh sb="4" eb="6">
      <t>コウシン</t>
    </rPh>
    <phoneticPr fontId="2"/>
  </si>
  <si>
    <t>　ログイン情報一覧を選択した</t>
    <phoneticPr fontId="2"/>
  </si>
  <si>
    <t>　新規作成ボタンを押下した</t>
    <phoneticPr fontId="2"/>
  </si>
  <si>
    <t>場合、「更新」で表示する</t>
    <phoneticPr fontId="2"/>
  </si>
  <si>
    <t>場合、「登録」で表示する</t>
    <phoneticPr fontId="2"/>
  </si>
  <si>
    <r>
      <t xml:space="preserve">ログインユーザマスタを登録、更新する
</t>
    </r>
    <r>
      <rPr>
        <sz val="9"/>
        <color rgb="FFFF0000"/>
        <rFont val="ＭＳ Ｐゴシック"/>
        <family val="3"/>
        <charset val="128"/>
      </rPr>
      <t xml:space="preserve">
ログイン情報一覧を選択した場合、「更新」で表示する
新規作成ボタンを押下した場合、「登録」で表示する</t>
    </r>
    <rPh sb="11" eb="13">
      <t>トウロク</t>
    </rPh>
    <rPh sb="14" eb="16">
      <t>コウシン</t>
    </rPh>
    <rPh sb="29" eb="31">
      <t>センタク</t>
    </rPh>
    <rPh sb="33" eb="35">
      <t>バアイ</t>
    </rPh>
    <rPh sb="37" eb="39">
      <t>コウシン</t>
    </rPh>
    <rPh sb="41" eb="43">
      <t>ヒョウジ</t>
    </rPh>
    <rPh sb="54" eb="56">
      <t>オウカ</t>
    </rPh>
    <rPh sb="58" eb="60">
      <t>バアイ</t>
    </rPh>
    <rPh sb="62" eb="64">
      <t>トウロク</t>
    </rPh>
    <rPh sb="66" eb="68">
      <t>ヒョウジ</t>
    </rPh>
    <phoneticPr fontId="2"/>
  </si>
  <si>
    <t>登録・更新ボタン押下</t>
    <rPh sb="0" eb="2">
      <t>トウロク</t>
    </rPh>
    <rPh sb="3" eb="5">
      <t>コウシン</t>
    </rPh>
    <rPh sb="8" eb="10">
      <t>オウカ</t>
    </rPh>
    <phoneticPr fontId="2"/>
  </si>
  <si>
    <t>上記エラーチェックでエラーがある場合、</t>
    <rPh sb="0" eb="2">
      <t>ジョウキ</t>
    </rPh>
    <rPh sb="16" eb="18">
      <t>バアイ</t>
    </rPh>
    <phoneticPr fontId="2"/>
  </si>
  <si>
    <t>1</t>
    <phoneticPr fontId="2"/>
  </si>
  <si>
    <r>
      <t>登録</t>
    </r>
    <r>
      <rPr>
        <sz val="9"/>
        <color rgb="FFFF0000"/>
        <rFont val="ＭＳ Ｐゴシック"/>
        <family val="3"/>
        <charset val="128"/>
      </rPr>
      <t>・更新</t>
    </r>
    <rPh sb="0" eb="2">
      <t>トウロク</t>
    </rPh>
    <phoneticPr fontId="2"/>
  </si>
  <si>
    <t>登録・更新ボタンは「登録」で表示する</t>
    <phoneticPr fontId="2"/>
  </si>
  <si>
    <r>
      <t>変数</t>
    </r>
    <r>
      <rPr>
        <sz val="9"/>
        <rFont val="ＭＳ Ｐゴシック"/>
        <family val="3"/>
        <charset val="128"/>
      </rPr>
      <t>.新規作成</t>
    </r>
    <r>
      <rPr>
        <sz val="9"/>
        <color theme="1"/>
        <rFont val="ＭＳ Ｐゴシック"/>
        <family val="3"/>
        <charset val="128"/>
      </rPr>
      <t>モードを設定する</t>
    </r>
    <rPh sb="0" eb="2">
      <t>ヘンスウ</t>
    </rPh>
    <rPh sb="3" eb="5">
      <t>シンキ</t>
    </rPh>
    <rPh sb="5" eb="7">
      <t>サクセイ</t>
    </rPh>
    <rPh sb="11" eb="13">
      <t>セッテイ</t>
    </rPh>
    <phoneticPr fontId="2"/>
  </si>
  <si>
    <t>変数.新規作成モード＝False(修正モード)</t>
    <phoneticPr fontId="2"/>
  </si>
  <si>
    <t>登録・更新ボタンの表示文字を設定する</t>
    <rPh sb="9" eb="11">
      <t>ヒョウジ</t>
    </rPh>
    <rPh sb="11" eb="13">
      <t>モンジ</t>
    </rPh>
    <rPh sb="14" eb="16">
      <t>セッテイ</t>
    </rPh>
    <phoneticPr fontId="2"/>
  </si>
  <si>
    <t>登録・更新ボタンは「更新」で表示する</t>
    <phoneticPr fontId="2"/>
  </si>
  <si>
    <r>
      <rPr>
        <strike/>
        <sz val="9"/>
        <color rgb="FFFF0000"/>
        <rFont val="ＭＳ Ｐゴシック"/>
        <family val="3"/>
        <charset val="128"/>
      </rPr>
      <t>新規登録</t>
    </r>
    <r>
      <rPr>
        <sz val="9"/>
        <color rgb="FFFF0000"/>
        <rFont val="ＭＳ Ｐゴシック"/>
        <family val="3"/>
        <charset val="128"/>
      </rPr>
      <t>新規作成</t>
    </r>
    <r>
      <rPr>
        <sz val="9"/>
        <color theme="1"/>
        <rFont val="ＭＳ Ｐゴシック"/>
        <family val="3"/>
        <charset val="128"/>
      </rPr>
      <t>モード＝Trueの場合</t>
    </r>
    <rPh sb="0" eb="2">
      <t>シンキ</t>
    </rPh>
    <rPh sb="2" eb="4">
      <t>トウロク</t>
    </rPh>
    <rPh sb="17" eb="19">
      <t>バアイ</t>
    </rPh>
    <phoneticPr fontId="2"/>
  </si>
  <si>
    <r>
      <rPr>
        <strike/>
        <sz val="9"/>
        <color rgb="FFFF0000"/>
        <rFont val="ＭＳ Ｐゴシック"/>
        <family val="3"/>
        <charset val="128"/>
      </rPr>
      <t>新規登録</t>
    </r>
    <r>
      <rPr>
        <sz val="9"/>
        <color rgb="FFFF0000"/>
        <rFont val="ＭＳ Ｐゴシック"/>
        <family val="3"/>
        <charset val="128"/>
      </rPr>
      <t>新規作成</t>
    </r>
    <r>
      <rPr>
        <sz val="9"/>
        <color theme="1"/>
        <rFont val="ＭＳ Ｐゴシック"/>
        <family val="3"/>
        <charset val="128"/>
      </rPr>
      <t>モード＝False(修正モード)の場合</t>
    </r>
    <rPh sb="0" eb="2">
      <t>シンキ</t>
    </rPh>
    <rPh sb="2" eb="4">
      <t>トウロク</t>
    </rPh>
    <rPh sb="18" eb="20">
      <t>シュウセイ</t>
    </rPh>
    <rPh sb="25" eb="27">
      <t>バアイ</t>
    </rPh>
    <phoneticPr fontId="2"/>
  </si>
  <si>
    <r>
      <rPr>
        <strike/>
        <sz val="9"/>
        <color rgb="FFFF0000"/>
        <rFont val="ＭＳ Ｐゴシック"/>
        <family val="3"/>
        <charset val="128"/>
      </rPr>
      <t>新規登録</t>
    </r>
    <r>
      <rPr>
        <sz val="9"/>
        <color rgb="FFFF0000"/>
        <rFont val="ＭＳ Ｐゴシック"/>
        <family val="3"/>
        <charset val="128"/>
      </rPr>
      <t>新規作成</t>
    </r>
    <r>
      <rPr>
        <sz val="9"/>
        <color theme="1"/>
        <rFont val="ＭＳ Ｐゴシック"/>
        <family val="3"/>
        <charset val="128"/>
      </rPr>
      <t>モード＝True(新規モード)の場合</t>
    </r>
    <rPh sb="0" eb="2">
      <t>シンキ</t>
    </rPh>
    <rPh sb="2" eb="4">
      <t>トウロク</t>
    </rPh>
    <rPh sb="17" eb="19">
      <t>シンキ</t>
    </rPh>
    <rPh sb="24" eb="26">
      <t>バアイ</t>
    </rPh>
    <phoneticPr fontId="2"/>
  </si>
  <si>
    <t>2</t>
    <phoneticPr fontId="2"/>
  </si>
  <si>
    <t>登録更新処理を行う。</t>
    <rPh sb="0" eb="2">
      <t>トウロク</t>
    </rPh>
    <rPh sb="2" eb="4">
      <t>コウシン</t>
    </rPh>
    <rPh sb="4" eb="6">
      <t>ショリ</t>
    </rPh>
    <rPh sb="7" eb="8">
      <t>オコナ</t>
    </rPh>
    <phoneticPr fontId="2"/>
  </si>
  <si>
    <t>2.1</t>
    <phoneticPr fontId="2"/>
  </si>
  <si>
    <t>2.2</t>
    <phoneticPr fontId="2"/>
  </si>
  <si>
    <t>2.2.3</t>
    <phoneticPr fontId="2"/>
  </si>
  <si>
    <t>1.1</t>
    <phoneticPr fontId="2"/>
  </si>
  <si>
    <t>1.2</t>
    <phoneticPr fontId="2"/>
  </si>
  <si>
    <t>1.3</t>
    <phoneticPr fontId="2"/>
  </si>
  <si>
    <t>1.4</t>
    <phoneticPr fontId="2"/>
  </si>
  <si>
    <t>1.5</t>
    <phoneticPr fontId="2"/>
  </si>
  <si>
    <t>1.6</t>
    <phoneticPr fontId="2"/>
  </si>
  <si>
    <t>1.7</t>
    <phoneticPr fontId="2"/>
  </si>
  <si>
    <t>1.8</t>
    <phoneticPr fontId="2"/>
  </si>
  <si>
    <t>1.9</t>
    <phoneticPr fontId="2"/>
  </si>
  <si>
    <t>1.1.1</t>
    <phoneticPr fontId="2"/>
  </si>
  <si>
    <t>1.2.1</t>
    <phoneticPr fontId="2"/>
  </si>
  <si>
    <t>1.3.1</t>
    <phoneticPr fontId="2"/>
  </si>
  <si>
    <t>1.4.1</t>
    <phoneticPr fontId="2"/>
  </si>
  <si>
    <t>1.5.1</t>
    <phoneticPr fontId="2"/>
  </si>
  <si>
    <t>1.5.2</t>
    <phoneticPr fontId="2"/>
  </si>
  <si>
    <t>1.5.2.1</t>
    <phoneticPr fontId="2"/>
  </si>
  <si>
    <t>1.6.1</t>
    <phoneticPr fontId="2"/>
  </si>
  <si>
    <t>1.7.1</t>
    <phoneticPr fontId="2"/>
  </si>
  <si>
    <t>2.1.1</t>
    <phoneticPr fontId="2"/>
  </si>
  <si>
    <t>2.1.2</t>
    <phoneticPr fontId="2"/>
  </si>
  <si>
    <t>2.1.3</t>
    <phoneticPr fontId="2"/>
  </si>
  <si>
    <t>2.2.4</t>
    <phoneticPr fontId="2"/>
  </si>
  <si>
    <t>戻るボタン押下時処理</t>
    <phoneticPr fontId="2"/>
  </si>
  <si>
    <t>エラーメッセージを表示し、登録・更新ボタン押下時処理を終了する。</t>
    <rPh sb="9" eb="11">
      <t>ヒョウジ</t>
    </rPh>
    <rPh sb="27" eb="29">
      <t>シュウリョウ</t>
    </rPh>
    <phoneticPr fontId="2"/>
  </si>
  <si>
    <t>画面項目をクリアし、初期値を設定する  ・・・画面ロード直後は空白、入力不可</t>
    <rPh sb="0" eb="2">
      <t>ガメン</t>
    </rPh>
    <rPh sb="2" eb="4">
      <t>コウモク</t>
    </rPh>
    <rPh sb="10" eb="13">
      <t>ショキチ</t>
    </rPh>
    <rPh sb="14" eb="16">
      <t>セッテイ</t>
    </rPh>
    <phoneticPr fontId="2"/>
  </si>
  <si>
    <t>定数マスタ.有効期限日数＋パスワード変更日で設定する</t>
    <rPh sb="10" eb="12">
      <t>ニッスウ</t>
    </rPh>
    <rPh sb="22" eb="24">
      <t>セッテイ</t>
    </rPh>
    <phoneticPr fontId="2"/>
  </si>
  <si>
    <t>初期値：フォーカス行の有効期限
（新規作成時は空白）</t>
    <rPh sb="0" eb="2">
      <t>ショキ</t>
    </rPh>
    <rPh sb="2" eb="3">
      <t>チ</t>
    </rPh>
    <phoneticPr fontId="2"/>
  </si>
  <si>
    <t>【SQL詳細仕様】</t>
    <rPh sb="4" eb="6">
      <t>ショウサイ</t>
    </rPh>
    <rPh sb="6" eb="8">
      <t>シヨウ</t>
    </rPh>
    <phoneticPr fontId="2"/>
  </si>
  <si>
    <t>更新前のチェック処理を行う。</t>
    <rPh sb="0" eb="2">
      <t>コウシン</t>
    </rPh>
    <rPh sb="2" eb="3">
      <t>マエ</t>
    </rPh>
    <rPh sb="8" eb="10">
      <t>ショリ</t>
    </rPh>
    <rPh sb="11" eb="12">
      <t>オコナ</t>
    </rPh>
    <phoneticPr fontId="2"/>
  </si>
  <si>
    <r>
      <rPr>
        <strike/>
        <sz val="9"/>
        <color rgb="FFFF0000"/>
        <rFont val="ＭＳ ゴシック"/>
        <family val="3"/>
        <charset val="128"/>
      </rPr>
      <t>画面.ログイン情報.パスワード変更日</t>
    </r>
    <r>
      <rPr>
        <sz val="9"/>
        <color rgb="FFFF0000"/>
        <rFont val="ＭＳ ゴシック"/>
        <family val="3"/>
        <charset val="128"/>
      </rPr>
      <t xml:space="preserve"> システム日付</t>
    </r>
    <rPh sb="0" eb="2">
      <t>ガメン</t>
    </rPh>
    <rPh sb="7" eb="9">
      <t>ジョウホウ</t>
    </rPh>
    <rPh sb="15" eb="18">
      <t>ヘンコウビ</t>
    </rPh>
    <phoneticPr fontId="2"/>
  </si>
  <si>
    <t>画面.ログイン情報.パスワード変更日</t>
  </si>
  <si>
    <t>パスワード変更の場合、</t>
    <rPh sb="5" eb="7">
      <t>ヘンコウ</t>
    </rPh>
    <rPh sb="8" eb="10">
      <t>バアイ</t>
    </rPh>
    <phoneticPr fontId="2"/>
  </si>
  <si>
    <t>パスワード未変更の場合、</t>
    <rPh sb="5" eb="6">
      <t>ミ</t>
    </rPh>
    <rPh sb="6" eb="8">
      <t>ヘンコウ</t>
    </rPh>
    <rPh sb="9" eb="11">
      <t>バアイ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</si>
</sst>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yy/mm/dd"/>
  </numFmts>
  <fonts count="31" x14ac:knownFonts="1">
    <font>
      <sz val="11"/>
      <name val="ＭＳ Ｐゴシック"/>
      <family val="3"/>
      <charset val="128"/>
    </font>
    <font>
      <sz val="11"/>
      <name val="ＭＳ Ｐゴシック"/>
      <family val="3"/>
      <charset val="128"/>
    </font>
    <font>
      <sz val="6"/>
      <name val="ＭＳ Ｐゴシック"/>
      <family val="3"/>
      <charset val="128"/>
    </font>
    <font>
      <sz val="11"/>
      <name val="ＭＳ ゴシック"/>
      <family val="3"/>
      <charset val="128"/>
    </font>
    <font>
      <sz val="11"/>
      <name val="ＭＳ Ｐゴシック"/>
      <family val="3"/>
      <charset val="128"/>
    </font>
    <font>
      <b/>
      <sz val="11"/>
      <color indexed="10"/>
      <name val="ＭＳ Ｐゴシック"/>
      <family val="3"/>
      <charset val="128"/>
    </font>
    <font>
      <sz val="6"/>
      <name val="ＭＳ ゴシック"/>
      <family val="3"/>
      <charset val="128"/>
    </font>
    <font>
      <sz val="9"/>
      <name val="ＭＳ Ｐゴシック"/>
      <family val="3"/>
      <charset val="128"/>
    </font>
    <font>
      <b/>
      <sz val="9"/>
      <color indexed="12"/>
      <name val="ＭＳ Ｐゴシック"/>
      <family val="3"/>
      <charset val="128"/>
    </font>
    <font>
      <b/>
      <sz val="9"/>
      <color indexed="81"/>
      <name val="ＭＳ Ｐゴシック"/>
      <family val="3"/>
      <charset val="128"/>
    </font>
    <font>
      <sz val="11"/>
      <name val="ＭＳ Ｐゴシック"/>
      <family val="3"/>
      <charset val="128"/>
    </font>
    <font>
      <sz val="6"/>
      <name val="ＭＳ Ｐゴシック"/>
      <family val="3"/>
      <charset val="128"/>
      <scheme val="minor"/>
    </font>
    <font>
      <sz val="9"/>
      <color theme="1"/>
      <name val="ＭＳ ゴシック"/>
      <family val="3"/>
      <charset val="128"/>
    </font>
    <font>
      <b/>
      <sz val="14"/>
      <color theme="1"/>
      <name val="ＭＳ ゴシック"/>
      <family val="3"/>
      <charset val="128"/>
    </font>
    <font>
      <sz val="11"/>
      <color theme="1"/>
      <name val="ＭＳ Ｐゴシック"/>
      <family val="3"/>
      <charset val="128"/>
    </font>
    <font>
      <b/>
      <sz val="11"/>
      <color theme="1"/>
      <name val="ＭＳ Ｐゴシック"/>
      <family val="3"/>
      <charset val="128"/>
    </font>
    <font>
      <b/>
      <sz val="22"/>
      <color theme="1"/>
      <name val="ＭＳ Ｐゴシック"/>
      <family val="3"/>
      <charset val="128"/>
    </font>
    <font>
      <sz val="9"/>
      <color theme="1"/>
      <name val="ＭＳ Ｐゴシック"/>
      <family val="3"/>
      <charset val="128"/>
    </font>
    <font>
      <u/>
      <sz val="9"/>
      <color theme="1"/>
      <name val="ＭＳ ゴシック"/>
      <family val="3"/>
      <charset val="128"/>
    </font>
    <font>
      <strike/>
      <sz val="9"/>
      <color theme="1"/>
      <name val="ＭＳ ゴシック"/>
      <family val="3"/>
      <charset val="128"/>
    </font>
    <font>
      <b/>
      <sz val="9"/>
      <color theme="1"/>
      <name val="ＭＳ Ｐゴシック"/>
      <family val="3"/>
      <charset val="128"/>
    </font>
    <font>
      <b/>
      <sz val="9"/>
      <color theme="1"/>
      <name val="ＭＳ ゴシック"/>
      <family val="3"/>
      <charset val="128"/>
    </font>
    <font>
      <i/>
      <sz val="9"/>
      <color theme="1"/>
      <name val="ＭＳ Ｐゴシック"/>
      <family val="3"/>
      <charset val="128"/>
    </font>
    <font>
      <sz val="11"/>
      <color theme="1"/>
      <name val="ＭＳ ゴシック"/>
      <family val="3"/>
      <charset val="128"/>
    </font>
    <font>
      <u/>
      <sz val="11"/>
      <color theme="10"/>
      <name val="ＭＳ Ｐゴシック"/>
      <family val="3"/>
      <charset val="128"/>
    </font>
    <font>
      <sz val="9"/>
      <color rgb="FFFF0000"/>
      <name val="ＭＳ ゴシック"/>
      <family val="3"/>
      <charset val="128"/>
    </font>
    <font>
      <sz val="9"/>
      <name val="ＭＳ ゴシック"/>
      <family val="3"/>
      <charset val="128"/>
    </font>
    <font>
      <sz val="9"/>
      <color rgb="FFFF0000"/>
      <name val="ＭＳ Ｐゴシック"/>
      <family val="3"/>
      <charset val="128"/>
    </font>
    <font>
      <strike/>
      <sz val="9"/>
      <color rgb="FFFF0000"/>
      <name val="ＭＳ Ｐゴシック"/>
      <family val="3"/>
      <charset val="128"/>
    </font>
    <font>
      <sz val="11"/>
      <color rgb="FFFF0000"/>
      <name val="ＭＳ Ｐゴシック"/>
      <family val="3"/>
      <charset val="128"/>
    </font>
    <font>
      <strike/>
      <sz val="9"/>
      <color rgb="FFFF0000"/>
      <name val="ＭＳ ゴシック"/>
      <family val="3"/>
      <charset val="128"/>
    </font>
  </fonts>
  <fills count="7">
    <fill>
      <patternFill patternType="none"/>
    </fill>
    <fill>
      <patternFill patternType="gray125"/>
    </fill>
    <fill>
      <patternFill patternType="solid">
        <fgColor indexed="42"/>
        <bgColor indexed="64"/>
      </patternFill>
    </fill>
    <fill>
      <patternFill patternType="solid">
        <fgColor indexed="44"/>
        <bgColor indexed="64"/>
      </patternFill>
    </fill>
    <fill>
      <patternFill patternType="solid">
        <fgColor theme="0"/>
        <bgColor indexed="64"/>
      </patternFill>
    </fill>
    <fill>
      <patternFill patternType="solid">
        <fgColor indexed="47"/>
        <bgColor indexed="64"/>
      </patternFill>
    </fill>
    <fill>
      <patternFill patternType="solid">
        <fgColor theme="6" tint="0.39997558519241921"/>
        <bgColor indexed="64"/>
      </patternFill>
    </fill>
  </fills>
  <borders count="43">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7">
    <xf numFmtId="0" fontId="0" fillId="0" borderId="0"/>
    <xf numFmtId="0" fontId="4" fillId="0" borderId="0"/>
    <xf numFmtId="0" fontId="4" fillId="0" borderId="0"/>
    <xf numFmtId="0" fontId="1" fillId="0" borderId="0"/>
    <xf numFmtId="0" fontId="4" fillId="0" borderId="0"/>
    <xf numFmtId="0" fontId="10"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0" fillId="0" borderId="0">
      <alignment vertical="center"/>
    </xf>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7" fillId="0" borderId="0">
      <alignment vertical="center"/>
    </xf>
    <xf numFmtId="0" fontId="7" fillId="0" borderId="0">
      <alignment vertical="center"/>
    </xf>
    <xf numFmtId="0" fontId="7" fillId="0" borderId="0">
      <alignment vertical="center"/>
    </xf>
    <xf numFmtId="0" fontId="1" fillId="0" borderId="0"/>
    <xf numFmtId="0" fontId="1" fillId="0" borderId="0"/>
    <xf numFmtId="0" fontId="24" fillId="0" borderId="0" applyNumberFormat="0" applyFill="0" applyBorder="0" applyAlignment="0" applyProtection="0"/>
  </cellStyleXfs>
  <cellXfs count="384">
    <xf numFmtId="0" fontId="0" fillId="0" borderId="0" xfId="0"/>
    <xf numFmtId="0" fontId="0" fillId="0" borderId="0" xfId="0" applyAlignment="1">
      <alignment horizontal="left" indent="1"/>
    </xf>
    <xf numFmtId="0" fontId="0" fillId="0" borderId="0" xfId="0" applyAlignment="1">
      <alignment horizontal="left" vertical="center" indent="1"/>
    </xf>
    <xf numFmtId="0" fontId="0" fillId="0" borderId="0" xfId="0" applyAlignment="1">
      <alignment vertical="center"/>
    </xf>
    <xf numFmtId="0" fontId="5" fillId="0" borderId="0" xfId="0" applyFont="1"/>
    <xf numFmtId="0" fontId="4" fillId="2" borderId="0" xfId="0" applyFont="1" applyFill="1"/>
    <xf numFmtId="0" fontId="4" fillId="2" borderId="0" xfId="0" applyFont="1" applyFill="1" applyAlignment="1">
      <alignment vertical="center"/>
    </xf>
    <xf numFmtId="0" fontId="4" fillId="2" borderId="0" xfId="0" applyFont="1" applyFill="1" applyAlignment="1">
      <alignment horizontal="left" vertical="center" indent="1"/>
    </xf>
    <xf numFmtId="0" fontId="14" fillId="0" borderId="0" xfId="0" applyFont="1"/>
    <xf numFmtId="0" fontId="12" fillId="0" borderId="18" xfId="0" applyFont="1" applyBorder="1" applyAlignment="1">
      <alignment vertical="center"/>
    </xf>
    <xf numFmtId="0" fontId="12" fillId="0" borderId="19" xfId="0" applyFont="1" applyBorder="1" applyAlignment="1">
      <alignment vertical="center"/>
    </xf>
    <xf numFmtId="0" fontId="12" fillId="0" borderId="20" xfId="0" applyFont="1" applyBorder="1" applyAlignment="1">
      <alignment vertical="center"/>
    </xf>
    <xf numFmtId="0" fontId="12" fillId="0" borderId="0" xfId="0" applyFont="1"/>
    <xf numFmtId="0" fontId="12" fillId="0" borderId="12" xfId="0" applyFont="1" applyBorder="1"/>
    <xf numFmtId="0" fontId="12" fillId="0" borderId="0" xfId="0" applyFont="1" applyAlignment="1">
      <alignment vertical="center"/>
    </xf>
    <xf numFmtId="0" fontId="12" fillId="0" borderId="1" xfId="0" applyFont="1" applyBorder="1" applyAlignment="1">
      <alignment vertical="center"/>
    </xf>
    <xf numFmtId="0" fontId="12" fillId="0" borderId="12" xfId="0" applyFont="1" applyBorder="1" applyAlignment="1">
      <alignment vertical="center"/>
    </xf>
    <xf numFmtId="0" fontId="12" fillId="0" borderId="13" xfId="0" applyFont="1" applyBorder="1"/>
    <xf numFmtId="0" fontId="12" fillId="0" borderId="2" xfId="0" applyFont="1" applyBorder="1" applyAlignment="1">
      <alignment vertical="center"/>
    </xf>
    <xf numFmtId="0" fontId="12" fillId="0" borderId="2" xfId="0" applyFont="1" applyBorder="1" applyAlignment="1" applyProtection="1">
      <alignment vertical="center"/>
      <protection locked="0"/>
    </xf>
    <xf numFmtId="0" fontId="12" fillId="0" borderId="3" xfId="0" applyFont="1" applyBorder="1" applyAlignment="1">
      <alignment vertical="center"/>
    </xf>
    <xf numFmtId="0" fontId="15" fillId="3" borderId="24" xfId="0" applyFont="1" applyFill="1" applyBorder="1" applyAlignment="1">
      <alignment horizontal="center" vertical="center" shrinkToFit="1"/>
    </xf>
    <xf numFmtId="0" fontId="12" fillId="0" borderId="35" xfId="0" applyFont="1" applyBorder="1" applyAlignment="1">
      <alignment horizontal="center" vertical="center"/>
    </xf>
    <xf numFmtId="0" fontId="12" fillId="0" borderId="34" xfId="0" applyFont="1" applyBorder="1" applyAlignment="1">
      <alignment horizontal="center" vertical="center"/>
    </xf>
    <xf numFmtId="49" fontId="17" fillId="0" borderId="34" xfId="0" applyNumberFormat="1" applyFont="1" applyBorder="1" applyAlignment="1">
      <alignment horizontal="center" vertical="center"/>
    </xf>
    <xf numFmtId="49" fontId="17" fillId="0" borderId="34" xfId="0" applyNumberFormat="1" applyFont="1" applyBorder="1" applyAlignment="1">
      <alignment horizontal="center" vertical="center" wrapText="1"/>
    </xf>
    <xf numFmtId="49" fontId="17" fillId="0" borderId="36" xfId="0" applyNumberFormat="1" applyFont="1" applyBorder="1" applyAlignment="1">
      <alignment horizontal="center" vertical="center"/>
    </xf>
    <xf numFmtId="0" fontId="17" fillId="0" borderId="0" xfId="0" applyFont="1"/>
    <xf numFmtId="0" fontId="15" fillId="3" borderId="24" xfId="0" applyFont="1" applyFill="1" applyBorder="1" applyAlignment="1">
      <alignment horizontal="center" vertical="center"/>
    </xf>
    <xf numFmtId="49" fontId="12" fillId="0" borderId="0" xfId="0" applyNumberFormat="1" applyFont="1" applyAlignment="1">
      <alignment vertical="center"/>
    </xf>
    <xf numFmtId="49" fontId="17" fillId="0" borderId="0" xfId="0" applyNumberFormat="1" applyFont="1" applyAlignment="1">
      <alignment vertical="center"/>
    </xf>
    <xf numFmtId="0" fontId="12" fillId="0" borderId="9" xfId="0" applyFont="1" applyBorder="1" applyAlignment="1">
      <alignment vertical="center"/>
    </xf>
    <xf numFmtId="0" fontId="12" fillId="0" borderId="10" xfId="0" applyFont="1" applyBorder="1" applyAlignment="1">
      <alignment vertical="center"/>
    </xf>
    <xf numFmtId="0" fontId="12" fillId="0" borderId="5" xfId="0" applyFont="1" applyBorder="1" applyAlignment="1">
      <alignment vertical="center"/>
    </xf>
    <xf numFmtId="176" fontId="17" fillId="3" borderId="25" xfId="0" applyNumberFormat="1" applyFont="1" applyFill="1" applyBorder="1" applyAlignment="1">
      <alignment horizontal="center" vertical="center"/>
    </xf>
    <xf numFmtId="0" fontId="17" fillId="0" borderId="25" xfId="0" applyFont="1" applyBorder="1" applyAlignment="1">
      <alignment horizontal="center" vertical="center"/>
    </xf>
    <xf numFmtId="177" fontId="14" fillId="0" borderId="25" xfId="0" applyNumberFormat="1" applyFont="1" applyBorder="1" applyAlignment="1">
      <alignment horizontal="center" vertical="center"/>
    </xf>
    <xf numFmtId="49" fontId="14" fillId="0" borderId="25" xfId="0" applyNumberFormat="1" applyFont="1" applyBorder="1" applyAlignment="1">
      <alignment horizontal="center" vertical="center"/>
    </xf>
    <xf numFmtId="49" fontId="14" fillId="0" borderId="0" xfId="0" applyNumberFormat="1" applyFont="1" applyAlignment="1">
      <alignment vertical="center"/>
    </xf>
    <xf numFmtId="0" fontId="18" fillId="0" borderId="9" xfId="0" applyFont="1" applyBorder="1" applyAlignment="1">
      <alignment vertical="center"/>
    </xf>
    <xf numFmtId="0" fontId="18" fillId="0" borderId="10" xfId="0" applyFont="1" applyBorder="1" applyAlignment="1">
      <alignment vertical="center"/>
    </xf>
    <xf numFmtId="0" fontId="18" fillId="0" borderId="5" xfId="0" applyFont="1" applyBorder="1" applyAlignment="1">
      <alignment vertical="center"/>
    </xf>
    <xf numFmtId="0" fontId="17" fillId="0" borderId="26" xfId="0" applyFont="1" applyBorder="1" applyAlignment="1">
      <alignment horizontal="center" vertical="center"/>
    </xf>
    <xf numFmtId="0" fontId="12" fillId="0" borderId="10" xfId="0" quotePrefix="1" applyFont="1" applyBorder="1" applyAlignment="1">
      <alignment vertical="center"/>
    </xf>
    <xf numFmtId="49" fontId="12" fillId="0" borderId="34" xfId="0" applyNumberFormat="1" applyFont="1" applyBorder="1" applyAlignment="1">
      <alignment horizontal="center" vertical="center"/>
    </xf>
    <xf numFmtId="49" fontId="12" fillId="0" borderId="34" xfId="0" applyNumberFormat="1" applyFont="1" applyBorder="1" applyAlignment="1">
      <alignment horizontal="center" vertical="center" wrapText="1"/>
    </xf>
    <xf numFmtId="0" fontId="12" fillId="0" borderId="21" xfId="0" applyFont="1" applyBorder="1" applyAlignment="1">
      <alignment vertical="center"/>
    </xf>
    <xf numFmtId="0" fontId="12" fillId="0" borderId="22" xfId="0" applyFont="1" applyBorder="1" applyAlignment="1">
      <alignment vertical="center"/>
    </xf>
    <xf numFmtId="0" fontId="12" fillId="0" borderId="23" xfId="0" applyFont="1" applyBorder="1" applyAlignment="1">
      <alignment vertical="center"/>
    </xf>
    <xf numFmtId="49" fontId="17" fillId="0" borderId="9" xfId="0" applyNumberFormat="1" applyFont="1" applyBorder="1" applyAlignment="1">
      <alignment vertical="center"/>
    </xf>
    <xf numFmtId="177" fontId="14" fillId="0" borderId="26" xfId="0" applyNumberFormat="1" applyFont="1" applyBorder="1" applyAlignment="1">
      <alignment horizontal="center" vertical="center"/>
    </xf>
    <xf numFmtId="49" fontId="14" fillId="0" borderId="26" xfId="0" applyNumberFormat="1" applyFont="1" applyBorder="1" applyAlignment="1">
      <alignment horizontal="center" vertical="center"/>
    </xf>
    <xf numFmtId="0" fontId="19" fillId="0" borderId="10" xfId="0" applyFont="1" applyBorder="1" applyAlignment="1">
      <alignment vertical="center"/>
    </xf>
    <xf numFmtId="49" fontId="17" fillId="0" borderId="0" xfId="0" applyNumberFormat="1" applyFont="1" applyAlignment="1">
      <alignment horizontal="center" vertical="center"/>
    </xf>
    <xf numFmtId="49" fontId="12" fillId="3" borderId="11" xfId="0" applyNumberFormat="1" applyFont="1" applyFill="1" applyBorder="1" applyAlignment="1">
      <alignment horizontal="centerContinuous" vertical="center"/>
    </xf>
    <xf numFmtId="49" fontId="12" fillId="3" borderId="33" xfId="0" applyNumberFormat="1" applyFont="1" applyFill="1" applyBorder="1" applyAlignment="1">
      <alignment horizontal="centerContinuous" vertical="center"/>
    </xf>
    <xf numFmtId="0" fontId="14" fillId="0" borderId="0" xfId="0" applyFont="1" applyAlignment="1">
      <alignment vertical="center"/>
    </xf>
    <xf numFmtId="0" fontId="17" fillId="0" borderId="10" xfId="0" applyFont="1" applyBorder="1" applyAlignment="1">
      <alignment vertical="center"/>
    </xf>
    <xf numFmtId="0" fontId="17" fillId="0" borderId="9" xfId="0" applyFont="1" applyBorder="1" applyAlignment="1">
      <alignment vertical="center"/>
    </xf>
    <xf numFmtId="0" fontId="17" fillId="0" borderId="5" xfId="0" applyFont="1" applyBorder="1" applyAlignment="1">
      <alignment vertical="center"/>
    </xf>
    <xf numFmtId="49" fontId="17" fillId="0" borderId="10" xfId="0" applyNumberFormat="1" applyFont="1" applyBorder="1" applyAlignment="1">
      <alignment vertical="center"/>
    </xf>
    <xf numFmtId="0" fontId="17" fillId="0" borderId="6" xfId="0" applyFont="1" applyBorder="1" applyAlignment="1">
      <alignment vertical="center"/>
    </xf>
    <xf numFmtId="0" fontId="17" fillId="0" borderId="17" xfId="0" applyFont="1" applyBorder="1" applyAlignment="1">
      <alignment vertical="center"/>
    </xf>
    <xf numFmtId="49" fontId="17" fillId="0" borderId="17" xfId="0" applyNumberFormat="1" applyFont="1" applyBorder="1" applyAlignment="1">
      <alignment vertical="center"/>
    </xf>
    <xf numFmtId="0" fontId="17" fillId="0" borderId="0" xfId="0" applyFont="1" applyAlignment="1">
      <alignment vertical="center"/>
    </xf>
    <xf numFmtId="0" fontId="17" fillId="0" borderId="9" xfId="0" quotePrefix="1" applyFont="1" applyBorder="1" applyAlignment="1">
      <alignment vertical="center"/>
    </xf>
    <xf numFmtId="0" fontId="17" fillId="0" borderId="15" xfId="0" applyFont="1" applyBorder="1" applyAlignment="1">
      <alignment vertical="center"/>
    </xf>
    <xf numFmtId="49" fontId="17" fillId="0" borderId="15" xfId="0" applyNumberFormat="1" applyFont="1" applyBorder="1" applyAlignment="1">
      <alignment vertical="center"/>
    </xf>
    <xf numFmtId="0" fontId="17" fillId="0" borderId="4" xfId="0" applyFont="1" applyBorder="1" applyAlignment="1">
      <alignment vertical="center"/>
    </xf>
    <xf numFmtId="176" fontId="17" fillId="3" borderId="27" xfId="0" applyNumberFormat="1" applyFont="1" applyFill="1" applyBorder="1" applyAlignment="1">
      <alignment horizontal="center" vertical="center"/>
    </xf>
    <xf numFmtId="0" fontId="17" fillId="0" borderId="10" xfId="0" quotePrefix="1" applyFont="1" applyBorder="1" applyAlignment="1">
      <alignment vertical="center"/>
    </xf>
    <xf numFmtId="0" fontId="17" fillId="0" borderId="10" xfId="23" applyFont="1" applyBorder="1" applyAlignment="1">
      <alignment horizontal="left" vertical="center"/>
    </xf>
    <xf numFmtId="0" fontId="17" fillId="0" borderId="10" xfId="23" quotePrefix="1" applyFont="1" applyBorder="1" applyAlignment="1">
      <alignment horizontal="left" vertical="center"/>
    </xf>
    <xf numFmtId="0" fontId="17" fillId="0" borderId="10" xfId="24" applyFont="1" applyBorder="1" applyAlignment="1">
      <alignment horizontal="left" vertical="center"/>
    </xf>
    <xf numFmtId="0" fontId="17" fillId="0" borderId="10" xfId="25" applyFont="1" applyBorder="1" applyAlignment="1">
      <alignment horizontal="left" vertical="center"/>
    </xf>
    <xf numFmtId="49" fontId="17" fillId="0" borderId="28" xfId="23" applyNumberFormat="1" applyFont="1" applyBorder="1">
      <alignment vertical="center"/>
    </xf>
    <xf numFmtId="0" fontId="17" fillId="0" borderId="28" xfId="25" applyFont="1" applyBorder="1" applyAlignment="1">
      <alignment horizontal="left" vertical="center"/>
    </xf>
    <xf numFmtId="49" fontId="17" fillId="6" borderId="37" xfId="23" applyNumberFormat="1" applyFont="1" applyFill="1" applyBorder="1">
      <alignment vertical="center"/>
    </xf>
    <xf numFmtId="49" fontId="17" fillId="6" borderId="38" xfId="23" applyNumberFormat="1" applyFont="1" applyFill="1" applyBorder="1">
      <alignment vertical="center"/>
    </xf>
    <xf numFmtId="49" fontId="17" fillId="6" borderId="39" xfId="23" applyNumberFormat="1" applyFont="1" applyFill="1" applyBorder="1">
      <alignment vertical="center"/>
    </xf>
    <xf numFmtId="49" fontId="17" fillId="0" borderId="10" xfId="23" applyNumberFormat="1" applyFont="1" applyBorder="1">
      <alignment vertical="center"/>
    </xf>
    <xf numFmtId="49" fontId="17" fillId="0" borderId="40" xfId="23" applyNumberFormat="1" applyFont="1" applyBorder="1">
      <alignment vertical="center"/>
    </xf>
    <xf numFmtId="49" fontId="17" fillId="0" borderId="41" xfId="23" applyNumberFormat="1" applyFont="1" applyBorder="1">
      <alignment vertical="center"/>
    </xf>
    <xf numFmtId="49" fontId="17" fillId="0" borderId="42" xfId="23" applyNumberFormat="1" applyFont="1" applyBorder="1">
      <alignment vertical="center"/>
    </xf>
    <xf numFmtId="0" fontId="17" fillId="0" borderId="10" xfId="0" applyFont="1" applyBorder="1" applyAlignment="1">
      <alignment horizontal="right" vertical="center"/>
    </xf>
    <xf numFmtId="49" fontId="17" fillId="0" borderId="10" xfId="0" quotePrefix="1" applyNumberFormat="1" applyFont="1" applyBorder="1" applyAlignment="1">
      <alignment vertical="center"/>
    </xf>
    <xf numFmtId="0" fontId="12" fillId="0" borderId="18" xfId="0" applyFont="1" applyBorder="1" applyAlignment="1">
      <alignment horizontal="center" vertical="center"/>
    </xf>
    <xf numFmtId="0" fontId="12" fillId="0" borderId="19" xfId="0" applyFont="1" applyBorder="1" applyAlignment="1">
      <alignment horizontal="center" vertical="center"/>
    </xf>
    <xf numFmtId="49" fontId="17" fillId="0" borderId="19" xfId="0" applyNumberFormat="1" applyFont="1" applyBorder="1" applyAlignment="1">
      <alignment horizontal="center" vertical="center"/>
    </xf>
    <xf numFmtId="49" fontId="17" fillId="0" borderId="19" xfId="0" applyNumberFormat="1" applyFont="1" applyBorder="1" applyAlignment="1">
      <alignment horizontal="center" vertical="center" wrapText="1"/>
    </xf>
    <xf numFmtId="49" fontId="17" fillId="0" borderId="7" xfId="0" applyNumberFormat="1" applyFont="1" applyBorder="1" applyAlignment="1">
      <alignment horizontal="center" vertical="center"/>
    </xf>
    <xf numFmtId="0" fontId="14" fillId="0" borderId="1" xfId="0" applyFont="1" applyBorder="1"/>
    <xf numFmtId="49" fontId="12" fillId="3" borderId="8" xfId="0" applyNumberFormat="1" applyFont="1" applyFill="1" applyBorder="1" applyAlignment="1">
      <alignment horizontal="centerContinuous" vertical="center"/>
    </xf>
    <xf numFmtId="49" fontId="12" fillId="3" borderId="7" xfId="0" applyNumberFormat="1" applyFont="1" applyFill="1" applyBorder="1" applyAlignment="1">
      <alignment horizontal="centerContinuous" vertical="center"/>
    </xf>
    <xf numFmtId="0" fontId="17" fillId="3" borderId="7" xfId="0" applyFont="1" applyFill="1" applyBorder="1" applyAlignment="1">
      <alignment horizontal="centerContinuous" vertical="center"/>
    </xf>
    <xf numFmtId="0" fontId="17" fillId="3" borderId="8" xfId="0" applyFont="1" applyFill="1" applyBorder="1" applyAlignment="1">
      <alignment horizontal="centerContinuous" vertical="center"/>
    </xf>
    <xf numFmtId="176" fontId="17" fillId="3" borderId="29" xfId="0" applyNumberFormat="1" applyFont="1" applyFill="1" applyBorder="1" applyAlignment="1">
      <alignment horizontal="center" vertical="center"/>
    </xf>
    <xf numFmtId="0" fontId="17" fillId="0" borderId="29" xfId="0" applyFont="1" applyBorder="1" applyAlignment="1">
      <alignment horizontal="center" vertical="center"/>
    </xf>
    <xf numFmtId="177" fontId="14" fillId="0" borderId="30" xfId="0" applyNumberFormat="1" applyFont="1" applyBorder="1" applyAlignment="1">
      <alignment horizontal="center" vertical="center"/>
    </xf>
    <xf numFmtId="49" fontId="14" fillId="0" borderId="30" xfId="0" applyNumberFormat="1" applyFont="1" applyBorder="1" applyAlignment="1">
      <alignment horizontal="center" vertical="center"/>
    </xf>
    <xf numFmtId="0" fontId="17" fillId="0" borderId="0" xfId="13" applyFont="1" applyAlignment="1">
      <alignment horizontal="right" vertical="center"/>
    </xf>
    <xf numFmtId="0" fontId="21" fillId="0" borderId="18" xfId="0" applyFont="1" applyBorder="1" applyAlignment="1">
      <alignment horizontal="center" vertical="center"/>
    </xf>
    <xf numFmtId="0" fontId="21" fillId="0" borderId="19" xfId="0" applyFont="1" applyBorder="1" applyAlignment="1">
      <alignment horizontal="center" vertical="center"/>
    </xf>
    <xf numFmtId="49" fontId="17" fillId="0" borderId="20" xfId="0" applyNumberFormat="1" applyFont="1" applyBorder="1" applyAlignment="1">
      <alignment horizontal="center" vertical="center"/>
    </xf>
    <xf numFmtId="0" fontId="12" fillId="0" borderId="12" xfId="0" applyFont="1" applyBorder="1" applyAlignment="1">
      <alignment horizontal="left" vertical="center"/>
    </xf>
    <xf numFmtId="0" fontId="21" fillId="0" borderId="0" xfId="0" applyFont="1" applyAlignment="1">
      <alignment horizontal="center" vertical="center"/>
    </xf>
    <xf numFmtId="49" fontId="17" fillId="0" borderId="0" xfId="0" applyNumberFormat="1" applyFont="1" applyAlignment="1">
      <alignment horizontal="center" vertical="center" wrapText="1"/>
    </xf>
    <xf numFmtId="0" fontId="21" fillId="0" borderId="12" xfId="0" applyFont="1" applyBorder="1" applyAlignment="1">
      <alignment horizontal="center" vertical="center"/>
    </xf>
    <xf numFmtId="0" fontId="17" fillId="0" borderId="12" xfId="0" applyFont="1" applyBorder="1"/>
    <xf numFmtId="0" fontId="17" fillId="0" borderId="1" xfId="0" applyFont="1" applyBorder="1"/>
    <xf numFmtId="0" fontId="17" fillId="0" borderId="13" xfId="0" applyFont="1" applyBorder="1"/>
    <xf numFmtId="0" fontId="17" fillId="0" borderId="2" xfId="0" applyFont="1" applyBorder="1"/>
    <xf numFmtId="0" fontId="17" fillId="0" borderId="3" xfId="0" applyFont="1" applyBorder="1"/>
    <xf numFmtId="0" fontId="21" fillId="0" borderId="13" xfId="0" applyFont="1" applyBorder="1" applyAlignment="1">
      <alignment horizontal="center" vertical="center"/>
    </xf>
    <xf numFmtId="0" fontId="21" fillId="0" borderId="2" xfId="0" applyFont="1" applyBorder="1" applyAlignment="1">
      <alignment horizontal="center" vertical="center"/>
    </xf>
    <xf numFmtId="49" fontId="17" fillId="0" borderId="2" xfId="0" applyNumberFormat="1" applyFont="1" applyBorder="1" applyAlignment="1">
      <alignment horizontal="center" vertical="center"/>
    </xf>
    <xf numFmtId="49" fontId="17" fillId="0" borderId="2" xfId="0" applyNumberFormat="1" applyFont="1" applyBorder="1" applyAlignment="1">
      <alignment horizontal="center" vertical="center" wrapText="1"/>
    </xf>
    <xf numFmtId="0" fontId="12" fillId="0" borderId="35" xfId="0" applyFont="1" applyBorder="1" applyAlignment="1">
      <alignment vertical="center"/>
    </xf>
    <xf numFmtId="0" fontId="12" fillId="0" borderId="34" xfId="0" applyFont="1" applyBorder="1" applyAlignment="1">
      <alignment vertical="center"/>
    </xf>
    <xf numFmtId="0" fontId="12" fillId="0" borderId="36" xfId="0" applyFont="1" applyBorder="1" applyAlignment="1">
      <alignment vertical="center"/>
    </xf>
    <xf numFmtId="49" fontId="17" fillId="0" borderId="12" xfId="21" applyNumberFormat="1" applyFont="1" applyBorder="1">
      <alignment vertical="center"/>
    </xf>
    <xf numFmtId="49" fontId="17" fillId="0" borderId="0" xfId="21" applyNumberFormat="1" applyFont="1">
      <alignment vertical="center"/>
    </xf>
    <xf numFmtId="0" fontId="17" fillId="0" borderId="0" xfId="21" applyFont="1">
      <alignment vertical="center"/>
    </xf>
    <xf numFmtId="0" fontId="17" fillId="0" borderId="1" xfId="21" applyFont="1" applyBorder="1">
      <alignment vertical="center"/>
    </xf>
    <xf numFmtId="0" fontId="22" fillId="0" borderId="0" xfId="21" applyFont="1">
      <alignment vertical="center"/>
    </xf>
    <xf numFmtId="0" fontId="17" fillId="0" borderId="11" xfId="21" applyFont="1" applyBorder="1">
      <alignment vertical="center"/>
    </xf>
    <xf numFmtId="0" fontId="17" fillId="0" borderId="32" xfId="21" applyFont="1" applyBorder="1">
      <alignment vertical="center"/>
    </xf>
    <xf numFmtId="0" fontId="17" fillId="0" borderId="33" xfId="21" applyFont="1" applyBorder="1">
      <alignment vertical="center"/>
    </xf>
    <xf numFmtId="49" fontId="20" fillId="0" borderId="0" xfId="21" applyNumberFormat="1" applyFont="1">
      <alignment vertical="center"/>
    </xf>
    <xf numFmtId="0" fontId="17" fillId="0" borderId="34" xfId="21" applyFont="1" applyBorder="1">
      <alignment vertical="center"/>
    </xf>
    <xf numFmtId="49" fontId="22" fillId="0" borderId="0" xfId="21" applyNumberFormat="1" applyFont="1">
      <alignment vertical="center"/>
    </xf>
    <xf numFmtId="0" fontId="23" fillId="0" borderId="0" xfId="0" applyFont="1" applyAlignment="1">
      <alignment vertical="center"/>
    </xf>
    <xf numFmtId="0" fontId="12" fillId="0" borderId="1" xfId="0" applyFont="1" applyBorder="1"/>
    <xf numFmtId="0" fontId="12" fillId="0" borderId="2" xfId="0" applyFont="1" applyBorder="1"/>
    <xf numFmtId="0" fontId="12" fillId="0" borderId="3" xfId="0" applyFont="1" applyBorder="1"/>
    <xf numFmtId="0" fontId="12" fillId="3" borderId="11" xfId="0" applyFont="1" applyFill="1" applyBorder="1" applyAlignment="1">
      <alignment vertical="center"/>
    </xf>
    <xf numFmtId="0" fontId="12" fillId="3" borderId="32" xfId="0" applyFont="1" applyFill="1" applyBorder="1" applyAlignment="1">
      <alignment vertical="center"/>
    </xf>
    <xf numFmtId="0" fontId="12" fillId="3" borderId="32" xfId="0" applyFont="1" applyFill="1" applyBorder="1" applyAlignment="1">
      <alignment horizontal="centerContinuous" vertical="center"/>
    </xf>
    <xf numFmtId="0" fontId="12" fillId="3" borderId="33" xfId="0" applyFont="1" applyFill="1" applyBorder="1" applyAlignment="1">
      <alignment horizontal="centerContinuous" vertical="center"/>
    </xf>
    <xf numFmtId="0" fontId="27" fillId="0" borderId="9" xfId="0" quotePrefix="1" applyFont="1" applyBorder="1" applyAlignment="1">
      <alignment vertical="center"/>
    </xf>
    <xf numFmtId="0" fontId="27" fillId="0" borderId="10" xfId="0" applyFont="1" applyBorder="1" applyAlignment="1">
      <alignment vertical="center"/>
    </xf>
    <xf numFmtId="49" fontId="27" fillId="0" borderId="10" xfId="0" applyNumberFormat="1" applyFont="1" applyBorder="1" applyAlignment="1">
      <alignment vertical="center"/>
    </xf>
    <xf numFmtId="0" fontId="27" fillId="0" borderId="5" xfId="0" applyFont="1" applyBorder="1" applyAlignment="1">
      <alignment vertical="center"/>
    </xf>
    <xf numFmtId="0" fontId="27" fillId="0" borderId="9" xfId="0" applyFont="1" applyBorder="1" applyAlignment="1">
      <alignment vertical="center"/>
    </xf>
    <xf numFmtId="0" fontId="29" fillId="0" borderId="0" xfId="0" applyFont="1" applyAlignment="1">
      <alignment vertical="center"/>
    </xf>
    <xf numFmtId="0" fontId="27" fillId="0" borderId="10" xfId="0" applyFont="1" applyBorder="1" applyAlignment="1">
      <alignment horizontal="right" vertical="center"/>
    </xf>
    <xf numFmtId="0" fontId="27" fillId="0" borderId="10" xfId="0" quotePrefix="1" applyFont="1" applyBorder="1" applyAlignment="1">
      <alignment vertical="center"/>
    </xf>
    <xf numFmtId="49" fontId="28" fillId="0" borderId="10" xfId="0" applyNumberFormat="1" applyFont="1" applyBorder="1" applyAlignment="1">
      <alignment vertical="center"/>
    </xf>
    <xf numFmtId="0" fontId="12" fillId="0" borderId="9" xfId="0" applyFont="1" applyBorder="1" applyAlignment="1">
      <alignment vertical="center"/>
    </xf>
    <xf numFmtId="0" fontId="12" fillId="0" borderId="10" xfId="0" applyFont="1" applyBorder="1" applyAlignment="1">
      <alignment vertical="center"/>
    </xf>
    <xf numFmtId="0" fontId="12" fillId="0" borderId="5" xfId="0" applyFont="1" applyBorder="1" applyAlignment="1">
      <alignment vertical="center"/>
    </xf>
    <xf numFmtId="0" fontId="25" fillId="0" borderId="10" xfId="0" applyFont="1" applyBorder="1" applyAlignment="1">
      <alignment vertical="center"/>
    </xf>
    <xf numFmtId="0" fontId="17" fillId="0" borderId="10" xfId="0" applyFont="1" applyBorder="1" applyAlignment="1">
      <alignment vertical="center"/>
    </xf>
    <xf numFmtId="0" fontId="17" fillId="0" borderId="5" xfId="0" applyFont="1" applyBorder="1" applyAlignment="1">
      <alignment vertical="center"/>
    </xf>
    <xf numFmtId="49" fontId="17" fillId="0" borderId="10" xfId="0" applyNumberFormat="1" applyFont="1" applyBorder="1" applyAlignment="1">
      <alignment vertical="center"/>
    </xf>
    <xf numFmtId="0" fontId="7" fillId="0" borderId="10" xfId="0" applyFont="1" applyBorder="1" applyAlignment="1">
      <alignment vertical="center"/>
    </xf>
    <xf numFmtId="0" fontId="27" fillId="0" borderId="11" xfId="21" applyFont="1" applyBorder="1">
      <alignment vertical="center"/>
    </xf>
    <xf numFmtId="0" fontId="27" fillId="0" borderId="32" xfId="21" applyFont="1" applyBorder="1">
      <alignment vertical="center"/>
    </xf>
    <xf numFmtId="0" fontId="27" fillId="0" borderId="33" xfId="21" applyFont="1" applyBorder="1">
      <alignment vertical="center"/>
    </xf>
    <xf numFmtId="49" fontId="27" fillId="0" borderId="10" xfId="0" applyNumberFormat="1" applyFont="1" applyBorder="1" applyAlignment="1">
      <alignment vertical="center"/>
    </xf>
    <xf numFmtId="49" fontId="28" fillId="0" borderId="28" xfId="23" applyNumberFormat="1" applyFont="1" applyBorder="1">
      <alignment vertical="center"/>
    </xf>
    <xf numFmtId="0" fontId="27" fillId="0" borderId="10" xfId="0" applyFont="1" applyBorder="1" applyAlignment="1">
      <alignment vertical="center"/>
    </xf>
    <xf numFmtId="0" fontId="27" fillId="0" borderId="5" xfId="0" applyFont="1" applyBorder="1" applyAlignment="1">
      <alignment vertical="center"/>
    </xf>
    <xf numFmtId="0" fontId="28" fillId="0" borderId="10" xfId="0" quotePrefix="1" applyFont="1" applyBorder="1" applyAlignment="1">
      <alignment vertical="center"/>
    </xf>
    <xf numFmtId="0" fontId="28" fillId="0" borderId="10" xfId="0" applyFont="1" applyBorder="1" applyAlignment="1">
      <alignment vertical="center"/>
    </xf>
    <xf numFmtId="176" fontId="27" fillId="3" borderId="25" xfId="0" applyNumberFormat="1" applyFont="1" applyFill="1" applyBorder="1" applyAlignment="1">
      <alignment horizontal="center" vertical="center"/>
    </xf>
    <xf numFmtId="0" fontId="27" fillId="0" borderId="25" xfId="0" applyFont="1" applyBorder="1" applyAlignment="1">
      <alignment horizontal="center" vertical="center"/>
    </xf>
    <xf numFmtId="177" fontId="29" fillId="0" borderId="25" xfId="0" applyNumberFormat="1" applyFont="1" applyBorder="1" applyAlignment="1">
      <alignment horizontal="center" vertical="center"/>
    </xf>
    <xf numFmtId="49" fontId="29" fillId="0" borderId="25" xfId="0" applyNumberFormat="1" applyFont="1" applyBorder="1" applyAlignment="1">
      <alignment horizontal="center" vertical="center"/>
    </xf>
    <xf numFmtId="49" fontId="29" fillId="0" borderId="26" xfId="0" applyNumberFormat="1" applyFont="1" applyBorder="1" applyAlignment="1">
      <alignment horizontal="center" vertical="center"/>
    </xf>
    <xf numFmtId="0" fontId="27" fillId="0" borderId="0" xfId="0" applyFont="1" applyAlignment="1">
      <alignment vertical="center"/>
    </xf>
    <xf numFmtId="0" fontId="25" fillId="0" borderId="12" xfId="0" applyFont="1" applyBorder="1" applyAlignment="1">
      <alignment vertical="center"/>
    </xf>
    <xf numFmtId="0" fontId="25" fillId="0" borderId="0" xfId="0" applyFont="1" applyAlignment="1">
      <alignment vertical="center"/>
    </xf>
    <xf numFmtId="0" fontId="17" fillId="0" borderId="10" xfId="0" applyFont="1" applyFill="1" applyBorder="1" applyAlignment="1">
      <alignment vertical="center"/>
    </xf>
    <xf numFmtId="49" fontId="17" fillId="0" borderId="10" xfId="0" applyNumberFormat="1" applyFont="1" applyFill="1" applyBorder="1" applyAlignment="1">
      <alignment vertical="center"/>
    </xf>
    <xf numFmtId="0" fontId="30" fillId="0" borderId="10" xfId="0" applyFont="1" applyBorder="1" applyAlignment="1">
      <alignment vertical="center"/>
    </xf>
    <xf numFmtId="0" fontId="12" fillId="0" borderId="9" xfId="0" applyFont="1" applyBorder="1" applyAlignment="1">
      <alignment vertical="center"/>
    </xf>
    <xf numFmtId="0" fontId="12" fillId="0" borderId="10" xfId="0" applyFont="1" applyBorder="1" applyAlignment="1">
      <alignment vertical="center"/>
    </xf>
    <xf numFmtId="0" fontId="12" fillId="0" borderId="5" xfId="0" applyFont="1" applyBorder="1" applyAlignment="1">
      <alignment vertical="center"/>
    </xf>
    <xf numFmtId="0" fontId="12" fillId="0" borderId="16" xfId="0" applyFont="1" applyBorder="1" applyAlignment="1">
      <alignment vertical="center"/>
    </xf>
    <xf numFmtId="0" fontId="12" fillId="0" borderId="17" xfId="0" applyFont="1" applyBorder="1" applyAlignment="1">
      <alignment vertical="center"/>
    </xf>
    <xf numFmtId="0" fontId="12" fillId="0" borderId="6" xfId="0" applyFont="1" applyBorder="1" applyAlignment="1">
      <alignment vertical="center"/>
    </xf>
    <xf numFmtId="49" fontId="14" fillId="3" borderId="11" xfId="0" applyNumberFormat="1" applyFont="1" applyFill="1" applyBorder="1" applyAlignment="1">
      <alignment horizontal="center" vertical="center" shrinkToFit="1"/>
    </xf>
    <xf numFmtId="49" fontId="14" fillId="3" borderId="7" xfId="0" applyNumberFormat="1" applyFont="1" applyFill="1" applyBorder="1" applyAlignment="1">
      <alignment horizontal="center" vertical="center" shrinkToFit="1"/>
    </xf>
    <xf numFmtId="49" fontId="14" fillId="3" borderId="8" xfId="0" applyNumberFormat="1" applyFont="1" applyFill="1" applyBorder="1" applyAlignment="1">
      <alignment horizontal="center" vertical="center" shrinkToFit="1"/>
    </xf>
    <xf numFmtId="49" fontId="14" fillId="0" borderId="11" xfId="0" applyNumberFormat="1" applyFont="1" applyBorder="1" applyAlignment="1">
      <alignment horizontal="center" vertical="center" shrinkToFit="1"/>
    </xf>
    <xf numFmtId="49" fontId="14" fillId="0" borderId="7" xfId="0" applyNumberFormat="1" applyFont="1" applyBorder="1" applyAlignment="1">
      <alignment horizontal="center" vertical="center" shrinkToFit="1"/>
    </xf>
    <xf numFmtId="49" fontId="14" fillId="0" borderId="8" xfId="0" applyNumberFormat="1" applyFont="1" applyBorder="1" applyAlignment="1">
      <alignment horizontal="center" vertical="center" shrinkToFit="1"/>
    </xf>
    <xf numFmtId="49" fontId="14" fillId="3" borderId="24" xfId="0" applyNumberFormat="1" applyFont="1" applyFill="1" applyBorder="1" applyAlignment="1">
      <alignment horizontal="center" vertical="center" shrinkToFit="1"/>
    </xf>
    <xf numFmtId="0" fontId="12" fillId="0" borderId="14" xfId="0" applyFont="1" applyBorder="1" applyAlignment="1">
      <alignment vertical="center"/>
    </xf>
    <xf numFmtId="0" fontId="12" fillId="0" borderId="15" xfId="0" applyFont="1" applyBorder="1" applyAlignment="1">
      <alignment vertical="center"/>
    </xf>
    <xf numFmtId="0" fontId="12" fillId="0" borderId="4" xfId="0" applyFont="1" applyBorder="1" applyAlignment="1">
      <alignment vertical="center"/>
    </xf>
    <xf numFmtId="0" fontId="12" fillId="3" borderId="24" xfId="0" applyFont="1" applyFill="1" applyBorder="1" applyAlignment="1">
      <alignment horizontal="center" vertical="center"/>
    </xf>
    <xf numFmtId="49" fontId="14" fillId="0" borderId="13" xfId="0" applyNumberFormat="1" applyFont="1" applyBorder="1" applyAlignment="1">
      <alignment horizontal="center" vertical="center" shrinkToFit="1"/>
    </xf>
    <xf numFmtId="49" fontId="14" fillId="0" borderId="2" xfId="0" applyNumberFormat="1" applyFont="1" applyBorder="1" applyAlignment="1">
      <alignment horizontal="center" vertical="center" shrinkToFit="1"/>
    </xf>
    <xf numFmtId="49" fontId="14" fillId="0" borderId="3" xfId="0" applyNumberFormat="1" applyFont="1" applyBorder="1" applyAlignment="1">
      <alignment horizontal="center" vertical="center" shrinkToFit="1"/>
    </xf>
    <xf numFmtId="0" fontId="12" fillId="3" borderId="11"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13" fillId="3" borderId="24" xfId="0" applyFont="1" applyFill="1" applyBorder="1" applyAlignment="1">
      <alignment horizontal="center" vertical="center" shrinkToFit="1"/>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5" xfId="0" applyFont="1" applyBorder="1" applyAlignment="1">
      <alignment horizontal="center" vertical="center"/>
    </xf>
    <xf numFmtId="0" fontId="12" fillId="0" borderId="9"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5" xfId="0" applyFont="1" applyBorder="1" applyAlignment="1" applyProtection="1">
      <alignment horizontal="center" vertical="center"/>
      <protection locked="0"/>
    </xf>
    <xf numFmtId="0" fontId="12" fillId="0" borderId="25" xfId="0" applyFont="1" applyBorder="1" applyAlignment="1">
      <alignment horizontal="center" vertical="center"/>
    </xf>
    <xf numFmtId="0" fontId="12" fillId="0" borderId="25" xfId="0" applyFont="1" applyBorder="1" applyAlignment="1" applyProtection="1">
      <alignment horizontal="center" vertical="center"/>
      <protection locked="0"/>
    </xf>
    <xf numFmtId="0" fontId="12" fillId="0" borderId="31" xfId="0" applyFont="1" applyBorder="1" applyAlignment="1">
      <alignment horizontal="center" vertical="center"/>
    </xf>
    <xf numFmtId="0" fontId="12" fillId="0" borderId="31" xfId="0" applyFont="1" applyBorder="1" applyAlignment="1" applyProtection="1">
      <alignment horizontal="center" vertical="center"/>
      <protection locked="0"/>
    </xf>
    <xf numFmtId="0" fontId="12" fillId="0" borderId="29" xfId="0" applyFont="1" applyBorder="1" applyAlignment="1">
      <alignment horizontal="center" vertical="center"/>
    </xf>
    <xf numFmtId="0" fontId="12" fillId="0" borderId="29" xfId="0" applyFont="1" applyBorder="1" applyAlignment="1" applyProtection="1">
      <alignment horizontal="center" vertical="center"/>
      <protection locked="0"/>
    </xf>
    <xf numFmtId="49" fontId="14" fillId="3" borderId="32" xfId="0" applyNumberFormat="1" applyFont="1" applyFill="1" applyBorder="1" applyAlignment="1">
      <alignment horizontal="center" vertical="center" shrinkToFit="1"/>
    </xf>
    <xf numFmtId="49" fontId="14" fillId="3" borderId="33" xfId="0" applyNumberFormat="1" applyFont="1" applyFill="1" applyBorder="1" applyAlignment="1">
      <alignment horizontal="center" vertical="center" shrinkToFit="1"/>
    </xf>
    <xf numFmtId="49" fontId="14" fillId="0" borderId="24" xfId="0" applyNumberFormat="1" applyFont="1" applyBorder="1" applyAlignment="1">
      <alignment horizontal="center" vertical="center" shrinkToFit="1"/>
    </xf>
    <xf numFmtId="0" fontId="14" fillId="0" borderId="24" xfId="0" applyFont="1" applyBorder="1" applyAlignment="1">
      <alignment horizontal="center" vertical="center" shrinkToFit="1"/>
    </xf>
    <xf numFmtId="0" fontId="14" fillId="0" borderId="7" xfId="0" applyFont="1" applyBorder="1" applyAlignment="1">
      <alignment horizontal="center" vertical="center" shrinkToFit="1"/>
    </xf>
    <xf numFmtId="0" fontId="14" fillId="0" borderId="8" xfId="0" applyFont="1" applyBorder="1" applyAlignment="1">
      <alignment horizontal="center" vertical="center" shrinkToFit="1"/>
    </xf>
    <xf numFmtId="0" fontId="12" fillId="3" borderId="9" xfId="0" applyFont="1" applyFill="1" applyBorder="1" applyAlignment="1">
      <alignment horizontal="center" vertical="center"/>
    </xf>
    <xf numFmtId="0" fontId="12" fillId="3" borderId="5" xfId="0" applyFont="1" applyFill="1" applyBorder="1" applyAlignment="1">
      <alignment horizontal="center" vertical="center"/>
    </xf>
    <xf numFmtId="14" fontId="12" fillId="0" borderId="9" xfId="0" applyNumberFormat="1" applyFont="1" applyBorder="1" applyAlignment="1">
      <alignment horizontal="center" vertical="center"/>
    </xf>
    <xf numFmtId="14" fontId="12" fillId="0" borderId="10" xfId="0" applyNumberFormat="1" applyFont="1" applyBorder="1" applyAlignment="1">
      <alignment horizontal="center" vertical="center"/>
    </xf>
    <xf numFmtId="14" fontId="12" fillId="0" borderId="5" xfId="0" applyNumberFormat="1" applyFont="1" applyBorder="1" applyAlignment="1">
      <alignment horizontal="center" vertical="center"/>
    </xf>
    <xf numFmtId="0" fontId="12" fillId="3" borderId="33" xfId="0" applyFont="1" applyFill="1" applyBorder="1" applyAlignment="1">
      <alignment horizontal="center" vertical="center"/>
    </xf>
    <xf numFmtId="0" fontId="12" fillId="3" borderId="32"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4" xfId="0" applyFont="1" applyFill="1" applyBorder="1" applyAlignment="1">
      <alignment horizontal="center" vertical="center"/>
    </xf>
    <xf numFmtId="14" fontId="12" fillId="0" borderId="14" xfId="0" applyNumberFormat="1" applyFont="1" applyBorder="1" applyAlignment="1">
      <alignment horizontal="center" vertical="center"/>
    </xf>
    <xf numFmtId="14" fontId="12" fillId="0" borderId="15" xfId="0" applyNumberFormat="1" applyFont="1" applyBorder="1" applyAlignment="1">
      <alignment horizontal="center" vertical="center"/>
    </xf>
    <xf numFmtId="14" fontId="12" fillId="0" borderId="4" xfId="0" applyNumberFormat="1" applyFont="1" applyBorder="1" applyAlignment="1">
      <alignment horizontal="center" vertical="center"/>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6" xfId="0" applyFont="1" applyBorder="1" applyAlignment="1">
      <alignment horizontal="center" vertical="center"/>
    </xf>
    <xf numFmtId="0" fontId="12" fillId="0" borderId="9" xfId="0" applyFont="1" applyBorder="1" applyAlignment="1">
      <alignment vertical="center" wrapText="1"/>
    </xf>
    <xf numFmtId="0" fontId="24" fillId="0" borderId="9" xfId="26" applyBorder="1" applyAlignment="1">
      <alignment vertical="center"/>
    </xf>
    <xf numFmtId="0" fontId="24" fillId="0" borderId="10" xfId="26" applyBorder="1" applyAlignment="1">
      <alignment vertical="center"/>
    </xf>
    <xf numFmtId="0" fontId="24" fillId="0" borderId="5" xfId="26" applyBorder="1" applyAlignment="1">
      <alignment vertical="center"/>
    </xf>
    <xf numFmtId="14" fontId="25" fillId="0" borderId="9" xfId="0" applyNumberFormat="1" applyFont="1" applyBorder="1" applyAlignment="1">
      <alignment horizontal="center" vertical="center"/>
    </xf>
    <xf numFmtId="14" fontId="25" fillId="0" borderId="10" xfId="0" applyNumberFormat="1" applyFont="1" applyBorder="1" applyAlignment="1">
      <alignment horizontal="center" vertical="center"/>
    </xf>
    <xf numFmtId="14" fontId="25" fillId="0" borderId="5" xfId="0" applyNumberFormat="1" applyFont="1" applyBorder="1" applyAlignment="1">
      <alignment horizontal="center"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5" xfId="0" applyFont="1" applyBorder="1" applyAlignment="1">
      <alignment vertical="center"/>
    </xf>
    <xf numFmtId="0" fontId="25" fillId="0" borderId="9" xfId="0" applyFont="1" applyBorder="1" applyAlignment="1">
      <alignment horizontal="center" vertical="center"/>
    </xf>
    <xf numFmtId="0" fontId="25" fillId="0" borderId="10" xfId="0" applyFont="1" applyBorder="1" applyAlignment="1">
      <alignment horizontal="center" vertical="center"/>
    </xf>
    <xf numFmtId="0" fontId="25" fillId="0" borderId="5" xfId="0" applyFont="1" applyBorder="1" applyAlignment="1">
      <alignment horizontal="center" vertical="center"/>
    </xf>
    <xf numFmtId="0" fontId="26" fillId="0" borderId="25" xfId="0" applyFont="1" applyBorder="1" applyAlignment="1">
      <alignment horizontal="center" vertical="center"/>
    </xf>
    <xf numFmtId="0" fontId="25" fillId="0" borderId="25" xfId="0" applyFont="1" applyBorder="1" applyAlignment="1">
      <alignment horizontal="center" vertical="center"/>
    </xf>
    <xf numFmtId="14" fontId="25" fillId="0" borderId="25" xfId="0" applyNumberFormat="1" applyFont="1" applyBorder="1" applyAlignment="1">
      <alignment horizontal="center" vertical="center"/>
    </xf>
    <xf numFmtId="0" fontId="17" fillId="0" borderId="11" xfId="21" applyFont="1" applyBorder="1" applyAlignment="1">
      <alignment horizontal="center" vertical="center"/>
    </xf>
    <xf numFmtId="0" fontId="17" fillId="0" borderId="33" xfId="21" applyFont="1" applyBorder="1" applyAlignment="1">
      <alignment horizontal="center" vertical="center"/>
    </xf>
    <xf numFmtId="0" fontId="27" fillId="0" borderId="11" xfId="21" applyFont="1" applyBorder="1" applyAlignment="1">
      <alignment horizontal="center" vertical="center"/>
    </xf>
    <xf numFmtId="0" fontId="27" fillId="0" borderId="33" xfId="21" applyFont="1" applyBorder="1" applyAlignment="1">
      <alignment horizontal="center" vertical="center"/>
    </xf>
    <xf numFmtId="0" fontId="17" fillId="0" borderId="35" xfId="21" applyFont="1" applyBorder="1" applyAlignment="1">
      <alignment horizontal="center" vertical="center" wrapText="1"/>
    </xf>
    <xf numFmtId="0" fontId="17" fillId="0" borderId="34" xfId="21" applyFont="1" applyBorder="1" applyAlignment="1">
      <alignment horizontal="center" vertical="center"/>
    </xf>
    <xf numFmtId="0" fontId="17" fillId="0" borderId="36" xfId="21" applyFont="1" applyBorder="1" applyAlignment="1">
      <alignment horizontal="center" vertical="center"/>
    </xf>
    <xf numFmtId="0" fontId="17" fillId="0" borderId="13" xfId="21" applyFont="1" applyBorder="1" applyAlignment="1">
      <alignment horizontal="center" vertical="center"/>
    </xf>
    <xf numFmtId="0" fontId="17" fillId="0" borderId="2" xfId="21" applyFont="1" applyBorder="1" applyAlignment="1">
      <alignment horizontal="center" vertical="center"/>
    </xf>
    <xf numFmtId="0" fontId="17" fillId="0" borderId="3" xfId="21" applyFont="1" applyBorder="1" applyAlignment="1">
      <alignment horizontal="center" vertical="center"/>
    </xf>
    <xf numFmtId="0" fontId="17" fillId="0" borderId="35" xfId="21" applyFont="1" applyBorder="1" applyAlignment="1">
      <alignment vertical="center" wrapText="1"/>
    </xf>
    <xf numFmtId="0" fontId="17" fillId="0" borderId="34" xfId="21" applyFont="1" applyBorder="1">
      <alignment vertical="center"/>
    </xf>
    <xf numFmtId="0" fontId="17" fillId="0" borderId="36" xfId="21" applyFont="1" applyBorder="1">
      <alignment vertical="center"/>
    </xf>
    <xf numFmtId="0" fontId="17" fillId="0" borderId="12" xfId="21" applyFont="1" applyBorder="1">
      <alignment vertical="center"/>
    </xf>
    <xf numFmtId="0" fontId="17" fillId="0" borderId="0" xfId="21" applyFont="1">
      <alignment vertical="center"/>
    </xf>
    <xf numFmtId="0" fontId="17" fillId="0" borderId="1" xfId="21" applyFont="1" applyBorder="1">
      <alignment vertical="center"/>
    </xf>
    <xf numFmtId="0" fontId="17" fillId="0" borderId="13" xfId="21" applyFont="1" applyBorder="1">
      <alignment vertical="center"/>
    </xf>
    <xf numFmtId="0" fontId="17" fillId="0" borderId="2" xfId="21" applyFont="1" applyBorder="1">
      <alignment vertical="center"/>
    </xf>
    <xf numFmtId="0" fontId="17" fillId="0" borderId="3" xfId="21" applyFont="1" applyBorder="1">
      <alignment vertical="center"/>
    </xf>
    <xf numFmtId="0" fontId="27" fillId="0" borderId="9" xfId="0" applyFont="1" applyBorder="1" applyAlignment="1">
      <alignment vertical="center"/>
    </xf>
    <xf numFmtId="0" fontId="27" fillId="0" borderId="10" xfId="0" applyFont="1" applyBorder="1" applyAlignment="1">
      <alignment vertical="center"/>
    </xf>
    <xf numFmtId="0" fontId="27" fillId="0" borderId="5" xfId="0" applyFont="1" applyBorder="1" applyAlignment="1">
      <alignment vertical="center"/>
    </xf>
    <xf numFmtId="0" fontId="27" fillId="0" borderId="9" xfId="0" applyFont="1" applyBorder="1" applyAlignment="1">
      <alignment horizontal="center" vertical="center"/>
    </xf>
    <xf numFmtId="0" fontId="27" fillId="0" borderId="10" xfId="0" applyFont="1" applyBorder="1" applyAlignment="1">
      <alignment horizontal="center" vertical="center"/>
    </xf>
    <xf numFmtId="0" fontId="27" fillId="0" borderId="5" xfId="0" applyFont="1" applyBorder="1" applyAlignment="1">
      <alignment horizontal="center" vertical="center"/>
    </xf>
    <xf numFmtId="49" fontId="27" fillId="0" borderId="9" xfId="0" applyNumberFormat="1" applyFont="1" applyBorder="1" applyAlignment="1">
      <alignment vertical="center"/>
    </xf>
    <xf numFmtId="49" fontId="27" fillId="0" borderId="10" xfId="0" applyNumberFormat="1" applyFont="1" applyBorder="1" applyAlignment="1">
      <alignment vertical="center"/>
    </xf>
    <xf numFmtId="49" fontId="27" fillId="0" borderId="5" xfId="0" applyNumberFormat="1" applyFont="1" applyBorder="1" applyAlignment="1">
      <alignment vertical="center"/>
    </xf>
    <xf numFmtId="49" fontId="27" fillId="0" borderId="9" xfId="0" applyNumberFormat="1" applyFont="1" applyBorder="1" applyAlignment="1">
      <alignment vertical="center" wrapText="1"/>
    </xf>
    <xf numFmtId="0" fontId="27" fillId="0" borderId="9" xfId="0" applyFont="1" applyBorder="1" applyAlignment="1">
      <alignment horizontal="left" vertical="center" wrapText="1"/>
    </xf>
    <xf numFmtId="0" fontId="27" fillId="0" borderId="10" xfId="0" applyFont="1" applyBorder="1" applyAlignment="1">
      <alignment horizontal="left" vertical="center"/>
    </xf>
    <xf numFmtId="0" fontId="27" fillId="0" borderId="5" xfId="0" applyFont="1" applyBorder="1" applyAlignment="1">
      <alignment horizontal="left" vertical="center"/>
    </xf>
    <xf numFmtId="0" fontId="26" fillId="0" borderId="9" xfId="0" applyFont="1" applyBorder="1" applyAlignment="1">
      <alignment horizontal="center" vertical="center"/>
    </xf>
    <xf numFmtId="0" fontId="26" fillId="0" borderId="5" xfId="0" applyFont="1" applyBorder="1" applyAlignment="1">
      <alignment horizontal="center" vertical="center"/>
    </xf>
    <xf numFmtId="0" fontId="27" fillId="0" borderId="9" xfId="0" applyFont="1" applyBorder="1" applyAlignment="1">
      <alignment horizontal="left" vertical="center"/>
    </xf>
    <xf numFmtId="0" fontId="17" fillId="0" borderId="9" xfId="0" applyFont="1" applyBorder="1" applyAlignment="1">
      <alignment horizontal="center" vertical="center"/>
    </xf>
    <xf numFmtId="0" fontId="17" fillId="0" borderId="5" xfId="0" applyFont="1" applyBorder="1" applyAlignment="1">
      <alignment horizontal="center" vertical="center"/>
    </xf>
    <xf numFmtId="0" fontId="17" fillId="0" borderId="9" xfId="0" applyFont="1" applyBorder="1" applyAlignment="1">
      <alignment vertical="center"/>
    </xf>
    <xf numFmtId="0" fontId="17" fillId="0" borderId="10" xfId="0" applyFont="1" applyBorder="1" applyAlignment="1">
      <alignment vertical="center"/>
    </xf>
    <xf numFmtId="0" fontId="17" fillId="0" borderId="5" xfId="0" applyFont="1" applyBorder="1" applyAlignment="1">
      <alignment vertical="center"/>
    </xf>
    <xf numFmtId="0" fontId="17" fillId="0" borderId="10" xfId="0" applyFont="1" applyBorder="1" applyAlignment="1">
      <alignment horizontal="center" vertical="center"/>
    </xf>
    <xf numFmtId="49" fontId="17" fillId="0" borderId="9" xfId="0" applyNumberFormat="1" applyFont="1" applyBorder="1" applyAlignment="1">
      <alignment vertical="center"/>
    </xf>
    <xf numFmtId="49" fontId="17" fillId="0" borderId="10" xfId="0" applyNumberFormat="1" applyFont="1" applyBorder="1" applyAlignment="1">
      <alignment vertical="center"/>
    </xf>
    <xf numFmtId="49" fontId="17" fillId="0" borderId="5" xfId="0" applyNumberFormat="1" applyFont="1" applyBorder="1" applyAlignment="1">
      <alignment vertical="center"/>
    </xf>
    <xf numFmtId="49" fontId="17" fillId="0" borderId="9" xfId="0" applyNumberFormat="1" applyFont="1" applyBorder="1" applyAlignment="1">
      <alignment vertical="center" wrapText="1"/>
    </xf>
    <xf numFmtId="0" fontId="17" fillId="0" borderId="9" xfId="0" applyFont="1" applyBorder="1" applyAlignment="1">
      <alignment horizontal="left" vertical="center" wrapText="1"/>
    </xf>
    <xf numFmtId="0" fontId="17" fillId="0" borderId="10" xfId="0" applyFont="1" applyBorder="1" applyAlignment="1">
      <alignment horizontal="left" vertical="center"/>
    </xf>
    <xf numFmtId="0" fontId="17" fillId="0" borderId="5" xfId="0" applyFont="1" applyBorder="1" applyAlignment="1">
      <alignment horizontal="left" vertical="center"/>
    </xf>
    <xf numFmtId="0" fontId="17" fillId="0" borderId="9" xfId="0" applyFont="1" applyBorder="1" applyAlignment="1">
      <alignment horizontal="left" vertical="center"/>
    </xf>
    <xf numFmtId="0" fontId="17" fillId="0" borderId="16" xfId="0" applyFont="1" applyBorder="1" applyAlignment="1">
      <alignment horizontal="center" vertical="center"/>
    </xf>
    <xf numFmtId="0" fontId="17" fillId="0" borderId="6" xfId="0" applyFont="1" applyBorder="1" applyAlignment="1">
      <alignment horizontal="center" vertical="center"/>
    </xf>
    <xf numFmtId="49" fontId="17" fillId="0" borderId="16" xfId="0" applyNumberFormat="1" applyFont="1" applyBorder="1" applyAlignment="1">
      <alignment vertical="center" wrapText="1"/>
    </xf>
    <xf numFmtId="49" fontId="17" fillId="0" borderId="17" xfId="0" applyNumberFormat="1" applyFont="1" applyBorder="1" applyAlignment="1">
      <alignment vertical="center" wrapText="1"/>
    </xf>
    <xf numFmtId="49" fontId="17" fillId="0" borderId="6" xfId="0" applyNumberFormat="1" applyFont="1" applyBorder="1" applyAlignment="1">
      <alignment vertical="center" wrapText="1"/>
    </xf>
    <xf numFmtId="0" fontId="17" fillId="0" borderId="16" xfId="0" applyFont="1" applyBorder="1" applyAlignment="1">
      <alignment horizontal="left" vertical="center"/>
    </xf>
    <xf numFmtId="0" fontId="17" fillId="0" borderId="17" xfId="0" applyFont="1" applyBorder="1" applyAlignment="1">
      <alignment horizontal="left" vertical="center"/>
    </xf>
    <xf numFmtId="0" fontId="17" fillId="0" borderId="6" xfId="0" applyFont="1" applyBorder="1" applyAlignment="1">
      <alignment horizontal="left" vertical="center"/>
    </xf>
    <xf numFmtId="0" fontId="12" fillId="0" borderId="16" xfId="0" applyFont="1" applyBorder="1" applyAlignment="1">
      <alignment horizontal="center" vertical="center"/>
    </xf>
    <xf numFmtId="0" fontId="12" fillId="0" borderId="6" xfId="0" applyFont="1" applyBorder="1" applyAlignment="1">
      <alignment horizontal="center" vertical="center"/>
    </xf>
    <xf numFmtId="0" fontId="12" fillId="0" borderId="18" xfId="0" applyFont="1" applyBorder="1" applyAlignment="1">
      <alignment horizontal="center" vertical="center"/>
    </xf>
    <xf numFmtId="0" fontId="12" fillId="0" borderId="20" xfId="0" applyFont="1" applyBorder="1" applyAlignment="1">
      <alignment horizontal="center" vertical="center"/>
    </xf>
    <xf numFmtId="0" fontId="20" fillId="0" borderId="14" xfId="0" applyFont="1" applyBorder="1" applyAlignment="1">
      <alignment vertical="center"/>
    </xf>
    <xf numFmtId="0" fontId="20" fillId="0" borderId="15" xfId="0" applyFont="1" applyBorder="1" applyAlignment="1">
      <alignment vertical="center"/>
    </xf>
    <xf numFmtId="0" fontId="20" fillId="0" borderId="4" xfId="0" applyFont="1" applyBorder="1" applyAlignment="1">
      <alignment vertical="center"/>
    </xf>
    <xf numFmtId="0" fontId="17" fillId="0" borderId="14" xfId="0" applyFont="1" applyBorder="1" applyAlignment="1">
      <alignment horizontal="center" vertical="center"/>
    </xf>
    <xf numFmtId="0" fontId="17" fillId="0" borderId="15" xfId="0" applyFont="1" applyBorder="1" applyAlignment="1">
      <alignment horizontal="center" vertical="center"/>
    </xf>
    <xf numFmtId="0" fontId="17" fillId="0" borderId="4" xfId="0" applyFont="1" applyBorder="1" applyAlignment="1">
      <alignment horizontal="center" vertical="center"/>
    </xf>
    <xf numFmtId="0" fontId="17" fillId="0" borderId="16" xfId="0" applyFont="1" applyBorder="1" applyAlignment="1">
      <alignment vertical="center"/>
    </xf>
    <xf numFmtId="0" fontId="17" fillId="0" borderId="17" xfId="0" applyFont="1" applyBorder="1" applyAlignment="1">
      <alignment vertical="center"/>
    </xf>
    <xf numFmtId="0" fontId="17" fillId="0" borderId="6" xfId="0" applyFont="1" applyBorder="1" applyAlignment="1">
      <alignment vertical="center"/>
    </xf>
    <xf numFmtId="0" fontId="17" fillId="0" borderId="17" xfId="0" applyFont="1" applyBorder="1" applyAlignment="1">
      <alignment horizontal="center" vertical="center"/>
    </xf>
    <xf numFmtId="0" fontId="17" fillId="4" borderId="9" xfId="0" applyFont="1" applyFill="1" applyBorder="1" applyAlignment="1">
      <alignment horizontal="center" vertical="center"/>
    </xf>
    <xf numFmtId="0" fontId="17" fillId="4" borderId="10" xfId="0" applyFont="1" applyFill="1" applyBorder="1" applyAlignment="1">
      <alignment horizontal="center" vertical="center"/>
    </xf>
    <xf numFmtId="0" fontId="17" fillId="4" borderId="5" xfId="0" applyFont="1" applyFill="1" applyBorder="1" applyAlignment="1">
      <alignment horizontal="center" vertical="center"/>
    </xf>
    <xf numFmtId="0" fontId="20" fillId="0" borderId="9" xfId="0" applyFont="1" applyBorder="1" applyAlignment="1">
      <alignment vertical="center"/>
    </xf>
    <xf numFmtId="0" fontId="20" fillId="0" borderId="10" xfId="0" applyFont="1" applyBorder="1" applyAlignment="1">
      <alignment vertical="center"/>
    </xf>
    <xf numFmtId="0" fontId="20" fillId="0" borderId="5" xfId="0" applyFont="1" applyBorder="1" applyAlignment="1">
      <alignment vertical="center"/>
    </xf>
    <xf numFmtId="0" fontId="16" fillId="0" borderId="27" xfId="0" applyFont="1" applyBorder="1" applyAlignment="1">
      <alignment horizontal="center" vertical="center"/>
    </xf>
    <xf numFmtId="0" fontId="16" fillId="0" borderId="30" xfId="0" applyFont="1" applyBorder="1" applyAlignment="1">
      <alignment horizontal="center" vertical="center"/>
    </xf>
    <xf numFmtId="0" fontId="17" fillId="0" borderId="14" xfId="0" applyFont="1" applyBorder="1" applyAlignment="1">
      <alignment horizontal="left" vertical="center"/>
    </xf>
    <xf numFmtId="0" fontId="17" fillId="0" borderId="15" xfId="0" applyFont="1" applyBorder="1" applyAlignment="1">
      <alignment horizontal="left" vertical="center"/>
    </xf>
    <xf numFmtId="0" fontId="17" fillId="0" borderId="4" xfId="0" applyFont="1" applyBorder="1" applyAlignment="1">
      <alignment horizontal="left" vertical="center"/>
    </xf>
    <xf numFmtId="0" fontId="12" fillId="0" borderId="14" xfId="0" applyFont="1" applyBorder="1" applyAlignment="1">
      <alignment horizontal="center" vertical="center"/>
    </xf>
    <xf numFmtId="0" fontId="12" fillId="0" borderId="4" xfId="0" applyFont="1" applyBorder="1" applyAlignment="1">
      <alignment horizontal="center" vertical="center"/>
    </xf>
    <xf numFmtId="49" fontId="17" fillId="0" borderId="14" xfId="0" applyNumberFormat="1" applyFont="1" applyBorder="1" applyAlignment="1">
      <alignment vertical="center" wrapText="1"/>
    </xf>
    <xf numFmtId="49" fontId="17" fillId="0" borderId="15" xfId="0" applyNumberFormat="1" applyFont="1" applyBorder="1" applyAlignment="1">
      <alignment vertical="center"/>
    </xf>
    <xf numFmtId="49" fontId="17" fillId="0" borderId="4" xfId="0" applyNumberFormat="1" applyFont="1" applyBorder="1" applyAlignment="1">
      <alignment vertical="center"/>
    </xf>
    <xf numFmtId="0" fontId="17" fillId="0" borderId="14" xfId="0" applyFont="1" applyBorder="1" applyAlignment="1">
      <alignment vertical="center"/>
    </xf>
    <xf numFmtId="0" fontId="17" fillId="0" borderId="15" xfId="0" applyFont="1" applyBorder="1" applyAlignment="1">
      <alignment vertical="center"/>
    </xf>
    <xf numFmtId="0" fontId="17" fillId="0" borderId="4" xfId="0" applyFont="1" applyBorder="1" applyAlignment="1">
      <alignment vertical="center"/>
    </xf>
    <xf numFmtId="49" fontId="14" fillId="3" borderId="11" xfId="0" applyNumberFormat="1" applyFont="1" applyFill="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49" fontId="14" fillId="0" borderId="11" xfId="0" applyNumberFormat="1" applyFont="1" applyBorder="1" applyAlignment="1">
      <alignment horizontal="center" vertical="center"/>
    </xf>
    <xf numFmtId="0" fontId="17" fillId="0" borderId="9" xfId="0" quotePrefix="1" applyFont="1" applyBorder="1" applyAlignment="1">
      <alignment horizontal="center" vertical="center"/>
    </xf>
    <xf numFmtId="49" fontId="28" fillId="0" borderId="9" xfId="0" applyNumberFormat="1" applyFont="1" applyBorder="1" applyAlignment="1">
      <alignment vertical="center" wrapText="1"/>
    </xf>
    <xf numFmtId="49" fontId="28" fillId="0" borderId="10" xfId="0" applyNumberFormat="1" applyFont="1" applyBorder="1" applyAlignment="1">
      <alignment vertical="center"/>
    </xf>
    <xf numFmtId="49" fontId="28" fillId="0" borderId="5" xfId="0" applyNumberFormat="1" applyFont="1" applyBorder="1" applyAlignment="1">
      <alignment vertical="center"/>
    </xf>
    <xf numFmtId="49" fontId="28" fillId="0" borderId="9" xfId="0" applyNumberFormat="1" applyFont="1" applyBorder="1" applyAlignment="1">
      <alignment vertical="center"/>
    </xf>
    <xf numFmtId="0" fontId="28" fillId="0" borderId="9" xfId="0" applyFont="1" applyBorder="1" applyAlignment="1">
      <alignment horizontal="left" vertical="center" wrapText="1"/>
    </xf>
    <xf numFmtId="0" fontId="28" fillId="0" borderId="10" xfId="0" applyFont="1" applyBorder="1" applyAlignment="1">
      <alignment horizontal="left" vertical="center"/>
    </xf>
    <xf numFmtId="0" fontId="28" fillId="0" borderId="5" xfId="0" applyFont="1" applyBorder="1" applyAlignment="1">
      <alignment horizontal="left" vertical="center"/>
    </xf>
    <xf numFmtId="49" fontId="17" fillId="0" borderId="10" xfId="0" applyNumberFormat="1" applyFont="1" applyBorder="1" applyAlignment="1">
      <alignment vertical="center" wrapText="1"/>
    </xf>
    <xf numFmtId="49" fontId="17" fillId="0" borderId="5" xfId="0" applyNumberFormat="1" applyFont="1" applyBorder="1" applyAlignment="1">
      <alignment vertical="center" wrapText="1"/>
    </xf>
    <xf numFmtId="0" fontId="28" fillId="0" borderId="9" xfId="0" applyFont="1" applyBorder="1" applyAlignment="1">
      <alignment vertical="center"/>
    </xf>
    <xf numFmtId="0" fontId="28" fillId="0" borderId="10" xfId="0" applyFont="1" applyBorder="1" applyAlignment="1">
      <alignment vertical="center"/>
    </xf>
    <xf numFmtId="0" fontId="28" fillId="0" borderId="5" xfId="0" applyFont="1" applyBorder="1" applyAlignment="1">
      <alignment vertical="center"/>
    </xf>
    <xf numFmtId="0" fontId="28" fillId="4" borderId="9" xfId="0" applyFont="1" applyFill="1" applyBorder="1" applyAlignment="1">
      <alignment horizontal="center" vertical="center"/>
    </xf>
    <xf numFmtId="0" fontId="28" fillId="4" borderId="10" xfId="0" applyFont="1" applyFill="1" applyBorder="1" applyAlignment="1">
      <alignment horizontal="center" vertical="center"/>
    </xf>
    <xf numFmtId="0" fontId="28" fillId="4" borderId="5" xfId="0" applyFont="1" applyFill="1" applyBorder="1" applyAlignment="1">
      <alignment horizontal="center" vertical="center"/>
    </xf>
    <xf numFmtId="0" fontId="28" fillId="0" borderId="9" xfId="0" applyFont="1" applyBorder="1" applyAlignment="1">
      <alignment horizontal="center" vertical="center"/>
    </xf>
    <xf numFmtId="0" fontId="28" fillId="0" borderId="5" xfId="0" applyFont="1" applyBorder="1" applyAlignment="1">
      <alignment horizontal="center" vertical="center"/>
    </xf>
    <xf numFmtId="0" fontId="27" fillId="4" borderId="9" xfId="0" applyFont="1" applyFill="1" applyBorder="1" applyAlignment="1">
      <alignment horizontal="center" vertical="center"/>
    </xf>
    <xf numFmtId="0" fontId="27" fillId="4" borderId="10" xfId="0" applyFont="1" applyFill="1" applyBorder="1" applyAlignment="1">
      <alignment horizontal="center" vertical="center"/>
    </xf>
    <xf numFmtId="0" fontId="27" fillId="4" borderId="5" xfId="0" applyFont="1" applyFill="1" applyBorder="1" applyAlignment="1">
      <alignment horizontal="center" vertical="center"/>
    </xf>
    <xf numFmtId="0" fontId="12" fillId="5" borderId="9" xfId="0" applyFont="1" applyFill="1" applyBorder="1" applyAlignment="1">
      <alignment vertical="center" shrinkToFit="1"/>
    </xf>
    <xf numFmtId="0" fontId="12" fillId="5" borderId="10" xfId="0" applyFont="1" applyFill="1" applyBorder="1" applyAlignment="1">
      <alignment vertical="center" shrinkToFit="1"/>
    </xf>
    <xf numFmtId="0" fontId="12" fillId="5" borderId="5" xfId="0" applyFont="1" applyFill="1" applyBorder="1" applyAlignment="1">
      <alignment vertical="center" shrinkToFit="1"/>
    </xf>
    <xf numFmtId="0" fontId="12" fillId="5" borderId="16" xfId="0" applyFont="1" applyFill="1" applyBorder="1" applyAlignment="1">
      <alignment vertical="center" shrinkToFit="1"/>
    </xf>
    <xf numFmtId="0" fontId="12" fillId="5" borderId="17" xfId="0" applyFont="1" applyFill="1" applyBorder="1" applyAlignment="1">
      <alignment vertical="center" shrinkToFit="1"/>
    </xf>
    <xf numFmtId="0" fontId="12" fillId="5" borderId="6" xfId="0" applyFont="1" applyFill="1" applyBorder="1" applyAlignment="1">
      <alignment vertical="center" shrinkToFit="1"/>
    </xf>
    <xf numFmtId="0" fontId="25" fillId="5" borderId="9" xfId="0" applyFont="1" applyFill="1" applyBorder="1" applyAlignment="1">
      <alignment vertical="center" shrinkToFit="1"/>
    </xf>
    <xf numFmtId="0" fontId="25" fillId="5" borderId="10" xfId="0" applyFont="1" applyFill="1" applyBorder="1" applyAlignment="1">
      <alignment vertical="center" shrinkToFit="1"/>
    </xf>
    <xf numFmtId="0" fontId="25" fillId="5" borderId="5" xfId="0" applyFont="1" applyFill="1" applyBorder="1" applyAlignment="1">
      <alignment vertical="center" shrinkToFit="1"/>
    </xf>
    <xf numFmtId="49" fontId="12" fillId="3" borderId="11" xfId="0" applyNumberFormat="1" applyFont="1" applyFill="1" applyBorder="1" applyAlignment="1">
      <alignment horizontal="center" vertical="center"/>
    </xf>
    <xf numFmtId="49" fontId="12" fillId="3" borderId="32" xfId="0" applyNumberFormat="1" applyFont="1" applyFill="1" applyBorder="1" applyAlignment="1">
      <alignment horizontal="center" vertical="center"/>
    </xf>
    <xf numFmtId="49" fontId="12" fillId="3" borderId="33" xfId="0" applyNumberFormat="1" applyFont="1" applyFill="1" applyBorder="1" applyAlignment="1">
      <alignment horizontal="center" vertical="center"/>
    </xf>
    <xf numFmtId="0" fontId="14" fillId="0" borderId="32" xfId="0" applyFont="1" applyBorder="1" applyAlignment="1">
      <alignment horizontal="center" vertical="center" shrinkToFit="1"/>
    </xf>
    <xf numFmtId="0" fontId="14" fillId="0" borderId="33" xfId="0" applyFont="1" applyBorder="1" applyAlignment="1">
      <alignment horizontal="center" vertical="center" shrinkToFit="1"/>
    </xf>
    <xf numFmtId="0" fontId="18" fillId="0" borderId="9" xfId="0" applyFont="1" applyBorder="1" applyAlignment="1">
      <alignment horizontal="center" vertical="center"/>
    </xf>
    <xf numFmtId="0" fontId="18" fillId="0" borderId="5" xfId="0" applyFont="1" applyBorder="1" applyAlignment="1">
      <alignment horizontal="center" vertical="center"/>
    </xf>
    <xf numFmtId="0" fontId="0" fillId="0" borderId="0" xfId="0" applyAlignment="1">
      <alignment horizontal="left" vertical="center" wrapText="1" indent="1"/>
    </xf>
    <xf numFmtId="0" fontId="0" fillId="0" borderId="0" xfId="0" applyAlignment="1">
      <alignment wrapText="1"/>
    </xf>
    <xf numFmtId="49" fontId="24" fillId="0" borderId="0" xfId="26" applyNumberFormat="1" applyAlignment="1">
      <alignment horizontal="center" vertical="center"/>
    </xf>
  </cellXfs>
  <cellStyles count="27">
    <cellStyle name="ハイパーリンク" xfId="26" builtinId="8"/>
    <cellStyle name="標準" xfId="0" builtinId="0"/>
    <cellStyle name="標準 10" xfId="21" xr:uid="{00000000-0005-0000-0000-000002000000}"/>
    <cellStyle name="標準 2" xfId="1" xr:uid="{00000000-0005-0000-0000-000003000000}"/>
    <cellStyle name="標準 2 2" xfId="2" xr:uid="{00000000-0005-0000-0000-000004000000}"/>
    <cellStyle name="標準 2 2 2" xfId="25" xr:uid="{5AE1B932-BBD1-40A7-A0A6-D0E4EDE9D008}"/>
    <cellStyle name="標準 2 3" xfId="3" xr:uid="{00000000-0005-0000-0000-000005000000}"/>
    <cellStyle name="標準 2 3 2" xfId="4" xr:uid="{00000000-0005-0000-0000-000006000000}"/>
    <cellStyle name="標準 2 3 3" xfId="5" xr:uid="{00000000-0005-0000-0000-000007000000}"/>
    <cellStyle name="標準 2 3_＊@雛形作成中（０．１版）_20110517" xfId="6" xr:uid="{00000000-0005-0000-0000-000008000000}"/>
    <cellStyle name="標準 2 4" xfId="7" xr:uid="{00000000-0005-0000-0000-000009000000}"/>
    <cellStyle name="標準 2 5" xfId="8" xr:uid="{00000000-0005-0000-0000-00000A000000}"/>
    <cellStyle name="標準 2 5 2" xfId="9" xr:uid="{00000000-0005-0000-0000-00000B000000}"/>
    <cellStyle name="標準 2 5_＊@雛形作成中（０．１版）_20110517" xfId="10" xr:uid="{00000000-0005-0000-0000-00000C000000}"/>
    <cellStyle name="標準 2 6" xfId="11" xr:uid="{00000000-0005-0000-0000-00000D000000}"/>
    <cellStyle name="標準 2 7" xfId="22" xr:uid="{00000000-0005-0000-0000-00000E000000}"/>
    <cellStyle name="標準 2_(From Nexs)KI09E1000ユーザーメンテナンス" xfId="12" xr:uid="{00000000-0005-0000-0000-00000F000000}"/>
    <cellStyle name="標準 2_【結合】(1_会員) 03_テスト項目一覧_チーム内結合テスト 3" xfId="13" xr:uid="{00000000-0005-0000-0000-000011000000}"/>
    <cellStyle name="標準 3" xfId="14" xr:uid="{00000000-0005-0000-0000-000012000000}"/>
    <cellStyle name="標準 4" xfId="15" xr:uid="{00000000-0005-0000-0000-000013000000}"/>
    <cellStyle name="標準 5" xfId="16" xr:uid="{00000000-0005-0000-0000-000014000000}"/>
    <cellStyle name="標準 6" xfId="17" xr:uid="{00000000-0005-0000-0000-000015000000}"/>
    <cellStyle name="標準 7" xfId="18" xr:uid="{00000000-0005-0000-0000-000016000000}"/>
    <cellStyle name="標準 7 2" xfId="23" xr:uid="{0BC31320-7422-42FC-B815-94E253C2938D}"/>
    <cellStyle name="標準 8" xfId="19" xr:uid="{00000000-0005-0000-0000-000017000000}"/>
    <cellStyle name="標準 8 2" xfId="24" xr:uid="{4853A748-4DB3-4405-BA85-A273F84EADD0}"/>
    <cellStyle name="標準 9" xfId="20" xr:uid="{00000000-0005-0000-0000-000018000000}"/>
  </cellStyles>
  <dxfs count="0"/>
  <tableStyles count="0" defaultTableStyle="TableStyleMedium9" defaultPivotStyle="PivotStyleLight16"/>
  <colors>
    <mruColors>
      <color rgb="FF800080"/>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13</xdr:col>
      <xdr:colOff>0</xdr:colOff>
      <xdr:row>16</xdr:row>
      <xdr:rowOff>1</xdr:rowOff>
    </xdr:from>
    <xdr:to>
      <xdr:col>19</xdr:col>
      <xdr:colOff>0</xdr:colOff>
      <xdr:row>16</xdr:row>
      <xdr:rowOff>1</xdr:rowOff>
    </xdr:to>
    <xdr:cxnSp macro="">
      <xdr:nvCxnSpPr>
        <xdr:cNvPr id="2" name="直線矢印コネクタ 1">
          <a:extLst>
            <a:ext uri="{FF2B5EF4-FFF2-40B4-BE49-F238E27FC236}">
              <a16:creationId xmlns:a16="http://schemas.microsoft.com/office/drawing/2014/main" id="{EDD4D032-21BF-4D7D-9BD4-1D0B11C12716}"/>
            </a:ext>
          </a:extLst>
        </xdr:cNvPr>
        <xdr:cNvCxnSpPr/>
      </xdr:nvCxnSpPr>
      <xdr:spPr>
        <a:xfrm flipH="1">
          <a:off x="2393950" y="2324101"/>
          <a:ext cx="1104900" cy="0"/>
        </a:xfrm>
        <a:prstGeom prst="straightConnector1">
          <a:avLst/>
        </a:prstGeom>
        <a:ln>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xdr:colOff>
      <xdr:row>17</xdr:row>
      <xdr:rowOff>2</xdr:rowOff>
    </xdr:from>
    <xdr:to>
      <xdr:col>23</xdr:col>
      <xdr:colOff>22412</xdr:colOff>
      <xdr:row>24</xdr:row>
      <xdr:rowOff>0</xdr:rowOff>
    </xdr:to>
    <xdr:cxnSp macro="">
      <xdr:nvCxnSpPr>
        <xdr:cNvPr id="3" name="直線矢印コネクタ 3">
          <a:extLst>
            <a:ext uri="{FF2B5EF4-FFF2-40B4-BE49-F238E27FC236}">
              <a16:creationId xmlns:a16="http://schemas.microsoft.com/office/drawing/2014/main" id="{9B349442-8BF7-4893-8CD2-37DC610D3269}"/>
            </a:ext>
          </a:extLst>
        </xdr:cNvPr>
        <xdr:cNvCxnSpPr/>
      </xdr:nvCxnSpPr>
      <xdr:spPr>
        <a:xfrm rot="5400000">
          <a:off x="2646459" y="2998696"/>
          <a:ext cx="2095498" cy="1127309"/>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16</xdr:row>
      <xdr:rowOff>1</xdr:rowOff>
    </xdr:from>
    <xdr:to>
      <xdr:col>32</xdr:col>
      <xdr:colOff>0</xdr:colOff>
      <xdr:row>16</xdr:row>
      <xdr:rowOff>11205</xdr:rowOff>
    </xdr:to>
    <xdr:cxnSp macro="">
      <xdr:nvCxnSpPr>
        <xdr:cNvPr id="4" name="直線矢印コネクタ 3">
          <a:extLst>
            <a:ext uri="{FF2B5EF4-FFF2-40B4-BE49-F238E27FC236}">
              <a16:creationId xmlns:a16="http://schemas.microsoft.com/office/drawing/2014/main" id="{3AC12CBA-314C-49AC-9D0D-FE9874722327}"/>
            </a:ext>
          </a:extLst>
        </xdr:cNvPr>
        <xdr:cNvCxnSpPr/>
      </xdr:nvCxnSpPr>
      <xdr:spPr>
        <a:xfrm flipV="1">
          <a:off x="4972050" y="2324101"/>
          <a:ext cx="920750" cy="11204"/>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12</xdr:row>
      <xdr:rowOff>1</xdr:rowOff>
    </xdr:from>
    <xdr:to>
      <xdr:col>23</xdr:col>
      <xdr:colOff>0</xdr:colOff>
      <xdr:row>15</xdr:row>
      <xdr:rowOff>0</xdr:rowOff>
    </xdr:to>
    <xdr:cxnSp macro="">
      <xdr:nvCxnSpPr>
        <xdr:cNvPr id="5" name="直線矢印コネクタ 4">
          <a:extLst>
            <a:ext uri="{FF2B5EF4-FFF2-40B4-BE49-F238E27FC236}">
              <a16:creationId xmlns:a16="http://schemas.microsoft.com/office/drawing/2014/main" id="{4557070A-8B7D-4016-A015-56620E0E2CC0}"/>
            </a:ext>
          </a:extLst>
        </xdr:cNvPr>
        <xdr:cNvCxnSpPr/>
      </xdr:nvCxnSpPr>
      <xdr:spPr>
        <a:xfrm flipV="1">
          <a:off x="4235450" y="1562101"/>
          <a:ext cx="0" cy="571499"/>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9</xdr:row>
      <xdr:rowOff>0</xdr:rowOff>
    </xdr:from>
    <xdr:to>
      <xdr:col>26</xdr:col>
      <xdr:colOff>0</xdr:colOff>
      <xdr:row>12</xdr:row>
      <xdr:rowOff>0</xdr:rowOff>
    </xdr:to>
    <xdr:sp macro="" textlink="">
      <xdr:nvSpPr>
        <xdr:cNvPr id="6" name="AutoShape 6">
          <a:extLst>
            <a:ext uri="{FF2B5EF4-FFF2-40B4-BE49-F238E27FC236}">
              <a16:creationId xmlns:a16="http://schemas.microsoft.com/office/drawing/2014/main" id="{B510A32D-9842-491A-9F76-4BA3B4F10C38}"/>
            </a:ext>
          </a:extLst>
        </xdr:cNvPr>
        <xdr:cNvSpPr>
          <a:spLocks noChangeArrowheads="1"/>
        </xdr:cNvSpPr>
      </xdr:nvSpPr>
      <xdr:spPr bwMode="auto">
        <a:xfrm>
          <a:off x="3683000" y="990600"/>
          <a:ext cx="1104900" cy="571500"/>
        </a:xfrm>
        <a:prstGeom prst="flowChartDisplay">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画面</a:t>
          </a:r>
        </a:p>
      </xdr:txBody>
    </xdr:sp>
    <xdr:clientData/>
  </xdr:twoCellAnchor>
  <xdr:twoCellAnchor>
    <xdr:from>
      <xdr:col>23</xdr:col>
      <xdr:colOff>19050</xdr:colOff>
      <xdr:row>17</xdr:row>
      <xdr:rowOff>0</xdr:rowOff>
    </xdr:from>
    <xdr:to>
      <xdr:col>29</xdr:col>
      <xdr:colOff>19050</xdr:colOff>
      <xdr:row>24</xdr:row>
      <xdr:rowOff>0</xdr:rowOff>
    </xdr:to>
    <xdr:cxnSp macro="">
      <xdr:nvCxnSpPr>
        <xdr:cNvPr id="7" name="直線矢印コネクタ 3">
          <a:extLst>
            <a:ext uri="{FF2B5EF4-FFF2-40B4-BE49-F238E27FC236}">
              <a16:creationId xmlns:a16="http://schemas.microsoft.com/office/drawing/2014/main" id="{A60EC56F-EE7D-4030-AD66-17209160C29A}"/>
            </a:ext>
          </a:extLst>
        </xdr:cNvPr>
        <xdr:cNvCxnSpPr/>
      </xdr:nvCxnSpPr>
      <xdr:spPr>
        <a:xfrm rot="16200000" flipH="1">
          <a:off x="4657725" y="3467100"/>
          <a:ext cx="2095500" cy="12001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40</xdr:col>
      <xdr:colOff>119025</xdr:colOff>
      <xdr:row>33</xdr:row>
      <xdr:rowOff>171353</xdr:rowOff>
    </xdr:to>
    <xdr:pic>
      <xdr:nvPicPr>
        <xdr:cNvPr id="8" name="図 7">
          <a:extLst>
            <a:ext uri="{FF2B5EF4-FFF2-40B4-BE49-F238E27FC236}">
              <a16:creationId xmlns:a16="http://schemas.microsoft.com/office/drawing/2014/main" id="{066384CC-B7A3-4367-A49B-93D72F383E46}"/>
            </a:ext>
          </a:extLst>
        </xdr:cNvPr>
        <xdr:cNvPicPr>
          <a:picLocks noChangeAspect="1"/>
        </xdr:cNvPicPr>
      </xdr:nvPicPr>
      <xdr:blipFill>
        <a:blip xmlns:r="http://schemas.openxmlformats.org/officeDocument/2006/relationships" r:embed="rId1"/>
        <a:stretch>
          <a:fillRect/>
        </a:stretch>
      </xdr:blipFill>
      <xdr:spPr>
        <a:xfrm>
          <a:off x="200025" y="790575"/>
          <a:ext cx="7920000" cy="49719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0</xdr:colOff>
      <xdr:row>3</xdr:row>
      <xdr:rowOff>0</xdr:rowOff>
    </xdr:to>
    <xdr:pic>
      <xdr:nvPicPr>
        <xdr:cNvPr id="222018" name="CommandButton1">
          <a:extLst>
            <a:ext uri="{FF2B5EF4-FFF2-40B4-BE49-F238E27FC236}">
              <a16:creationId xmlns:a16="http://schemas.microsoft.com/office/drawing/2014/main" id="{00000000-0008-0000-0B00-000042630300}"/>
            </a:ext>
          </a:extLst>
        </xdr:cNvPr>
        <xdr:cNvPicPr preferRelativeResize="0">
          <a:picLocks noChangeArrowheads="1" noChangeShapeType="1"/>
        </xdr:cNvPicPr>
      </xdr:nvPicPr>
      <xdr:blipFill>
        <a:blip xmlns:r="http://schemas.openxmlformats.org/officeDocument/2006/relationships" r:embed="rId1" cstate="print"/>
        <a:srcRect/>
        <a:stretch>
          <a:fillRect/>
        </a:stretch>
      </xdr:blipFill>
      <xdr:spPr bwMode="auto">
        <a:xfrm>
          <a:off x="685800" y="171450"/>
          <a:ext cx="2057400" cy="342900"/>
        </a:xfrm>
        <a:prstGeom prst="rect">
          <a:avLst/>
        </a:prstGeom>
        <a:noFill/>
        <a:ln w="9525">
          <a:noFill/>
          <a:miter lim="800000"/>
          <a:headEnd/>
          <a:tailEnd/>
        </a:ln>
        <a:effectLst>
          <a:outerShdw dist="35921" dir="2700000" algn="ctr" rotWithShape="0">
            <a:srgbClr val="000000"/>
          </a:outerShdw>
        </a:effectLst>
      </xdr:spPr>
    </xdr:pic>
    <xdr:clientData/>
  </xdr:twoCellAnchor>
  <xdr:twoCellAnchor editAs="oneCell">
    <xdr:from>
      <xdr:col>1</xdr:col>
      <xdr:colOff>0</xdr:colOff>
      <xdr:row>3</xdr:row>
      <xdr:rowOff>0</xdr:rowOff>
    </xdr:from>
    <xdr:to>
      <xdr:col>2</xdr:col>
      <xdr:colOff>0</xdr:colOff>
      <xdr:row>5</xdr:row>
      <xdr:rowOff>0</xdr:rowOff>
    </xdr:to>
    <xdr:pic>
      <xdr:nvPicPr>
        <xdr:cNvPr id="222022" name="OptionButton1">
          <a:extLst>
            <a:ext uri="{FF2B5EF4-FFF2-40B4-BE49-F238E27FC236}">
              <a16:creationId xmlns:a16="http://schemas.microsoft.com/office/drawing/2014/main" id="{00000000-0008-0000-0B00-000046630300}"/>
            </a:ext>
          </a:extLst>
        </xdr:cNvPr>
        <xdr:cNvPicPr preferRelativeResize="0">
          <a:picLocks noChangeArrowheads="1" noChangeShapeType="1"/>
        </xdr:cNvPicPr>
      </xdr:nvPicPr>
      <xdr:blipFill>
        <a:blip xmlns:r="http://schemas.openxmlformats.org/officeDocument/2006/relationships" r:embed="rId2" cstate="print"/>
        <a:srcRect/>
        <a:stretch>
          <a:fillRect/>
        </a:stretch>
      </xdr:blipFill>
      <xdr:spPr bwMode="auto">
        <a:xfrm>
          <a:off x="685800" y="514350"/>
          <a:ext cx="2057400" cy="342900"/>
        </a:xfrm>
        <a:prstGeom prst="rect">
          <a:avLst/>
        </a:prstGeom>
        <a:noFill/>
        <a:ln w="1">
          <a:noFill/>
          <a:miter lim="800000"/>
          <a:headEnd/>
          <a:tailEnd/>
        </a:ln>
      </xdr:spPr>
    </xdr:pic>
    <xdr:clientData/>
  </xdr:twoCellAnchor>
  <xdr:twoCellAnchor editAs="oneCell">
    <xdr:from>
      <xdr:col>1</xdr:col>
      <xdr:colOff>0</xdr:colOff>
      <xdr:row>5</xdr:row>
      <xdr:rowOff>0</xdr:rowOff>
    </xdr:from>
    <xdr:to>
      <xdr:col>2</xdr:col>
      <xdr:colOff>0</xdr:colOff>
      <xdr:row>7</xdr:row>
      <xdr:rowOff>0</xdr:rowOff>
    </xdr:to>
    <xdr:pic>
      <xdr:nvPicPr>
        <xdr:cNvPr id="222023" name="OptionButton2">
          <a:extLst>
            <a:ext uri="{FF2B5EF4-FFF2-40B4-BE49-F238E27FC236}">
              <a16:creationId xmlns:a16="http://schemas.microsoft.com/office/drawing/2014/main" id="{00000000-0008-0000-0B00-000047630300}"/>
            </a:ext>
          </a:extLst>
        </xdr:cNvPr>
        <xdr:cNvPicPr preferRelativeResize="0">
          <a:picLocks noChangeArrowheads="1" noChangeShapeType="1"/>
        </xdr:cNvPicPr>
      </xdr:nvPicPr>
      <xdr:blipFill>
        <a:blip xmlns:r="http://schemas.openxmlformats.org/officeDocument/2006/relationships" r:embed="rId3" cstate="print"/>
        <a:srcRect/>
        <a:stretch>
          <a:fillRect/>
        </a:stretch>
      </xdr:blipFill>
      <xdr:spPr bwMode="auto">
        <a:xfrm>
          <a:off x="685800" y="857250"/>
          <a:ext cx="2057400" cy="342900"/>
        </a:xfrm>
        <a:prstGeom prst="rect">
          <a:avLst/>
        </a:prstGeom>
        <a:noFill/>
        <a:ln w="1">
          <a:noFill/>
          <a:miter lim="800000"/>
          <a:headEnd/>
          <a:tailEnd/>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C50"/>
  <sheetViews>
    <sheetView tabSelected="1" zoomScaleNormal="100" workbookViewId="0">
      <pane ySplit="4" topLeftCell="A5" activePane="bottomLeft" state="frozenSplit"/>
      <selection sqref="A1:XFD1048576"/>
      <selection pane="bottomLeft" activeCell="A5" sqref="A5"/>
    </sheetView>
  </sheetViews>
  <sheetFormatPr defaultColWidth="2.625" defaultRowHeight="13.5" x14ac:dyDescent="0.15"/>
  <cols>
    <col min="1" max="1" width="2.625" style="8" customWidth="1"/>
    <col min="2" max="16384" width="2.625" style="8"/>
  </cols>
  <sheetData>
    <row r="1" spans="1:55" ht="14.25" customHeight="1" x14ac:dyDescent="0.15">
      <c r="A1" s="199" t="s">
        <v>36</v>
      </c>
      <c r="B1" s="199"/>
      <c r="C1" s="199"/>
      <c r="D1" s="199"/>
      <c r="E1" s="199"/>
      <c r="F1" s="199"/>
      <c r="G1" s="199"/>
      <c r="H1" s="199"/>
      <c r="I1" s="199"/>
      <c r="J1" s="199"/>
      <c r="K1" s="188" t="s">
        <v>22</v>
      </c>
      <c r="L1" s="188"/>
      <c r="M1" s="188"/>
      <c r="N1" s="188"/>
      <c r="O1" s="188"/>
      <c r="P1" s="188"/>
      <c r="Q1" s="188"/>
      <c r="R1" s="188"/>
      <c r="S1" s="188"/>
      <c r="T1" s="188"/>
      <c r="U1" s="188"/>
      <c r="V1" s="188" t="s">
        <v>23</v>
      </c>
      <c r="W1" s="188"/>
      <c r="X1" s="188"/>
      <c r="Y1" s="188"/>
      <c r="Z1" s="188"/>
      <c r="AA1" s="188"/>
      <c r="AB1" s="188"/>
      <c r="AC1" s="188"/>
      <c r="AD1" s="188"/>
      <c r="AE1" s="188"/>
      <c r="AF1" s="188"/>
      <c r="AG1" s="182" t="s">
        <v>24</v>
      </c>
      <c r="AH1" s="183"/>
      <c r="AI1" s="183"/>
      <c r="AJ1" s="183"/>
      <c r="AK1" s="183"/>
      <c r="AL1" s="183"/>
      <c r="AM1" s="183"/>
      <c r="AN1" s="183"/>
      <c r="AO1" s="183"/>
      <c r="AP1" s="183"/>
      <c r="AQ1" s="183"/>
      <c r="AR1" s="183"/>
      <c r="AS1" s="183"/>
      <c r="AT1" s="183"/>
      <c r="AU1" s="183"/>
      <c r="AV1" s="183"/>
      <c r="AW1" s="183"/>
      <c r="AX1" s="183"/>
      <c r="AY1" s="183"/>
      <c r="AZ1" s="184"/>
    </row>
    <row r="2" spans="1:55" ht="14.25" customHeight="1" x14ac:dyDescent="0.15">
      <c r="A2" s="199"/>
      <c r="B2" s="199"/>
      <c r="C2" s="199"/>
      <c r="D2" s="199"/>
      <c r="E2" s="199"/>
      <c r="F2" s="199"/>
      <c r="G2" s="199"/>
      <c r="H2" s="199"/>
      <c r="I2" s="199"/>
      <c r="J2" s="199"/>
      <c r="K2" s="194" t="s">
        <v>78</v>
      </c>
      <c r="L2" s="194"/>
      <c r="M2" s="194"/>
      <c r="N2" s="194"/>
      <c r="O2" s="194"/>
      <c r="P2" s="194"/>
      <c r="Q2" s="194"/>
      <c r="R2" s="194"/>
      <c r="S2" s="194"/>
      <c r="T2" s="194"/>
      <c r="U2" s="195"/>
      <c r="V2" s="193" t="s">
        <v>80</v>
      </c>
      <c r="W2" s="194"/>
      <c r="X2" s="194"/>
      <c r="Y2" s="194"/>
      <c r="Z2" s="194"/>
      <c r="AA2" s="194"/>
      <c r="AB2" s="194"/>
      <c r="AC2" s="194"/>
      <c r="AD2" s="194"/>
      <c r="AE2" s="194"/>
      <c r="AF2" s="195"/>
      <c r="AG2" s="185" t="s">
        <v>83</v>
      </c>
      <c r="AH2" s="186"/>
      <c r="AI2" s="186"/>
      <c r="AJ2" s="186"/>
      <c r="AK2" s="186"/>
      <c r="AL2" s="186"/>
      <c r="AM2" s="186"/>
      <c r="AN2" s="186"/>
      <c r="AO2" s="186"/>
      <c r="AP2" s="186"/>
      <c r="AQ2" s="186"/>
      <c r="AR2" s="186"/>
      <c r="AS2" s="186"/>
      <c r="AT2" s="186"/>
      <c r="AU2" s="186"/>
      <c r="AV2" s="186"/>
      <c r="AW2" s="186"/>
      <c r="AX2" s="186"/>
      <c r="AY2" s="186"/>
      <c r="AZ2" s="187"/>
    </row>
    <row r="3" spans="1:55" ht="14.25" customHeight="1" x14ac:dyDescent="0.15">
      <c r="A3" s="199"/>
      <c r="B3" s="199"/>
      <c r="C3" s="199"/>
      <c r="D3" s="199"/>
      <c r="E3" s="199"/>
      <c r="F3" s="199"/>
      <c r="G3" s="199"/>
      <c r="H3" s="199"/>
      <c r="I3" s="199"/>
      <c r="J3" s="199"/>
      <c r="K3" s="185" t="s">
        <v>79</v>
      </c>
      <c r="L3" s="186"/>
      <c r="M3" s="186"/>
      <c r="N3" s="186"/>
      <c r="O3" s="186"/>
      <c r="P3" s="186"/>
      <c r="Q3" s="186"/>
      <c r="R3" s="186"/>
      <c r="S3" s="186"/>
      <c r="T3" s="186"/>
      <c r="U3" s="187"/>
      <c r="V3" s="185" t="s">
        <v>86</v>
      </c>
      <c r="W3" s="186"/>
      <c r="X3" s="186"/>
      <c r="Y3" s="186"/>
      <c r="Z3" s="186"/>
      <c r="AA3" s="186"/>
      <c r="AB3" s="186"/>
      <c r="AC3" s="186"/>
      <c r="AD3" s="186"/>
      <c r="AE3" s="186"/>
      <c r="AF3" s="187"/>
      <c r="AG3" s="185" t="s">
        <v>84</v>
      </c>
      <c r="AH3" s="186"/>
      <c r="AI3" s="186"/>
      <c r="AJ3" s="186"/>
      <c r="AK3" s="186"/>
      <c r="AL3" s="186"/>
      <c r="AM3" s="186"/>
      <c r="AN3" s="186"/>
      <c r="AO3" s="186"/>
      <c r="AP3" s="186"/>
      <c r="AQ3" s="186"/>
      <c r="AR3" s="186"/>
      <c r="AS3" s="186"/>
      <c r="AT3" s="186"/>
      <c r="AU3" s="186"/>
      <c r="AV3" s="186"/>
      <c r="AW3" s="186"/>
      <c r="AX3" s="186"/>
      <c r="AY3" s="186"/>
      <c r="AZ3" s="187"/>
    </row>
    <row r="4" spans="1:55" ht="6" customHeight="1" x14ac:dyDescent="0.15">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1"/>
      <c r="BA4" s="12"/>
      <c r="BB4" s="12"/>
      <c r="BC4" s="12"/>
    </row>
    <row r="5" spans="1:55" s="14" customFormat="1" ht="14.25" customHeight="1" x14ac:dyDescent="0.15">
      <c r="A5" s="13"/>
      <c r="B5" s="12" t="s">
        <v>33</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Z5" s="15"/>
    </row>
    <row r="6" spans="1:55" s="14" customFormat="1" ht="14.25" customHeight="1" x14ac:dyDescent="0.15">
      <c r="A6" s="13"/>
      <c r="B6" s="192" t="s">
        <v>30</v>
      </c>
      <c r="C6" s="192"/>
      <c r="D6" s="192"/>
      <c r="E6" s="192" t="s">
        <v>34</v>
      </c>
      <c r="F6" s="192"/>
      <c r="G6" s="192"/>
      <c r="H6" s="192"/>
      <c r="I6" s="192"/>
      <c r="J6" s="192"/>
      <c r="K6" s="192" t="s">
        <v>2</v>
      </c>
      <c r="L6" s="192"/>
      <c r="M6" s="192"/>
      <c r="N6" s="192"/>
      <c r="O6" s="192"/>
      <c r="P6" s="192"/>
      <c r="Q6" s="192"/>
      <c r="R6" s="192"/>
      <c r="S6" s="192"/>
      <c r="T6" s="192"/>
      <c r="U6" s="192"/>
      <c r="V6" s="192"/>
      <c r="W6" s="192"/>
      <c r="X6" s="192"/>
      <c r="Y6" s="192"/>
      <c r="Z6" s="192"/>
      <c r="AA6" s="192"/>
      <c r="AB6" s="192"/>
      <c r="AC6" s="192"/>
      <c r="AD6" s="192"/>
      <c r="AE6" s="192"/>
      <c r="AF6" s="196" t="s">
        <v>57</v>
      </c>
      <c r="AG6" s="197"/>
      <c r="AH6" s="197"/>
      <c r="AI6" s="197"/>
      <c r="AJ6" s="197"/>
      <c r="AK6" s="197"/>
      <c r="AL6" s="197"/>
      <c r="AM6" s="197"/>
      <c r="AN6" s="197"/>
      <c r="AO6" s="197"/>
      <c r="AP6" s="197"/>
      <c r="AQ6" s="197"/>
      <c r="AR6" s="197"/>
      <c r="AS6" s="197"/>
      <c r="AT6" s="197"/>
      <c r="AU6" s="197"/>
      <c r="AV6" s="197"/>
      <c r="AW6" s="197"/>
      <c r="AX6" s="197"/>
      <c r="AY6" s="198"/>
      <c r="AZ6" s="15"/>
    </row>
    <row r="7" spans="1:55" s="14" customFormat="1" ht="14.25" customHeight="1" x14ac:dyDescent="0.15">
      <c r="A7" s="13"/>
      <c r="B7" s="208">
        <f>ROW()-6</f>
        <v>1</v>
      </c>
      <c r="C7" s="208"/>
      <c r="D7" s="208"/>
      <c r="E7" s="209" t="s">
        <v>73</v>
      </c>
      <c r="F7" s="209"/>
      <c r="G7" s="209"/>
      <c r="H7" s="209"/>
      <c r="I7" s="209"/>
      <c r="J7" s="209"/>
      <c r="K7" s="189" t="s">
        <v>37</v>
      </c>
      <c r="L7" s="190"/>
      <c r="M7" s="190"/>
      <c r="N7" s="190"/>
      <c r="O7" s="190"/>
      <c r="P7" s="190"/>
      <c r="Q7" s="190"/>
      <c r="R7" s="190"/>
      <c r="S7" s="190"/>
      <c r="T7" s="190"/>
      <c r="U7" s="190"/>
      <c r="V7" s="190"/>
      <c r="W7" s="190"/>
      <c r="X7" s="190"/>
      <c r="Y7" s="190"/>
      <c r="Z7" s="190"/>
      <c r="AA7" s="190"/>
      <c r="AB7" s="190"/>
      <c r="AC7" s="190"/>
      <c r="AD7" s="190"/>
      <c r="AE7" s="191"/>
      <c r="AF7" s="189"/>
      <c r="AG7" s="190"/>
      <c r="AH7" s="190"/>
      <c r="AI7" s="190"/>
      <c r="AJ7" s="190"/>
      <c r="AK7" s="190"/>
      <c r="AL7" s="190"/>
      <c r="AM7" s="190"/>
      <c r="AN7" s="190"/>
      <c r="AO7" s="190"/>
      <c r="AP7" s="190"/>
      <c r="AQ7" s="190"/>
      <c r="AR7" s="190"/>
      <c r="AS7" s="190"/>
      <c r="AT7" s="190"/>
      <c r="AU7" s="190"/>
      <c r="AV7" s="190"/>
      <c r="AW7" s="190"/>
      <c r="AX7" s="190"/>
      <c r="AY7" s="191"/>
      <c r="AZ7" s="15"/>
    </row>
    <row r="8" spans="1:55" s="14" customFormat="1" ht="14.25" customHeight="1" x14ac:dyDescent="0.15">
      <c r="A8" s="13"/>
      <c r="B8" s="200">
        <f t="shared" ref="B8:B12" si="0">ROW()-6</f>
        <v>2</v>
      </c>
      <c r="C8" s="201"/>
      <c r="D8" s="202"/>
      <c r="E8" s="207" t="s">
        <v>73</v>
      </c>
      <c r="F8" s="207"/>
      <c r="G8" s="207"/>
      <c r="H8" s="207"/>
      <c r="I8" s="207"/>
      <c r="J8" s="207"/>
      <c r="K8" s="176" t="s">
        <v>38</v>
      </c>
      <c r="L8" s="177"/>
      <c r="M8" s="177"/>
      <c r="N8" s="177"/>
      <c r="O8" s="177"/>
      <c r="P8" s="177"/>
      <c r="Q8" s="177"/>
      <c r="R8" s="177"/>
      <c r="S8" s="177"/>
      <c r="T8" s="177"/>
      <c r="U8" s="177"/>
      <c r="V8" s="177"/>
      <c r="W8" s="177"/>
      <c r="X8" s="177"/>
      <c r="Y8" s="177"/>
      <c r="Z8" s="177"/>
      <c r="AA8" s="177"/>
      <c r="AB8" s="177"/>
      <c r="AC8" s="177"/>
      <c r="AD8" s="177"/>
      <c r="AE8" s="178"/>
      <c r="AF8" s="176"/>
      <c r="AG8" s="177"/>
      <c r="AH8" s="177"/>
      <c r="AI8" s="177"/>
      <c r="AJ8" s="177"/>
      <c r="AK8" s="177"/>
      <c r="AL8" s="177"/>
      <c r="AM8" s="177"/>
      <c r="AN8" s="177"/>
      <c r="AO8" s="177"/>
      <c r="AP8" s="177"/>
      <c r="AQ8" s="177"/>
      <c r="AR8" s="177"/>
      <c r="AS8" s="177"/>
      <c r="AT8" s="177"/>
      <c r="AU8" s="177"/>
      <c r="AV8" s="177"/>
      <c r="AW8" s="177"/>
      <c r="AX8" s="177"/>
      <c r="AY8" s="178"/>
      <c r="AZ8" s="15"/>
    </row>
    <row r="9" spans="1:55" s="14" customFormat="1" ht="14.25" customHeight="1" x14ac:dyDescent="0.15">
      <c r="A9" s="13"/>
      <c r="B9" s="200">
        <f t="shared" si="0"/>
        <v>3</v>
      </c>
      <c r="C9" s="201"/>
      <c r="D9" s="202"/>
      <c r="E9" s="203" t="s">
        <v>35</v>
      </c>
      <c r="F9" s="204"/>
      <c r="G9" s="204"/>
      <c r="H9" s="204"/>
      <c r="I9" s="204"/>
      <c r="J9" s="205"/>
      <c r="K9" s="176" t="s">
        <v>326</v>
      </c>
      <c r="L9" s="177"/>
      <c r="M9" s="177"/>
      <c r="N9" s="177"/>
      <c r="O9" s="177"/>
      <c r="P9" s="177"/>
      <c r="Q9" s="177"/>
      <c r="R9" s="177"/>
      <c r="S9" s="177"/>
      <c r="T9" s="177"/>
      <c r="U9" s="177"/>
      <c r="V9" s="177"/>
      <c r="W9" s="177"/>
      <c r="X9" s="177"/>
      <c r="Y9" s="177"/>
      <c r="Z9" s="177"/>
      <c r="AA9" s="177"/>
      <c r="AB9" s="177"/>
      <c r="AC9" s="177"/>
      <c r="AD9" s="177"/>
      <c r="AE9" s="178"/>
      <c r="AF9" s="176"/>
      <c r="AG9" s="177"/>
      <c r="AH9" s="177"/>
      <c r="AI9" s="177"/>
      <c r="AJ9" s="177"/>
      <c r="AK9" s="177"/>
      <c r="AL9" s="177"/>
      <c r="AM9" s="177"/>
      <c r="AN9" s="177"/>
      <c r="AO9" s="177"/>
      <c r="AP9" s="177"/>
      <c r="AQ9" s="177"/>
      <c r="AR9" s="177"/>
      <c r="AS9" s="177"/>
      <c r="AT9" s="177"/>
      <c r="AU9" s="177"/>
      <c r="AV9" s="177"/>
      <c r="AW9" s="177"/>
      <c r="AX9" s="177"/>
      <c r="AY9" s="178"/>
      <c r="AZ9" s="15"/>
    </row>
    <row r="10" spans="1:55" s="14" customFormat="1" ht="14.25" customHeight="1" x14ac:dyDescent="0.15">
      <c r="A10" s="13"/>
      <c r="B10" s="200">
        <f t="shared" si="0"/>
        <v>4</v>
      </c>
      <c r="C10" s="201"/>
      <c r="D10" s="202"/>
      <c r="E10" s="203" t="s">
        <v>35</v>
      </c>
      <c r="F10" s="204"/>
      <c r="G10" s="204"/>
      <c r="H10" s="204"/>
      <c r="I10" s="204"/>
      <c r="J10" s="205"/>
      <c r="K10" s="176" t="s">
        <v>39</v>
      </c>
      <c r="L10" s="177"/>
      <c r="M10" s="177"/>
      <c r="N10" s="177"/>
      <c r="O10" s="177"/>
      <c r="P10" s="177"/>
      <c r="Q10" s="177"/>
      <c r="R10" s="177"/>
      <c r="S10" s="177"/>
      <c r="T10" s="177"/>
      <c r="U10" s="177"/>
      <c r="V10" s="177"/>
      <c r="W10" s="177"/>
      <c r="X10" s="177"/>
      <c r="Y10" s="177"/>
      <c r="Z10" s="177"/>
      <c r="AA10" s="177"/>
      <c r="AB10" s="177"/>
      <c r="AC10" s="177"/>
      <c r="AD10" s="177"/>
      <c r="AE10" s="178"/>
      <c r="AF10" s="176"/>
      <c r="AG10" s="177"/>
      <c r="AH10" s="177"/>
      <c r="AI10" s="177"/>
      <c r="AJ10" s="177"/>
      <c r="AK10" s="177"/>
      <c r="AL10" s="177"/>
      <c r="AM10" s="177"/>
      <c r="AN10" s="177"/>
      <c r="AO10" s="177"/>
      <c r="AP10" s="177"/>
      <c r="AQ10" s="177"/>
      <c r="AR10" s="177"/>
      <c r="AS10" s="177"/>
      <c r="AT10" s="177"/>
      <c r="AU10" s="177"/>
      <c r="AV10" s="177"/>
      <c r="AW10" s="177"/>
      <c r="AX10" s="177"/>
      <c r="AY10" s="178"/>
      <c r="AZ10" s="15"/>
    </row>
    <row r="11" spans="1:55" s="14" customFormat="1" ht="14.25" customHeight="1" x14ac:dyDescent="0.15">
      <c r="A11" s="13"/>
      <c r="B11" s="200">
        <f t="shared" si="0"/>
        <v>5</v>
      </c>
      <c r="C11" s="201"/>
      <c r="D11" s="202"/>
      <c r="E11" s="203" t="s">
        <v>35</v>
      </c>
      <c r="F11" s="204"/>
      <c r="G11" s="204"/>
      <c r="H11" s="204"/>
      <c r="I11" s="204"/>
      <c r="J11" s="205"/>
      <c r="K11" s="176" t="s">
        <v>40</v>
      </c>
      <c r="L11" s="177"/>
      <c r="M11" s="177"/>
      <c r="N11" s="177"/>
      <c r="O11" s="177"/>
      <c r="P11" s="177"/>
      <c r="Q11" s="177"/>
      <c r="R11" s="177"/>
      <c r="S11" s="177"/>
      <c r="T11" s="177"/>
      <c r="U11" s="177"/>
      <c r="V11" s="177"/>
      <c r="W11" s="177"/>
      <c r="X11" s="177"/>
      <c r="Y11" s="177"/>
      <c r="Z11" s="177"/>
      <c r="AA11" s="177"/>
      <c r="AB11" s="177"/>
      <c r="AC11" s="177"/>
      <c r="AD11" s="177"/>
      <c r="AE11" s="178"/>
      <c r="AF11" s="176"/>
      <c r="AG11" s="177"/>
      <c r="AH11" s="177"/>
      <c r="AI11" s="177"/>
      <c r="AJ11" s="177"/>
      <c r="AK11" s="177"/>
      <c r="AL11" s="177"/>
      <c r="AM11" s="177"/>
      <c r="AN11" s="177"/>
      <c r="AO11" s="177"/>
      <c r="AP11" s="177"/>
      <c r="AQ11" s="177"/>
      <c r="AR11" s="177"/>
      <c r="AS11" s="177"/>
      <c r="AT11" s="177"/>
      <c r="AU11" s="177"/>
      <c r="AV11" s="177"/>
      <c r="AW11" s="177"/>
      <c r="AX11" s="177"/>
      <c r="AY11" s="178"/>
      <c r="AZ11" s="15"/>
    </row>
    <row r="12" spans="1:55" s="14" customFormat="1" ht="14.25" customHeight="1" x14ac:dyDescent="0.15">
      <c r="A12" s="13"/>
      <c r="B12" s="200">
        <f t="shared" si="0"/>
        <v>6</v>
      </c>
      <c r="C12" s="201"/>
      <c r="D12" s="202"/>
      <c r="E12" s="203" t="s">
        <v>330</v>
      </c>
      <c r="F12" s="204"/>
      <c r="G12" s="204"/>
      <c r="H12" s="204"/>
      <c r="I12" s="204"/>
      <c r="J12" s="205"/>
      <c r="K12" s="176" t="s">
        <v>323</v>
      </c>
      <c r="L12" s="177"/>
      <c r="M12" s="177"/>
      <c r="N12" s="177"/>
      <c r="O12" s="177"/>
      <c r="P12" s="177"/>
      <c r="Q12" s="177"/>
      <c r="R12" s="177"/>
      <c r="S12" s="177"/>
      <c r="T12" s="177"/>
      <c r="U12" s="177"/>
      <c r="V12" s="177"/>
      <c r="W12" s="177"/>
      <c r="X12" s="177"/>
      <c r="Y12" s="177"/>
      <c r="Z12" s="177"/>
      <c r="AA12" s="177"/>
      <c r="AB12" s="177"/>
      <c r="AC12" s="177"/>
      <c r="AD12" s="177"/>
      <c r="AE12" s="178"/>
      <c r="AF12" s="176"/>
      <c r="AG12" s="177"/>
      <c r="AH12" s="177"/>
      <c r="AI12" s="177"/>
      <c r="AJ12" s="177"/>
      <c r="AK12" s="177"/>
      <c r="AL12" s="177"/>
      <c r="AM12" s="177"/>
      <c r="AN12" s="177"/>
      <c r="AO12" s="177"/>
      <c r="AP12" s="177"/>
      <c r="AQ12" s="177"/>
      <c r="AR12" s="177"/>
      <c r="AS12" s="177"/>
      <c r="AT12" s="177"/>
      <c r="AU12" s="177"/>
      <c r="AV12" s="177"/>
      <c r="AW12" s="177"/>
      <c r="AX12" s="177"/>
      <c r="AY12" s="178"/>
      <c r="AZ12" s="15"/>
    </row>
    <row r="13" spans="1:55" s="14" customFormat="1" ht="14.25" customHeight="1" x14ac:dyDescent="0.15">
      <c r="A13" s="16"/>
      <c r="B13" s="200"/>
      <c r="C13" s="201"/>
      <c r="D13" s="202"/>
      <c r="E13" s="203"/>
      <c r="F13" s="204"/>
      <c r="G13" s="204"/>
      <c r="H13" s="204"/>
      <c r="I13" s="204"/>
      <c r="J13" s="205"/>
      <c r="K13" s="176"/>
      <c r="L13" s="177"/>
      <c r="M13" s="177"/>
      <c r="N13" s="177"/>
      <c r="O13" s="177"/>
      <c r="P13" s="177"/>
      <c r="Q13" s="177"/>
      <c r="R13" s="177"/>
      <c r="S13" s="177"/>
      <c r="T13" s="177"/>
      <c r="U13" s="177"/>
      <c r="V13" s="177"/>
      <c r="W13" s="177"/>
      <c r="X13" s="177"/>
      <c r="Y13" s="177"/>
      <c r="Z13" s="177"/>
      <c r="AA13" s="177"/>
      <c r="AB13" s="177"/>
      <c r="AC13" s="177"/>
      <c r="AD13" s="177"/>
      <c r="AE13" s="178"/>
      <c r="AF13" s="176"/>
      <c r="AG13" s="177"/>
      <c r="AH13" s="177"/>
      <c r="AI13" s="177"/>
      <c r="AJ13" s="177"/>
      <c r="AK13" s="177"/>
      <c r="AL13" s="177"/>
      <c r="AM13" s="177"/>
      <c r="AN13" s="177"/>
      <c r="AO13" s="177"/>
      <c r="AP13" s="177"/>
      <c r="AQ13" s="177"/>
      <c r="AR13" s="177"/>
      <c r="AS13" s="177"/>
      <c r="AT13" s="177"/>
      <c r="AU13" s="177"/>
      <c r="AV13" s="177"/>
      <c r="AW13" s="177"/>
      <c r="AX13" s="177"/>
      <c r="AY13" s="178"/>
      <c r="AZ13" s="15"/>
    </row>
    <row r="14" spans="1:55" s="14" customFormat="1" ht="14.25" customHeight="1" x14ac:dyDescent="0.15">
      <c r="A14" s="13"/>
      <c r="B14" s="200"/>
      <c r="C14" s="201"/>
      <c r="D14" s="202"/>
      <c r="E14" s="203"/>
      <c r="F14" s="204"/>
      <c r="G14" s="204"/>
      <c r="H14" s="204"/>
      <c r="I14" s="204"/>
      <c r="J14" s="205"/>
      <c r="K14" s="176"/>
      <c r="L14" s="177"/>
      <c r="M14" s="177"/>
      <c r="N14" s="177"/>
      <c r="O14" s="177"/>
      <c r="P14" s="177"/>
      <c r="Q14" s="177"/>
      <c r="R14" s="177"/>
      <c r="S14" s="177"/>
      <c r="T14" s="177"/>
      <c r="U14" s="177"/>
      <c r="V14" s="177"/>
      <c r="W14" s="177"/>
      <c r="X14" s="177"/>
      <c r="Y14" s="177"/>
      <c r="Z14" s="177"/>
      <c r="AA14" s="177"/>
      <c r="AB14" s="177"/>
      <c r="AC14" s="177"/>
      <c r="AD14" s="177"/>
      <c r="AE14" s="178"/>
      <c r="AF14" s="176"/>
      <c r="AG14" s="177"/>
      <c r="AH14" s="177"/>
      <c r="AI14" s="177"/>
      <c r="AJ14" s="177"/>
      <c r="AK14" s="177"/>
      <c r="AL14" s="177"/>
      <c r="AM14" s="177"/>
      <c r="AN14" s="177"/>
      <c r="AO14" s="177"/>
      <c r="AP14" s="177"/>
      <c r="AQ14" s="177"/>
      <c r="AR14" s="177"/>
      <c r="AS14" s="177"/>
      <c r="AT14" s="177"/>
      <c r="AU14" s="177"/>
      <c r="AV14" s="177"/>
      <c r="AW14" s="177"/>
      <c r="AX14" s="177"/>
      <c r="AY14" s="178"/>
      <c r="AZ14" s="15"/>
    </row>
    <row r="15" spans="1:55" s="14" customFormat="1" ht="14.25" customHeight="1" x14ac:dyDescent="0.15">
      <c r="A15" s="13"/>
      <c r="B15" s="200"/>
      <c r="C15" s="201"/>
      <c r="D15" s="202"/>
      <c r="E15" s="203"/>
      <c r="F15" s="204"/>
      <c r="G15" s="204"/>
      <c r="H15" s="204"/>
      <c r="I15" s="204"/>
      <c r="J15" s="205"/>
      <c r="K15" s="176"/>
      <c r="L15" s="177"/>
      <c r="M15" s="177"/>
      <c r="N15" s="177"/>
      <c r="O15" s="177"/>
      <c r="P15" s="177"/>
      <c r="Q15" s="177"/>
      <c r="R15" s="177"/>
      <c r="S15" s="177"/>
      <c r="T15" s="177"/>
      <c r="U15" s="177"/>
      <c r="V15" s="177"/>
      <c r="W15" s="177"/>
      <c r="X15" s="177"/>
      <c r="Y15" s="177"/>
      <c r="Z15" s="177"/>
      <c r="AA15" s="177"/>
      <c r="AB15" s="177"/>
      <c r="AC15" s="177"/>
      <c r="AD15" s="177"/>
      <c r="AE15" s="178"/>
      <c r="AF15" s="176"/>
      <c r="AG15" s="177"/>
      <c r="AH15" s="177"/>
      <c r="AI15" s="177"/>
      <c r="AJ15" s="177"/>
      <c r="AK15" s="177"/>
      <c r="AL15" s="177"/>
      <c r="AM15" s="177"/>
      <c r="AN15" s="177"/>
      <c r="AO15" s="177"/>
      <c r="AP15" s="177"/>
      <c r="AQ15" s="177"/>
      <c r="AR15" s="177"/>
      <c r="AS15" s="177"/>
      <c r="AT15" s="177"/>
      <c r="AU15" s="177"/>
      <c r="AV15" s="177"/>
      <c r="AW15" s="177"/>
      <c r="AX15" s="177"/>
      <c r="AY15" s="178"/>
      <c r="AZ15" s="15"/>
    </row>
    <row r="16" spans="1:55" s="14" customFormat="1" ht="14.25" customHeight="1" x14ac:dyDescent="0.15">
      <c r="A16" s="13"/>
      <c r="B16" s="200"/>
      <c r="C16" s="201"/>
      <c r="D16" s="202"/>
      <c r="E16" s="203"/>
      <c r="F16" s="204"/>
      <c r="G16" s="204"/>
      <c r="H16" s="204"/>
      <c r="I16" s="204"/>
      <c r="J16" s="205"/>
      <c r="K16" s="176"/>
      <c r="L16" s="177"/>
      <c r="M16" s="177"/>
      <c r="N16" s="177"/>
      <c r="O16" s="177"/>
      <c r="P16" s="177"/>
      <c r="Q16" s="177"/>
      <c r="R16" s="177"/>
      <c r="S16" s="177"/>
      <c r="T16" s="177"/>
      <c r="U16" s="177"/>
      <c r="V16" s="177"/>
      <c r="W16" s="177"/>
      <c r="X16" s="177"/>
      <c r="Y16" s="177"/>
      <c r="Z16" s="177"/>
      <c r="AA16" s="177"/>
      <c r="AB16" s="177"/>
      <c r="AC16" s="177"/>
      <c r="AD16" s="177"/>
      <c r="AE16" s="178"/>
      <c r="AF16" s="176"/>
      <c r="AG16" s="177"/>
      <c r="AH16" s="177"/>
      <c r="AI16" s="177"/>
      <c r="AJ16" s="177"/>
      <c r="AK16" s="177"/>
      <c r="AL16" s="177"/>
      <c r="AM16" s="177"/>
      <c r="AN16" s="177"/>
      <c r="AO16" s="177"/>
      <c r="AP16" s="177"/>
      <c r="AQ16" s="177"/>
      <c r="AR16" s="177"/>
      <c r="AS16" s="177"/>
      <c r="AT16" s="177"/>
      <c r="AU16" s="177"/>
      <c r="AV16" s="177"/>
      <c r="AW16" s="177"/>
      <c r="AX16" s="177"/>
      <c r="AY16" s="178"/>
      <c r="AZ16" s="15"/>
    </row>
    <row r="17" spans="1:52" s="14" customFormat="1" ht="14.25" customHeight="1" x14ac:dyDescent="0.15">
      <c r="A17" s="13"/>
      <c r="B17" s="200"/>
      <c r="C17" s="201"/>
      <c r="D17" s="202"/>
      <c r="E17" s="203"/>
      <c r="F17" s="204"/>
      <c r="G17" s="204"/>
      <c r="H17" s="204"/>
      <c r="I17" s="204"/>
      <c r="J17" s="205"/>
      <c r="K17" s="176"/>
      <c r="L17" s="177"/>
      <c r="M17" s="177"/>
      <c r="N17" s="177"/>
      <c r="O17" s="177"/>
      <c r="P17" s="177"/>
      <c r="Q17" s="177"/>
      <c r="R17" s="177"/>
      <c r="S17" s="177"/>
      <c r="T17" s="177"/>
      <c r="U17" s="177"/>
      <c r="V17" s="177"/>
      <c r="W17" s="177"/>
      <c r="X17" s="177"/>
      <c r="Y17" s="177"/>
      <c r="Z17" s="177"/>
      <c r="AA17" s="177"/>
      <c r="AB17" s="177"/>
      <c r="AC17" s="177"/>
      <c r="AD17" s="177"/>
      <c r="AE17" s="178"/>
      <c r="AF17" s="176"/>
      <c r="AG17" s="177"/>
      <c r="AH17" s="177"/>
      <c r="AI17" s="177"/>
      <c r="AJ17" s="177"/>
      <c r="AK17" s="177"/>
      <c r="AL17" s="177"/>
      <c r="AM17" s="177"/>
      <c r="AN17" s="177"/>
      <c r="AO17" s="177"/>
      <c r="AP17" s="177"/>
      <c r="AQ17" s="177"/>
      <c r="AR17" s="177"/>
      <c r="AS17" s="177"/>
      <c r="AT17" s="177"/>
      <c r="AU17" s="177"/>
      <c r="AV17" s="177"/>
      <c r="AW17" s="177"/>
      <c r="AX17" s="177"/>
      <c r="AY17" s="178"/>
      <c r="AZ17" s="15"/>
    </row>
    <row r="18" spans="1:52" s="14" customFormat="1" ht="14.25" customHeight="1" x14ac:dyDescent="0.15">
      <c r="A18" s="13"/>
      <c r="B18" s="206"/>
      <c r="C18" s="206"/>
      <c r="D18" s="206"/>
      <c r="E18" s="207"/>
      <c r="F18" s="207"/>
      <c r="G18" s="207"/>
      <c r="H18" s="207"/>
      <c r="I18" s="207"/>
      <c r="J18" s="207"/>
      <c r="K18" s="176"/>
      <c r="L18" s="177"/>
      <c r="M18" s="177"/>
      <c r="N18" s="177"/>
      <c r="O18" s="177"/>
      <c r="P18" s="177"/>
      <c r="Q18" s="177"/>
      <c r="R18" s="177"/>
      <c r="S18" s="177"/>
      <c r="T18" s="177"/>
      <c r="U18" s="177"/>
      <c r="V18" s="177"/>
      <c r="W18" s="177"/>
      <c r="X18" s="177"/>
      <c r="Y18" s="177"/>
      <c r="Z18" s="177"/>
      <c r="AA18" s="177"/>
      <c r="AB18" s="177"/>
      <c r="AC18" s="177"/>
      <c r="AD18" s="177"/>
      <c r="AE18" s="178"/>
      <c r="AF18" s="176"/>
      <c r="AG18" s="177"/>
      <c r="AH18" s="177"/>
      <c r="AI18" s="177"/>
      <c r="AJ18" s="177"/>
      <c r="AK18" s="177"/>
      <c r="AL18" s="177"/>
      <c r="AM18" s="177"/>
      <c r="AN18" s="177"/>
      <c r="AO18" s="177"/>
      <c r="AP18" s="177"/>
      <c r="AQ18" s="177"/>
      <c r="AR18" s="177"/>
      <c r="AS18" s="177"/>
      <c r="AT18" s="177"/>
      <c r="AU18" s="177"/>
      <c r="AV18" s="177"/>
      <c r="AW18" s="177"/>
      <c r="AX18" s="177"/>
      <c r="AY18" s="178"/>
      <c r="AZ18" s="15"/>
    </row>
    <row r="19" spans="1:52" s="14" customFormat="1" ht="14.25" customHeight="1" x14ac:dyDescent="0.15">
      <c r="A19" s="13"/>
      <c r="B19" s="206"/>
      <c r="C19" s="206"/>
      <c r="D19" s="206"/>
      <c r="E19" s="207"/>
      <c r="F19" s="207"/>
      <c r="G19" s="207"/>
      <c r="H19" s="207"/>
      <c r="I19" s="207"/>
      <c r="J19" s="207"/>
      <c r="K19" s="176"/>
      <c r="L19" s="177"/>
      <c r="M19" s="177"/>
      <c r="N19" s="177"/>
      <c r="O19" s="177"/>
      <c r="P19" s="177"/>
      <c r="Q19" s="177"/>
      <c r="R19" s="177"/>
      <c r="S19" s="177"/>
      <c r="T19" s="177"/>
      <c r="U19" s="177"/>
      <c r="V19" s="177"/>
      <c r="W19" s="177"/>
      <c r="X19" s="177"/>
      <c r="Y19" s="177"/>
      <c r="Z19" s="177"/>
      <c r="AA19" s="177"/>
      <c r="AB19" s="177"/>
      <c r="AC19" s="177"/>
      <c r="AD19" s="177"/>
      <c r="AE19" s="178"/>
      <c r="AF19" s="176"/>
      <c r="AG19" s="177"/>
      <c r="AH19" s="177"/>
      <c r="AI19" s="177"/>
      <c r="AJ19" s="177"/>
      <c r="AK19" s="177"/>
      <c r="AL19" s="177"/>
      <c r="AM19" s="177"/>
      <c r="AN19" s="177"/>
      <c r="AO19" s="177"/>
      <c r="AP19" s="177"/>
      <c r="AQ19" s="177"/>
      <c r="AR19" s="177"/>
      <c r="AS19" s="177"/>
      <c r="AT19" s="177"/>
      <c r="AU19" s="177"/>
      <c r="AV19" s="177"/>
      <c r="AW19" s="177"/>
      <c r="AX19" s="177"/>
      <c r="AY19" s="178"/>
      <c r="AZ19" s="15"/>
    </row>
    <row r="20" spans="1:52" s="14" customFormat="1" ht="14.25" customHeight="1" x14ac:dyDescent="0.15">
      <c r="A20" s="13"/>
      <c r="B20" s="206"/>
      <c r="C20" s="206"/>
      <c r="D20" s="206"/>
      <c r="E20" s="207"/>
      <c r="F20" s="207"/>
      <c r="G20" s="207"/>
      <c r="H20" s="207"/>
      <c r="I20" s="207"/>
      <c r="J20" s="207"/>
      <c r="K20" s="176"/>
      <c r="L20" s="177"/>
      <c r="M20" s="177"/>
      <c r="N20" s="177"/>
      <c r="O20" s="177"/>
      <c r="P20" s="177"/>
      <c r="Q20" s="177"/>
      <c r="R20" s="177"/>
      <c r="S20" s="177"/>
      <c r="T20" s="177"/>
      <c r="U20" s="177"/>
      <c r="V20" s="177"/>
      <c r="W20" s="177"/>
      <c r="X20" s="177"/>
      <c r="Y20" s="177"/>
      <c r="Z20" s="177"/>
      <c r="AA20" s="177"/>
      <c r="AB20" s="177"/>
      <c r="AC20" s="177"/>
      <c r="AD20" s="177"/>
      <c r="AE20" s="178"/>
      <c r="AF20" s="176"/>
      <c r="AG20" s="177"/>
      <c r="AH20" s="177"/>
      <c r="AI20" s="177"/>
      <c r="AJ20" s="177"/>
      <c r="AK20" s="177"/>
      <c r="AL20" s="177"/>
      <c r="AM20" s="177"/>
      <c r="AN20" s="177"/>
      <c r="AO20" s="177"/>
      <c r="AP20" s="177"/>
      <c r="AQ20" s="177"/>
      <c r="AR20" s="177"/>
      <c r="AS20" s="177"/>
      <c r="AT20" s="177"/>
      <c r="AU20" s="177"/>
      <c r="AV20" s="177"/>
      <c r="AW20" s="177"/>
      <c r="AX20" s="177"/>
      <c r="AY20" s="178"/>
      <c r="AZ20" s="15"/>
    </row>
    <row r="21" spans="1:52" s="14" customFormat="1" ht="14.25" customHeight="1" x14ac:dyDescent="0.15">
      <c r="A21" s="13"/>
      <c r="B21" s="206"/>
      <c r="C21" s="206"/>
      <c r="D21" s="206"/>
      <c r="E21" s="207"/>
      <c r="F21" s="207"/>
      <c r="G21" s="207"/>
      <c r="H21" s="207"/>
      <c r="I21" s="207"/>
      <c r="J21" s="207"/>
      <c r="K21" s="176"/>
      <c r="L21" s="177"/>
      <c r="M21" s="177"/>
      <c r="N21" s="177"/>
      <c r="O21" s="177"/>
      <c r="P21" s="177"/>
      <c r="Q21" s="177"/>
      <c r="R21" s="177"/>
      <c r="S21" s="177"/>
      <c r="T21" s="177"/>
      <c r="U21" s="177"/>
      <c r="V21" s="177"/>
      <c r="W21" s="177"/>
      <c r="X21" s="177"/>
      <c r="Y21" s="177"/>
      <c r="Z21" s="177"/>
      <c r="AA21" s="177"/>
      <c r="AB21" s="177"/>
      <c r="AC21" s="177"/>
      <c r="AD21" s="177"/>
      <c r="AE21" s="178"/>
      <c r="AF21" s="176"/>
      <c r="AG21" s="177"/>
      <c r="AH21" s="177"/>
      <c r="AI21" s="177"/>
      <c r="AJ21" s="177"/>
      <c r="AK21" s="177"/>
      <c r="AL21" s="177"/>
      <c r="AM21" s="177"/>
      <c r="AN21" s="177"/>
      <c r="AO21" s="177"/>
      <c r="AP21" s="177"/>
      <c r="AQ21" s="177"/>
      <c r="AR21" s="177"/>
      <c r="AS21" s="177"/>
      <c r="AT21" s="177"/>
      <c r="AU21" s="177"/>
      <c r="AV21" s="177"/>
      <c r="AW21" s="177"/>
      <c r="AX21" s="177"/>
      <c r="AY21" s="178"/>
      <c r="AZ21" s="15"/>
    </row>
    <row r="22" spans="1:52" s="14" customFormat="1" ht="14.25" customHeight="1" x14ac:dyDescent="0.15">
      <c r="A22" s="13"/>
      <c r="B22" s="206"/>
      <c r="C22" s="206"/>
      <c r="D22" s="206"/>
      <c r="E22" s="207"/>
      <c r="F22" s="207"/>
      <c r="G22" s="207"/>
      <c r="H22" s="207"/>
      <c r="I22" s="207"/>
      <c r="J22" s="207"/>
      <c r="K22" s="176"/>
      <c r="L22" s="177"/>
      <c r="M22" s="177"/>
      <c r="N22" s="177"/>
      <c r="O22" s="177"/>
      <c r="P22" s="177"/>
      <c r="Q22" s="177"/>
      <c r="R22" s="177"/>
      <c r="S22" s="177"/>
      <c r="T22" s="177"/>
      <c r="U22" s="177"/>
      <c r="V22" s="177"/>
      <c r="W22" s="177"/>
      <c r="X22" s="177"/>
      <c r="Y22" s="177"/>
      <c r="Z22" s="177"/>
      <c r="AA22" s="177"/>
      <c r="AB22" s="177"/>
      <c r="AC22" s="177"/>
      <c r="AD22" s="177"/>
      <c r="AE22" s="178"/>
      <c r="AF22" s="176"/>
      <c r="AG22" s="177"/>
      <c r="AH22" s="177"/>
      <c r="AI22" s="177"/>
      <c r="AJ22" s="177"/>
      <c r="AK22" s="177"/>
      <c r="AL22" s="177"/>
      <c r="AM22" s="177"/>
      <c r="AN22" s="177"/>
      <c r="AO22" s="177"/>
      <c r="AP22" s="177"/>
      <c r="AQ22" s="177"/>
      <c r="AR22" s="177"/>
      <c r="AS22" s="177"/>
      <c r="AT22" s="177"/>
      <c r="AU22" s="177"/>
      <c r="AV22" s="177"/>
      <c r="AW22" s="177"/>
      <c r="AX22" s="177"/>
      <c r="AY22" s="178"/>
      <c r="AZ22" s="15"/>
    </row>
    <row r="23" spans="1:52" s="14" customFormat="1" ht="14.25" customHeight="1" x14ac:dyDescent="0.15">
      <c r="A23" s="13"/>
      <c r="B23" s="206"/>
      <c r="C23" s="206"/>
      <c r="D23" s="206"/>
      <c r="E23" s="207"/>
      <c r="F23" s="207"/>
      <c r="G23" s="207"/>
      <c r="H23" s="207"/>
      <c r="I23" s="207"/>
      <c r="J23" s="207"/>
      <c r="K23" s="176"/>
      <c r="L23" s="177"/>
      <c r="M23" s="177"/>
      <c r="N23" s="177"/>
      <c r="O23" s="177"/>
      <c r="P23" s="177"/>
      <c r="Q23" s="177"/>
      <c r="R23" s="177"/>
      <c r="S23" s="177"/>
      <c r="T23" s="177"/>
      <c r="U23" s="177"/>
      <c r="V23" s="177"/>
      <c r="W23" s="177"/>
      <c r="X23" s="177"/>
      <c r="Y23" s="177"/>
      <c r="Z23" s="177"/>
      <c r="AA23" s="177"/>
      <c r="AB23" s="177"/>
      <c r="AC23" s="177"/>
      <c r="AD23" s="177"/>
      <c r="AE23" s="178"/>
      <c r="AF23" s="176"/>
      <c r="AG23" s="177"/>
      <c r="AH23" s="177"/>
      <c r="AI23" s="177"/>
      <c r="AJ23" s="177"/>
      <c r="AK23" s="177"/>
      <c r="AL23" s="177"/>
      <c r="AM23" s="177"/>
      <c r="AN23" s="177"/>
      <c r="AO23" s="177"/>
      <c r="AP23" s="177"/>
      <c r="AQ23" s="177"/>
      <c r="AR23" s="177"/>
      <c r="AS23" s="177"/>
      <c r="AT23" s="177"/>
      <c r="AU23" s="177"/>
      <c r="AV23" s="177"/>
      <c r="AW23" s="177"/>
      <c r="AX23" s="177"/>
      <c r="AY23" s="178"/>
      <c r="AZ23" s="15"/>
    </row>
    <row r="24" spans="1:52" s="14" customFormat="1" ht="14.25" customHeight="1" x14ac:dyDescent="0.15">
      <c r="A24" s="13"/>
      <c r="B24" s="206"/>
      <c r="C24" s="206"/>
      <c r="D24" s="206"/>
      <c r="E24" s="207"/>
      <c r="F24" s="207"/>
      <c r="G24" s="207"/>
      <c r="H24" s="207"/>
      <c r="I24" s="207"/>
      <c r="J24" s="207"/>
      <c r="K24" s="176"/>
      <c r="L24" s="177"/>
      <c r="M24" s="177"/>
      <c r="N24" s="177"/>
      <c r="O24" s="177"/>
      <c r="P24" s="177"/>
      <c r="Q24" s="177"/>
      <c r="R24" s="177"/>
      <c r="S24" s="177"/>
      <c r="T24" s="177"/>
      <c r="U24" s="177"/>
      <c r="V24" s="177"/>
      <c r="W24" s="177"/>
      <c r="X24" s="177"/>
      <c r="Y24" s="177"/>
      <c r="Z24" s="177"/>
      <c r="AA24" s="177"/>
      <c r="AB24" s="177"/>
      <c r="AC24" s="177"/>
      <c r="AD24" s="177"/>
      <c r="AE24" s="178"/>
      <c r="AF24" s="176"/>
      <c r="AG24" s="177"/>
      <c r="AH24" s="177"/>
      <c r="AI24" s="177"/>
      <c r="AJ24" s="177"/>
      <c r="AK24" s="177"/>
      <c r="AL24" s="177"/>
      <c r="AM24" s="177"/>
      <c r="AN24" s="177"/>
      <c r="AO24" s="177"/>
      <c r="AP24" s="177"/>
      <c r="AQ24" s="177"/>
      <c r="AR24" s="177"/>
      <c r="AS24" s="177"/>
      <c r="AT24" s="177"/>
      <c r="AU24" s="177"/>
      <c r="AV24" s="177"/>
      <c r="AW24" s="177"/>
      <c r="AX24" s="177"/>
      <c r="AY24" s="178"/>
      <c r="AZ24" s="15"/>
    </row>
    <row r="25" spans="1:52" s="14" customFormat="1" ht="14.25" customHeight="1" x14ac:dyDescent="0.15">
      <c r="A25" s="13"/>
      <c r="B25" s="206"/>
      <c r="C25" s="206"/>
      <c r="D25" s="206"/>
      <c r="E25" s="207"/>
      <c r="F25" s="207"/>
      <c r="G25" s="207"/>
      <c r="H25" s="207"/>
      <c r="I25" s="207"/>
      <c r="J25" s="207"/>
      <c r="K25" s="176"/>
      <c r="L25" s="177"/>
      <c r="M25" s="177"/>
      <c r="N25" s="177"/>
      <c r="O25" s="177"/>
      <c r="P25" s="177"/>
      <c r="Q25" s="177"/>
      <c r="R25" s="177"/>
      <c r="S25" s="177"/>
      <c r="T25" s="177"/>
      <c r="U25" s="177"/>
      <c r="V25" s="177"/>
      <c r="W25" s="177"/>
      <c r="X25" s="177"/>
      <c r="Y25" s="177"/>
      <c r="Z25" s="177"/>
      <c r="AA25" s="177"/>
      <c r="AB25" s="177"/>
      <c r="AC25" s="177"/>
      <c r="AD25" s="177"/>
      <c r="AE25" s="178"/>
      <c r="AF25" s="176"/>
      <c r="AG25" s="177"/>
      <c r="AH25" s="177"/>
      <c r="AI25" s="177"/>
      <c r="AJ25" s="177"/>
      <c r="AK25" s="177"/>
      <c r="AL25" s="177"/>
      <c r="AM25" s="177"/>
      <c r="AN25" s="177"/>
      <c r="AO25" s="177"/>
      <c r="AP25" s="177"/>
      <c r="AQ25" s="177"/>
      <c r="AR25" s="177"/>
      <c r="AS25" s="177"/>
      <c r="AT25" s="177"/>
      <c r="AU25" s="177"/>
      <c r="AV25" s="177"/>
      <c r="AW25" s="177"/>
      <c r="AX25" s="177"/>
      <c r="AY25" s="178"/>
      <c r="AZ25" s="15"/>
    </row>
    <row r="26" spans="1:52" s="14" customFormat="1" ht="14.25" customHeight="1" x14ac:dyDescent="0.15">
      <c r="A26" s="13"/>
      <c r="B26" s="206"/>
      <c r="C26" s="206"/>
      <c r="D26" s="206"/>
      <c r="E26" s="207"/>
      <c r="F26" s="207"/>
      <c r="G26" s="207"/>
      <c r="H26" s="207"/>
      <c r="I26" s="207"/>
      <c r="J26" s="207"/>
      <c r="K26" s="176"/>
      <c r="L26" s="177"/>
      <c r="M26" s="177"/>
      <c r="N26" s="177"/>
      <c r="O26" s="177"/>
      <c r="P26" s="177"/>
      <c r="Q26" s="177"/>
      <c r="R26" s="177"/>
      <c r="S26" s="177"/>
      <c r="T26" s="177"/>
      <c r="U26" s="177"/>
      <c r="V26" s="177"/>
      <c r="W26" s="177"/>
      <c r="X26" s="177"/>
      <c r="Y26" s="177"/>
      <c r="Z26" s="177"/>
      <c r="AA26" s="177"/>
      <c r="AB26" s="177"/>
      <c r="AC26" s="177"/>
      <c r="AD26" s="177"/>
      <c r="AE26" s="178"/>
      <c r="AF26" s="176"/>
      <c r="AG26" s="177"/>
      <c r="AH26" s="177"/>
      <c r="AI26" s="177"/>
      <c r="AJ26" s="177"/>
      <c r="AK26" s="177"/>
      <c r="AL26" s="177"/>
      <c r="AM26" s="177"/>
      <c r="AN26" s="177"/>
      <c r="AO26" s="177"/>
      <c r="AP26" s="177"/>
      <c r="AQ26" s="177"/>
      <c r="AR26" s="177"/>
      <c r="AS26" s="177"/>
      <c r="AT26" s="177"/>
      <c r="AU26" s="177"/>
      <c r="AV26" s="177"/>
      <c r="AW26" s="177"/>
      <c r="AX26" s="177"/>
      <c r="AY26" s="178"/>
      <c r="AZ26" s="15"/>
    </row>
    <row r="27" spans="1:52" s="14" customFormat="1" ht="14.25" customHeight="1" x14ac:dyDescent="0.15">
      <c r="A27" s="13"/>
      <c r="B27" s="206"/>
      <c r="C27" s="206"/>
      <c r="D27" s="206"/>
      <c r="E27" s="207"/>
      <c r="F27" s="207"/>
      <c r="G27" s="207"/>
      <c r="H27" s="207"/>
      <c r="I27" s="207"/>
      <c r="J27" s="207"/>
      <c r="K27" s="176"/>
      <c r="L27" s="177"/>
      <c r="M27" s="177"/>
      <c r="N27" s="177"/>
      <c r="O27" s="177"/>
      <c r="P27" s="177"/>
      <c r="Q27" s="177"/>
      <c r="R27" s="177"/>
      <c r="S27" s="177"/>
      <c r="T27" s="177"/>
      <c r="U27" s="177"/>
      <c r="V27" s="177"/>
      <c r="W27" s="177"/>
      <c r="X27" s="177"/>
      <c r="Y27" s="177"/>
      <c r="Z27" s="177"/>
      <c r="AA27" s="177"/>
      <c r="AB27" s="177"/>
      <c r="AC27" s="177"/>
      <c r="AD27" s="177"/>
      <c r="AE27" s="178"/>
      <c r="AF27" s="176"/>
      <c r="AG27" s="177"/>
      <c r="AH27" s="177"/>
      <c r="AI27" s="177"/>
      <c r="AJ27" s="177"/>
      <c r="AK27" s="177"/>
      <c r="AL27" s="177"/>
      <c r="AM27" s="177"/>
      <c r="AN27" s="177"/>
      <c r="AO27" s="177"/>
      <c r="AP27" s="177"/>
      <c r="AQ27" s="177"/>
      <c r="AR27" s="177"/>
      <c r="AS27" s="177"/>
      <c r="AT27" s="177"/>
      <c r="AU27" s="177"/>
      <c r="AV27" s="177"/>
      <c r="AW27" s="177"/>
      <c r="AX27" s="177"/>
      <c r="AY27" s="178"/>
      <c r="AZ27" s="15"/>
    </row>
    <row r="28" spans="1:52" s="14" customFormat="1" ht="14.25" customHeight="1" x14ac:dyDescent="0.15">
      <c r="A28" s="13"/>
      <c r="B28" s="206"/>
      <c r="C28" s="206"/>
      <c r="D28" s="206"/>
      <c r="E28" s="207"/>
      <c r="F28" s="207"/>
      <c r="G28" s="207"/>
      <c r="H28" s="207"/>
      <c r="I28" s="207"/>
      <c r="J28" s="207"/>
      <c r="K28" s="176"/>
      <c r="L28" s="177"/>
      <c r="M28" s="177"/>
      <c r="N28" s="177"/>
      <c r="O28" s="177"/>
      <c r="P28" s="177"/>
      <c r="Q28" s="177"/>
      <c r="R28" s="177"/>
      <c r="S28" s="177"/>
      <c r="T28" s="177"/>
      <c r="U28" s="177"/>
      <c r="V28" s="177"/>
      <c r="W28" s="177"/>
      <c r="X28" s="177"/>
      <c r="Y28" s="177"/>
      <c r="Z28" s="177"/>
      <c r="AA28" s="177"/>
      <c r="AB28" s="177"/>
      <c r="AC28" s="177"/>
      <c r="AD28" s="177"/>
      <c r="AE28" s="178"/>
      <c r="AF28" s="176"/>
      <c r="AG28" s="177"/>
      <c r="AH28" s="177"/>
      <c r="AI28" s="177"/>
      <c r="AJ28" s="177"/>
      <c r="AK28" s="177"/>
      <c r="AL28" s="177"/>
      <c r="AM28" s="177"/>
      <c r="AN28" s="177"/>
      <c r="AO28" s="177"/>
      <c r="AP28" s="177"/>
      <c r="AQ28" s="177"/>
      <c r="AR28" s="177"/>
      <c r="AS28" s="177"/>
      <c r="AT28" s="177"/>
      <c r="AU28" s="177"/>
      <c r="AV28" s="177"/>
      <c r="AW28" s="177"/>
      <c r="AX28" s="177"/>
      <c r="AY28" s="178"/>
      <c r="AZ28" s="15"/>
    </row>
    <row r="29" spans="1:52" s="14" customFormat="1" ht="14.25" customHeight="1" x14ac:dyDescent="0.15">
      <c r="A29" s="13"/>
      <c r="B29" s="206"/>
      <c r="C29" s="206"/>
      <c r="D29" s="206"/>
      <c r="E29" s="207"/>
      <c r="F29" s="207"/>
      <c r="G29" s="207"/>
      <c r="H29" s="207"/>
      <c r="I29" s="207"/>
      <c r="J29" s="207"/>
      <c r="K29" s="176"/>
      <c r="L29" s="177"/>
      <c r="M29" s="177"/>
      <c r="N29" s="177"/>
      <c r="O29" s="177"/>
      <c r="P29" s="177"/>
      <c r="Q29" s="177"/>
      <c r="R29" s="177"/>
      <c r="S29" s="177"/>
      <c r="T29" s="177"/>
      <c r="U29" s="177"/>
      <c r="V29" s="177"/>
      <c r="W29" s="177"/>
      <c r="X29" s="177"/>
      <c r="Y29" s="177"/>
      <c r="Z29" s="177"/>
      <c r="AA29" s="177"/>
      <c r="AB29" s="177"/>
      <c r="AC29" s="177"/>
      <c r="AD29" s="177"/>
      <c r="AE29" s="178"/>
      <c r="AF29" s="176"/>
      <c r="AG29" s="177"/>
      <c r="AH29" s="177"/>
      <c r="AI29" s="177"/>
      <c r="AJ29" s="177"/>
      <c r="AK29" s="177"/>
      <c r="AL29" s="177"/>
      <c r="AM29" s="177"/>
      <c r="AN29" s="177"/>
      <c r="AO29" s="177"/>
      <c r="AP29" s="177"/>
      <c r="AQ29" s="177"/>
      <c r="AR29" s="177"/>
      <c r="AS29" s="177"/>
      <c r="AT29" s="177"/>
      <c r="AU29" s="177"/>
      <c r="AV29" s="177"/>
      <c r="AW29" s="177"/>
      <c r="AX29" s="177"/>
      <c r="AY29" s="178"/>
      <c r="AZ29" s="15"/>
    </row>
    <row r="30" spans="1:52" s="14" customFormat="1" ht="14.25" customHeight="1" x14ac:dyDescent="0.15">
      <c r="A30" s="13"/>
      <c r="B30" s="206"/>
      <c r="C30" s="206"/>
      <c r="D30" s="206"/>
      <c r="E30" s="207"/>
      <c r="F30" s="207"/>
      <c r="G30" s="207"/>
      <c r="H30" s="207"/>
      <c r="I30" s="207"/>
      <c r="J30" s="207"/>
      <c r="K30" s="176"/>
      <c r="L30" s="177"/>
      <c r="M30" s="177"/>
      <c r="N30" s="177"/>
      <c r="O30" s="177"/>
      <c r="P30" s="177"/>
      <c r="Q30" s="177"/>
      <c r="R30" s="177"/>
      <c r="S30" s="177"/>
      <c r="T30" s="177"/>
      <c r="U30" s="177"/>
      <c r="V30" s="177"/>
      <c r="W30" s="177"/>
      <c r="X30" s="177"/>
      <c r="Y30" s="177"/>
      <c r="Z30" s="177"/>
      <c r="AA30" s="177"/>
      <c r="AB30" s="177"/>
      <c r="AC30" s="177"/>
      <c r="AD30" s="177"/>
      <c r="AE30" s="178"/>
      <c r="AF30" s="176"/>
      <c r="AG30" s="177"/>
      <c r="AH30" s="177"/>
      <c r="AI30" s="177"/>
      <c r="AJ30" s="177"/>
      <c r="AK30" s="177"/>
      <c r="AL30" s="177"/>
      <c r="AM30" s="177"/>
      <c r="AN30" s="177"/>
      <c r="AO30" s="177"/>
      <c r="AP30" s="177"/>
      <c r="AQ30" s="177"/>
      <c r="AR30" s="177"/>
      <c r="AS30" s="177"/>
      <c r="AT30" s="177"/>
      <c r="AU30" s="177"/>
      <c r="AV30" s="177"/>
      <c r="AW30" s="177"/>
      <c r="AX30" s="177"/>
      <c r="AY30" s="178"/>
      <c r="AZ30" s="15"/>
    </row>
    <row r="31" spans="1:52" s="14" customFormat="1" ht="14.25" customHeight="1" x14ac:dyDescent="0.15">
      <c r="A31" s="13"/>
      <c r="B31" s="206"/>
      <c r="C31" s="206"/>
      <c r="D31" s="206"/>
      <c r="E31" s="207"/>
      <c r="F31" s="207"/>
      <c r="G31" s="207"/>
      <c r="H31" s="207"/>
      <c r="I31" s="207"/>
      <c r="J31" s="207"/>
      <c r="K31" s="176"/>
      <c r="L31" s="177"/>
      <c r="M31" s="177"/>
      <c r="N31" s="177"/>
      <c r="O31" s="177"/>
      <c r="P31" s="177"/>
      <c r="Q31" s="177"/>
      <c r="R31" s="177"/>
      <c r="S31" s="177"/>
      <c r="T31" s="177"/>
      <c r="U31" s="177"/>
      <c r="V31" s="177"/>
      <c r="W31" s="177"/>
      <c r="X31" s="177"/>
      <c r="Y31" s="177"/>
      <c r="Z31" s="177"/>
      <c r="AA31" s="177"/>
      <c r="AB31" s="177"/>
      <c r="AC31" s="177"/>
      <c r="AD31" s="177"/>
      <c r="AE31" s="178"/>
      <c r="AF31" s="176"/>
      <c r="AG31" s="177"/>
      <c r="AH31" s="177"/>
      <c r="AI31" s="177"/>
      <c r="AJ31" s="177"/>
      <c r="AK31" s="177"/>
      <c r="AL31" s="177"/>
      <c r="AM31" s="177"/>
      <c r="AN31" s="177"/>
      <c r="AO31" s="177"/>
      <c r="AP31" s="177"/>
      <c r="AQ31" s="177"/>
      <c r="AR31" s="177"/>
      <c r="AS31" s="177"/>
      <c r="AT31" s="177"/>
      <c r="AU31" s="177"/>
      <c r="AV31" s="177"/>
      <c r="AW31" s="177"/>
      <c r="AX31" s="177"/>
      <c r="AY31" s="178"/>
      <c r="AZ31" s="15"/>
    </row>
    <row r="32" spans="1:52" s="14" customFormat="1" ht="14.25" customHeight="1" x14ac:dyDescent="0.15">
      <c r="A32" s="13"/>
      <c r="B32" s="206"/>
      <c r="C32" s="206"/>
      <c r="D32" s="206"/>
      <c r="E32" s="207"/>
      <c r="F32" s="207"/>
      <c r="G32" s="207"/>
      <c r="H32" s="207"/>
      <c r="I32" s="207"/>
      <c r="J32" s="207"/>
      <c r="K32" s="176"/>
      <c r="L32" s="177"/>
      <c r="M32" s="177"/>
      <c r="N32" s="177"/>
      <c r="O32" s="177"/>
      <c r="P32" s="177"/>
      <c r="Q32" s="177"/>
      <c r="R32" s="177"/>
      <c r="S32" s="177"/>
      <c r="T32" s="177"/>
      <c r="U32" s="177"/>
      <c r="V32" s="177"/>
      <c r="W32" s="177"/>
      <c r="X32" s="177"/>
      <c r="Y32" s="177"/>
      <c r="Z32" s="177"/>
      <c r="AA32" s="177"/>
      <c r="AB32" s="177"/>
      <c r="AC32" s="177"/>
      <c r="AD32" s="177"/>
      <c r="AE32" s="178"/>
      <c r="AF32" s="176"/>
      <c r="AG32" s="177"/>
      <c r="AH32" s="177"/>
      <c r="AI32" s="177"/>
      <c r="AJ32" s="177"/>
      <c r="AK32" s="177"/>
      <c r="AL32" s="177"/>
      <c r="AM32" s="177"/>
      <c r="AN32" s="177"/>
      <c r="AO32" s="177"/>
      <c r="AP32" s="177"/>
      <c r="AQ32" s="177"/>
      <c r="AR32" s="177"/>
      <c r="AS32" s="177"/>
      <c r="AT32" s="177"/>
      <c r="AU32" s="177"/>
      <c r="AV32" s="177"/>
      <c r="AW32" s="177"/>
      <c r="AX32" s="177"/>
      <c r="AY32" s="178"/>
      <c r="AZ32" s="15"/>
    </row>
    <row r="33" spans="1:55" s="14" customFormat="1" ht="14.25" customHeight="1" x14ac:dyDescent="0.15">
      <c r="A33" s="13"/>
      <c r="B33" s="206"/>
      <c r="C33" s="206"/>
      <c r="D33" s="206"/>
      <c r="E33" s="207"/>
      <c r="F33" s="207"/>
      <c r="G33" s="207"/>
      <c r="H33" s="207"/>
      <c r="I33" s="207"/>
      <c r="J33" s="207"/>
      <c r="K33" s="176"/>
      <c r="L33" s="177"/>
      <c r="M33" s="177"/>
      <c r="N33" s="177"/>
      <c r="O33" s="177"/>
      <c r="P33" s="177"/>
      <c r="Q33" s="177"/>
      <c r="R33" s="177"/>
      <c r="S33" s="177"/>
      <c r="T33" s="177"/>
      <c r="U33" s="177"/>
      <c r="V33" s="177"/>
      <c r="W33" s="177"/>
      <c r="X33" s="177"/>
      <c r="Y33" s="177"/>
      <c r="Z33" s="177"/>
      <c r="AA33" s="177"/>
      <c r="AB33" s="177"/>
      <c r="AC33" s="177"/>
      <c r="AD33" s="177"/>
      <c r="AE33" s="178"/>
      <c r="AF33" s="176"/>
      <c r="AG33" s="177"/>
      <c r="AH33" s="177"/>
      <c r="AI33" s="177"/>
      <c r="AJ33" s="177"/>
      <c r="AK33" s="177"/>
      <c r="AL33" s="177"/>
      <c r="AM33" s="177"/>
      <c r="AN33" s="177"/>
      <c r="AO33" s="177"/>
      <c r="AP33" s="177"/>
      <c r="AQ33" s="177"/>
      <c r="AR33" s="177"/>
      <c r="AS33" s="177"/>
      <c r="AT33" s="177"/>
      <c r="AU33" s="177"/>
      <c r="AV33" s="177"/>
      <c r="AW33" s="177"/>
      <c r="AX33" s="177"/>
      <c r="AY33" s="178"/>
      <c r="AZ33" s="15"/>
    </row>
    <row r="34" spans="1:55" s="14" customFormat="1" ht="14.25" customHeight="1" x14ac:dyDescent="0.15">
      <c r="A34" s="13"/>
      <c r="B34" s="206"/>
      <c r="C34" s="206"/>
      <c r="D34" s="206"/>
      <c r="E34" s="207"/>
      <c r="F34" s="207"/>
      <c r="G34" s="207"/>
      <c r="H34" s="207"/>
      <c r="I34" s="207"/>
      <c r="J34" s="207"/>
      <c r="K34" s="176"/>
      <c r="L34" s="177"/>
      <c r="M34" s="177"/>
      <c r="N34" s="177"/>
      <c r="O34" s="177"/>
      <c r="P34" s="177"/>
      <c r="Q34" s="177"/>
      <c r="R34" s="177"/>
      <c r="S34" s="177"/>
      <c r="T34" s="177"/>
      <c r="U34" s="177"/>
      <c r="V34" s="177"/>
      <c r="W34" s="177"/>
      <c r="X34" s="177"/>
      <c r="Y34" s="177"/>
      <c r="Z34" s="177"/>
      <c r="AA34" s="177"/>
      <c r="AB34" s="177"/>
      <c r="AC34" s="177"/>
      <c r="AD34" s="177"/>
      <c r="AE34" s="178"/>
      <c r="AF34" s="176"/>
      <c r="AG34" s="177"/>
      <c r="AH34" s="177"/>
      <c r="AI34" s="177"/>
      <c r="AJ34" s="177"/>
      <c r="AK34" s="177"/>
      <c r="AL34" s="177"/>
      <c r="AM34" s="177"/>
      <c r="AN34" s="177"/>
      <c r="AO34" s="177"/>
      <c r="AP34" s="177"/>
      <c r="AQ34" s="177"/>
      <c r="AR34" s="177"/>
      <c r="AS34" s="177"/>
      <c r="AT34" s="177"/>
      <c r="AU34" s="177"/>
      <c r="AV34" s="177"/>
      <c r="AW34" s="177"/>
      <c r="AX34" s="177"/>
      <c r="AY34" s="178"/>
      <c r="AZ34" s="15"/>
    </row>
    <row r="35" spans="1:55" s="14" customFormat="1" ht="14.25" customHeight="1" x14ac:dyDescent="0.15">
      <c r="A35" s="13"/>
      <c r="B35" s="206"/>
      <c r="C35" s="206"/>
      <c r="D35" s="206"/>
      <c r="E35" s="207"/>
      <c r="F35" s="207"/>
      <c r="G35" s="207"/>
      <c r="H35" s="207"/>
      <c r="I35" s="207"/>
      <c r="J35" s="207"/>
      <c r="K35" s="176"/>
      <c r="L35" s="177"/>
      <c r="M35" s="177"/>
      <c r="N35" s="177"/>
      <c r="O35" s="177"/>
      <c r="P35" s="177"/>
      <c r="Q35" s="177"/>
      <c r="R35" s="177"/>
      <c r="S35" s="177"/>
      <c r="T35" s="177"/>
      <c r="U35" s="177"/>
      <c r="V35" s="177"/>
      <c r="W35" s="177"/>
      <c r="X35" s="177"/>
      <c r="Y35" s="177"/>
      <c r="Z35" s="177"/>
      <c r="AA35" s="177"/>
      <c r="AB35" s="177"/>
      <c r="AC35" s="177"/>
      <c r="AD35" s="177"/>
      <c r="AE35" s="178"/>
      <c r="AF35" s="176"/>
      <c r="AG35" s="177"/>
      <c r="AH35" s="177"/>
      <c r="AI35" s="177"/>
      <c r="AJ35" s="177"/>
      <c r="AK35" s="177"/>
      <c r="AL35" s="177"/>
      <c r="AM35" s="177"/>
      <c r="AN35" s="177"/>
      <c r="AO35" s="177"/>
      <c r="AP35" s="177"/>
      <c r="AQ35" s="177"/>
      <c r="AR35" s="177"/>
      <c r="AS35" s="177"/>
      <c r="AT35" s="177"/>
      <c r="AU35" s="177"/>
      <c r="AV35" s="177"/>
      <c r="AW35" s="177"/>
      <c r="AX35" s="177"/>
      <c r="AY35" s="178"/>
      <c r="AZ35" s="15"/>
    </row>
    <row r="36" spans="1:55" s="14" customFormat="1" ht="14.25" customHeight="1" x14ac:dyDescent="0.15">
      <c r="A36" s="13"/>
      <c r="B36" s="210"/>
      <c r="C36" s="210"/>
      <c r="D36" s="210"/>
      <c r="E36" s="211"/>
      <c r="F36" s="211"/>
      <c r="G36" s="211"/>
      <c r="H36" s="211"/>
      <c r="I36" s="211"/>
      <c r="J36" s="211"/>
      <c r="K36" s="179"/>
      <c r="L36" s="180"/>
      <c r="M36" s="180"/>
      <c r="N36" s="180"/>
      <c r="O36" s="180"/>
      <c r="P36" s="180"/>
      <c r="Q36" s="180"/>
      <c r="R36" s="180"/>
      <c r="S36" s="180"/>
      <c r="T36" s="180"/>
      <c r="U36" s="180"/>
      <c r="V36" s="180"/>
      <c r="W36" s="180"/>
      <c r="X36" s="180"/>
      <c r="Y36" s="180"/>
      <c r="Z36" s="180"/>
      <c r="AA36" s="180"/>
      <c r="AB36" s="180"/>
      <c r="AC36" s="180"/>
      <c r="AD36" s="180"/>
      <c r="AE36" s="181"/>
      <c r="AF36" s="179"/>
      <c r="AG36" s="180"/>
      <c r="AH36" s="180"/>
      <c r="AI36" s="180"/>
      <c r="AJ36" s="180"/>
      <c r="AK36" s="180"/>
      <c r="AL36" s="180"/>
      <c r="AM36" s="180"/>
      <c r="AN36" s="180"/>
      <c r="AO36" s="180"/>
      <c r="AP36" s="180"/>
      <c r="AQ36" s="180"/>
      <c r="AR36" s="180"/>
      <c r="AS36" s="180"/>
      <c r="AT36" s="180"/>
      <c r="AU36" s="180"/>
      <c r="AV36" s="180"/>
      <c r="AW36" s="180"/>
      <c r="AX36" s="180"/>
      <c r="AY36" s="181"/>
      <c r="AZ36" s="15"/>
    </row>
    <row r="37" spans="1:55" s="14" customFormat="1" ht="14.25" customHeight="1" x14ac:dyDescent="0.15">
      <c r="A37" s="17"/>
      <c r="B37" s="18"/>
      <c r="C37" s="18"/>
      <c r="D37" s="18"/>
      <c r="E37" s="19"/>
      <c r="F37" s="19"/>
      <c r="G37" s="19"/>
      <c r="H37" s="19"/>
      <c r="I37" s="19"/>
      <c r="J37" s="19"/>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20"/>
    </row>
    <row r="38" spans="1:55" s="12" customFormat="1" ht="14.25" customHeight="1" x14ac:dyDescent="0.15"/>
    <row r="39" spans="1:55" ht="14.25" customHeight="1" x14ac:dyDescent="0.1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row>
    <row r="40" spans="1:55" ht="14.25" customHeight="1" x14ac:dyDescent="0.1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row>
    <row r="41" spans="1:55" ht="14.25" customHeight="1" x14ac:dyDescent="0.15"/>
    <row r="42" spans="1:55" ht="14.25" customHeight="1" x14ac:dyDescent="0.15"/>
    <row r="43" spans="1:55" ht="14.25" customHeight="1" x14ac:dyDescent="0.15"/>
    <row r="44" spans="1:55" ht="14.25" customHeight="1" x14ac:dyDescent="0.15"/>
    <row r="45" spans="1:55" ht="14.25" customHeight="1" x14ac:dyDescent="0.15"/>
    <row r="46" spans="1:55" ht="14.25" customHeight="1" x14ac:dyDescent="0.15"/>
    <row r="47" spans="1:55" ht="14.25" customHeight="1" x14ac:dyDescent="0.15"/>
    <row r="48" spans="1:55" ht="14.25" customHeight="1" x14ac:dyDescent="0.15"/>
    <row r="49" ht="14.25" customHeight="1" x14ac:dyDescent="0.15"/>
    <row r="50" ht="14.25" customHeight="1" x14ac:dyDescent="0.15"/>
  </sheetData>
  <mergeCells count="134">
    <mergeCell ref="K28:AE28"/>
    <mergeCell ref="K35:AE35"/>
    <mergeCell ref="K36:AE36"/>
    <mergeCell ref="K29:AE29"/>
    <mergeCell ref="K30:AE30"/>
    <mergeCell ref="K31:AE31"/>
    <mergeCell ref="K32:AE32"/>
    <mergeCell ref="K33:AE33"/>
    <mergeCell ref="K34:AE34"/>
    <mergeCell ref="E33:J33"/>
    <mergeCell ref="B33:D33"/>
    <mergeCell ref="E32:J32"/>
    <mergeCell ref="B32:D32"/>
    <mergeCell ref="E31:J31"/>
    <mergeCell ref="B31:D31"/>
    <mergeCell ref="E26:J26"/>
    <mergeCell ref="B20:D20"/>
    <mergeCell ref="B36:D36"/>
    <mergeCell ref="E36:J36"/>
    <mergeCell ref="B29:D29"/>
    <mergeCell ref="E29:J29"/>
    <mergeCell ref="B30:D30"/>
    <mergeCell ref="E30:J30"/>
    <mergeCell ref="B34:D34"/>
    <mergeCell ref="E34:J34"/>
    <mergeCell ref="B35:D35"/>
    <mergeCell ref="E35:J35"/>
    <mergeCell ref="B23:D23"/>
    <mergeCell ref="E23:J23"/>
    <mergeCell ref="E25:J25"/>
    <mergeCell ref="B25:D25"/>
    <mergeCell ref="B24:D24"/>
    <mergeCell ref="E24:J24"/>
    <mergeCell ref="B26:D26"/>
    <mergeCell ref="B28:D28"/>
    <mergeCell ref="E28:J28"/>
    <mergeCell ref="B27:D27"/>
    <mergeCell ref="E27:J27"/>
    <mergeCell ref="B16:D16"/>
    <mergeCell ref="E16:J16"/>
    <mergeCell ref="B17:D17"/>
    <mergeCell ref="E17:J17"/>
    <mergeCell ref="B19:D19"/>
    <mergeCell ref="B22:D22"/>
    <mergeCell ref="E22:J22"/>
    <mergeCell ref="E20:J20"/>
    <mergeCell ref="B21:D21"/>
    <mergeCell ref="E21:J21"/>
    <mergeCell ref="E19:J19"/>
    <mergeCell ref="A1:J3"/>
    <mergeCell ref="B9:D9"/>
    <mergeCell ref="E10:J10"/>
    <mergeCell ref="B18:D18"/>
    <mergeCell ref="E18:J18"/>
    <mergeCell ref="B15:D15"/>
    <mergeCell ref="B10:D10"/>
    <mergeCell ref="E15:J15"/>
    <mergeCell ref="E11:J11"/>
    <mergeCell ref="B14:D14"/>
    <mergeCell ref="E14:J14"/>
    <mergeCell ref="B11:D11"/>
    <mergeCell ref="E9:J9"/>
    <mergeCell ref="B8:D8"/>
    <mergeCell ref="B6:D6"/>
    <mergeCell ref="B7:D7"/>
    <mergeCell ref="E7:J7"/>
    <mergeCell ref="E6:J6"/>
    <mergeCell ref="E8:J8"/>
    <mergeCell ref="E13:J13"/>
    <mergeCell ref="B12:D12"/>
    <mergeCell ref="B13:D13"/>
    <mergeCell ref="E12:J12"/>
    <mergeCell ref="AG1:AZ1"/>
    <mergeCell ref="AG2:AZ2"/>
    <mergeCell ref="AG3:AZ3"/>
    <mergeCell ref="V3:AF3"/>
    <mergeCell ref="V1:AF1"/>
    <mergeCell ref="K7:AE7"/>
    <mergeCell ref="AF8:AY8"/>
    <mergeCell ref="K12:AE12"/>
    <mergeCell ref="K6:AE6"/>
    <mergeCell ref="AF12:AY12"/>
    <mergeCell ref="K10:AE10"/>
    <mergeCell ref="V2:AF2"/>
    <mergeCell ref="AF6:AY6"/>
    <mergeCell ref="AF7:AY7"/>
    <mergeCell ref="K9:AE9"/>
    <mergeCell ref="AF9:AY9"/>
    <mergeCell ref="K11:AE11"/>
    <mergeCell ref="AF10:AY10"/>
    <mergeCell ref="K1:U1"/>
    <mergeCell ref="K2:U2"/>
    <mergeCell ref="K3:U3"/>
    <mergeCell ref="K8:AE8"/>
    <mergeCell ref="AF22:AY22"/>
    <mergeCell ref="AF18:AY18"/>
    <mergeCell ref="AF19:AY19"/>
    <mergeCell ref="AF25:AY25"/>
    <mergeCell ref="AF13:AY13"/>
    <mergeCell ref="AF23:AY23"/>
    <mergeCell ref="AF14:AY14"/>
    <mergeCell ref="AF11:AY11"/>
    <mergeCell ref="AF24:AY24"/>
    <mergeCell ref="AF15:AY15"/>
    <mergeCell ref="AF20:AY20"/>
    <mergeCell ref="AF21:AY21"/>
    <mergeCell ref="AF17:AY17"/>
    <mergeCell ref="AF16:AY16"/>
    <mergeCell ref="K16:AE16"/>
    <mergeCell ref="K19:AE19"/>
    <mergeCell ref="K20:AE20"/>
    <mergeCell ref="K21:AE21"/>
    <mergeCell ref="K22:AE22"/>
    <mergeCell ref="K27:AE27"/>
    <mergeCell ref="K26:AE26"/>
    <mergeCell ref="K17:AE17"/>
    <mergeCell ref="K13:AE13"/>
    <mergeCell ref="K14:AE14"/>
    <mergeCell ref="K25:AE25"/>
    <mergeCell ref="K15:AE15"/>
    <mergeCell ref="K23:AE23"/>
    <mergeCell ref="K24:AE24"/>
    <mergeCell ref="K18:AE18"/>
    <mergeCell ref="AF35:AY35"/>
    <mergeCell ref="AF36:AY36"/>
    <mergeCell ref="AF26:AY26"/>
    <mergeCell ref="AF27:AY27"/>
    <mergeCell ref="AF28:AY28"/>
    <mergeCell ref="AF29:AY29"/>
    <mergeCell ref="AF32:AY32"/>
    <mergeCell ref="AF33:AY33"/>
    <mergeCell ref="AF34:AY34"/>
    <mergeCell ref="AF30:AY30"/>
    <mergeCell ref="AF31:AY31"/>
  </mergeCells>
  <phoneticPr fontId="2"/>
  <dataValidations disablePrompts="1" count="1">
    <dataValidation type="list" allowBlank="1" showInputMessage="1" showErrorMessage="1" sqref="E37:J37" xr:uid="{00000000-0002-0000-0000-000000000000}">
      <formula1>"-,要件定義,概要設計,詳細設計"</formula1>
    </dataValidation>
  </dataValidations>
  <pageMargins left="0.59055118110236227" right="0.59055118110236227" top="0.78740157480314965" bottom="0.59055118110236227" header="0.51181102362204722" footer="0.51181102362204722"/>
  <pageSetup paperSize="9" orientation="landscape" useFirstPageNumber="1"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5371B-C9DC-48D4-9275-4083CE0D4B48}">
  <dimension ref="A1:BE39"/>
  <sheetViews>
    <sheetView view="pageBreakPreview" zoomScaleNormal="100" zoomScaleSheetLayoutView="100" workbookViewId="0">
      <selection sqref="A1:J3"/>
    </sheetView>
  </sheetViews>
  <sheetFormatPr defaultColWidth="2.625" defaultRowHeight="13.5" x14ac:dyDescent="0.15"/>
  <cols>
    <col min="1" max="1" width="2.625" style="8" customWidth="1"/>
    <col min="2" max="16384" width="2.625" style="8"/>
  </cols>
  <sheetData>
    <row r="1" spans="1:57" ht="14.25" customHeight="1" x14ac:dyDescent="0.15">
      <c r="A1" s="199" t="s">
        <v>20</v>
      </c>
      <c r="B1" s="199"/>
      <c r="C1" s="199"/>
      <c r="D1" s="199"/>
      <c r="E1" s="199"/>
      <c r="F1" s="199"/>
      <c r="G1" s="199"/>
      <c r="H1" s="199"/>
      <c r="I1" s="199"/>
      <c r="J1" s="199"/>
      <c r="K1" s="188" t="s">
        <v>22</v>
      </c>
      <c r="L1" s="188"/>
      <c r="M1" s="188"/>
      <c r="N1" s="188"/>
      <c r="O1" s="188"/>
      <c r="P1" s="188"/>
      <c r="Q1" s="188"/>
      <c r="R1" s="188"/>
      <c r="S1" s="188"/>
      <c r="T1" s="188"/>
      <c r="U1" s="188"/>
      <c r="V1" s="188" t="s">
        <v>23</v>
      </c>
      <c r="W1" s="188"/>
      <c r="X1" s="188"/>
      <c r="Y1" s="188"/>
      <c r="Z1" s="188"/>
      <c r="AA1" s="188"/>
      <c r="AB1" s="188"/>
      <c r="AC1" s="188"/>
      <c r="AD1" s="188"/>
      <c r="AE1" s="188"/>
      <c r="AF1" s="188"/>
      <c r="AG1" s="182" t="s">
        <v>24</v>
      </c>
      <c r="AH1" s="212"/>
      <c r="AI1" s="212"/>
      <c r="AJ1" s="212"/>
      <c r="AK1" s="212"/>
      <c r="AL1" s="212"/>
      <c r="AM1" s="212"/>
      <c r="AN1" s="212"/>
      <c r="AO1" s="212"/>
      <c r="AP1" s="212"/>
      <c r="AQ1" s="212"/>
      <c r="AR1" s="212"/>
      <c r="AS1" s="212"/>
      <c r="AT1" s="212"/>
      <c r="AU1" s="212"/>
      <c r="AV1" s="212"/>
      <c r="AW1" s="212"/>
      <c r="AX1" s="212"/>
      <c r="AY1" s="212"/>
      <c r="AZ1" s="213"/>
    </row>
    <row r="2" spans="1:57" ht="14.25" customHeight="1" x14ac:dyDescent="0.15">
      <c r="A2" s="199"/>
      <c r="B2" s="199"/>
      <c r="C2" s="199"/>
      <c r="D2" s="199"/>
      <c r="E2" s="199"/>
      <c r="F2" s="199"/>
      <c r="G2" s="199"/>
      <c r="H2" s="199"/>
      <c r="I2" s="199"/>
      <c r="J2" s="199"/>
      <c r="K2" s="214" t="str">
        <f>表紙!K2</f>
        <v>BQ</v>
      </c>
      <c r="L2" s="215"/>
      <c r="M2" s="215"/>
      <c r="N2" s="215"/>
      <c r="O2" s="215"/>
      <c r="P2" s="215"/>
      <c r="Q2" s="215"/>
      <c r="R2" s="215"/>
      <c r="S2" s="215"/>
      <c r="T2" s="215"/>
      <c r="U2" s="215"/>
      <c r="V2" s="214" t="str">
        <f>表紙!V2</f>
        <v>受講管理システム</v>
      </c>
      <c r="W2" s="215"/>
      <c r="X2" s="215"/>
      <c r="Y2" s="215"/>
      <c r="Z2" s="215"/>
      <c r="AA2" s="215"/>
      <c r="AB2" s="215"/>
      <c r="AC2" s="215"/>
      <c r="AD2" s="215"/>
      <c r="AE2" s="215"/>
      <c r="AF2" s="215"/>
      <c r="AG2" s="185" t="str">
        <f>表紙!AG2</f>
        <v>BJ990100E</v>
      </c>
      <c r="AH2" s="216"/>
      <c r="AI2" s="216"/>
      <c r="AJ2" s="216"/>
      <c r="AK2" s="216"/>
      <c r="AL2" s="216"/>
      <c r="AM2" s="216"/>
      <c r="AN2" s="216"/>
      <c r="AO2" s="216"/>
      <c r="AP2" s="216"/>
      <c r="AQ2" s="216"/>
      <c r="AR2" s="216"/>
      <c r="AS2" s="216"/>
      <c r="AT2" s="216"/>
      <c r="AU2" s="216"/>
      <c r="AV2" s="216"/>
      <c r="AW2" s="216"/>
      <c r="AX2" s="216"/>
      <c r="AY2" s="216"/>
      <c r="AZ2" s="217"/>
    </row>
    <row r="3" spans="1:57" ht="14.25" customHeight="1" x14ac:dyDescent="0.15">
      <c r="A3" s="199"/>
      <c r="B3" s="199"/>
      <c r="C3" s="199"/>
      <c r="D3" s="199"/>
      <c r="E3" s="199"/>
      <c r="F3" s="199"/>
      <c r="G3" s="199"/>
      <c r="H3" s="199"/>
      <c r="I3" s="199"/>
      <c r="J3" s="199"/>
      <c r="K3" s="215" t="str">
        <f>表紙!K3</f>
        <v>BJ</v>
      </c>
      <c r="L3" s="215"/>
      <c r="M3" s="215"/>
      <c r="N3" s="215"/>
      <c r="O3" s="215"/>
      <c r="P3" s="215"/>
      <c r="Q3" s="215"/>
      <c r="R3" s="215"/>
      <c r="S3" s="215"/>
      <c r="T3" s="215"/>
      <c r="U3" s="215"/>
      <c r="V3" s="214" t="str">
        <f>表紙!V3</f>
        <v>マスタメンテナンス</v>
      </c>
      <c r="W3" s="215"/>
      <c r="X3" s="215"/>
      <c r="Y3" s="215"/>
      <c r="Z3" s="215"/>
      <c r="AA3" s="215"/>
      <c r="AB3" s="215"/>
      <c r="AC3" s="215"/>
      <c r="AD3" s="215"/>
      <c r="AE3" s="215"/>
      <c r="AF3" s="215"/>
      <c r="AG3" s="185" t="str">
        <f>表紙!AG3</f>
        <v>ログインユーザマスタ管理</v>
      </c>
      <c r="AH3" s="216"/>
      <c r="AI3" s="216"/>
      <c r="AJ3" s="216"/>
      <c r="AK3" s="216"/>
      <c r="AL3" s="216"/>
      <c r="AM3" s="216"/>
      <c r="AN3" s="216"/>
      <c r="AO3" s="216"/>
      <c r="AP3" s="216"/>
      <c r="AQ3" s="216"/>
      <c r="AR3" s="216"/>
      <c r="AS3" s="216"/>
      <c r="AT3" s="216"/>
      <c r="AU3" s="216"/>
      <c r="AV3" s="216"/>
      <c r="AW3" s="216"/>
      <c r="AX3" s="216"/>
      <c r="AY3" s="216"/>
      <c r="AZ3" s="217"/>
    </row>
    <row r="4" spans="1:57" ht="6" customHeight="1" x14ac:dyDescent="0.15">
      <c r="A4" s="117"/>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9"/>
      <c r="BA4" s="12"/>
      <c r="BB4" s="12"/>
      <c r="BC4" s="12"/>
      <c r="BD4" s="12"/>
      <c r="BE4" s="12"/>
    </row>
    <row r="5" spans="1:57" s="131" customFormat="1" x14ac:dyDescent="0.15">
      <c r="A5" s="196" t="s">
        <v>30</v>
      </c>
      <c r="B5" s="223"/>
      <c r="C5" s="196" t="s">
        <v>42</v>
      </c>
      <c r="D5" s="224"/>
      <c r="E5" s="224"/>
      <c r="F5" s="224"/>
      <c r="G5" s="223"/>
      <c r="H5" s="192" t="s">
        <v>41</v>
      </c>
      <c r="I5" s="192"/>
      <c r="J5" s="192"/>
      <c r="K5" s="192" t="s">
        <v>328</v>
      </c>
      <c r="L5" s="192"/>
      <c r="M5" s="192"/>
      <c r="N5" s="192"/>
      <c r="O5" s="135" t="s">
        <v>19</v>
      </c>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6"/>
      <c r="AQ5" s="136"/>
      <c r="AR5" s="136"/>
      <c r="AS5" s="136"/>
      <c r="AT5" s="136"/>
      <c r="AU5" s="136"/>
      <c r="AV5" s="136"/>
      <c r="AW5" s="136"/>
      <c r="AX5" s="137"/>
      <c r="AY5" s="137"/>
      <c r="AZ5" s="138"/>
      <c r="BA5" s="14"/>
      <c r="BB5" s="14"/>
      <c r="BC5" s="14"/>
      <c r="BD5" s="14"/>
      <c r="BE5" s="14"/>
    </row>
    <row r="6" spans="1:57" s="131" customFormat="1" x14ac:dyDescent="0.15">
      <c r="A6" s="225">
        <f>ROW()-5</f>
        <v>1</v>
      </c>
      <c r="B6" s="226"/>
      <c r="C6" s="227">
        <v>45992</v>
      </c>
      <c r="D6" s="228"/>
      <c r="E6" s="228"/>
      <c r="F6" s="228"/>
      <c r="G6" s="229"/>
      <c r="H6" s="230" t="s">
        <v>327</v>
      </c>
      <c r="I6" s="231"/>
      <c r="J6" s="232"/>
      <c r="K6" s="233" t="s">
        <v>329</v>
      </c>
      <c r="L6" s="233"/>
      <c r="M6" s="233"/>
      <c r="N6" s="233"/>
      <c r="O6" s="189" t="s">
        <v>72</v>
      </c>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1"/>
      <c r="BA6" s="14"/>
      <c r="BB6" s="14"/>
      <c r="BC6" s="14"/>
      <c r="BD6" s="14"/>
      <c r="BE6" s="14"/>
    </row>
    <row r="7" spans="1:57" s="131" customFormat="1" x14ac:dyDescent="0.15">
      <c r="A7" s="218">
        <f t="shared" ref="A7:A39" si="0">ROW()-5</f>
        <v>2</v>
      </c>
      <c r="B7" s="219"/>
      <c r="C7" s="220"/>
      <c r="D7" s="221"/>
      <c r="E7" s="221"/>
      <c r="F7" s="221"/>
      <c r="G7" s="222"/>
      <c r="H7" s="200"/>
      <c r="I7" s="201"/>
      <c r="J7" s="202"/>
      <c r="K7" s="200"/>
      <c r="L7" s="201"/>
      <c r="M7" s="201"/>
      <c r="N7" s="202"/>
      <c r="O7" s="176"/>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78"/>
      <c r="BA7" s="14"/>
      <c r="BB7" s="14"/>
      <c r="BC7" s="14"/>
      <c r="BD7" s="14"/>
      <c r="BE7" s="14"/>
    </row>
    <row r="8" spans="1:57" s="131" customFormat="1" x14ac:dyDescent="0.15">
      <c r="A8" s="218">
        <f t="shared" si="0"/>
        <v>3</v>
      </c>
      <c r="B8" s="219"/>
      <c r="C8" s="220"/>
      <c r="D8" s="221"/>
      <c r="E8" s="221"/>
      <c r="F8" s="221"/>
      <c r="G8" s="222"/>
      <c r="H8" s="200"/>
      <c r="I8" s="201"/>
      <c r="J8" s="202"/>
      <c r="K8" s="200"/>
      <c r="L8" s="201"/>
      <c r="M8" s="201"/>
      <c r="N8" s="202"/>
      <c r="O8" s="234"/>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8"/>
      <c r="BA8" s="14"/>
      <c r="BB8" s="14"/>
      <c r="BC8" s="14"/>
      <c r="BD8" s="14"/>
      <c r="BE8" s="14"/>
    </row>
    <row r="9" spans="1:57" s="131" customFormat="1" x14ac:dyDescent="0.15">
      <c r="A9" s="218">
        <f t="shared" si="0"/>
        <v>4</v>
      </c>
      <c r="B9" s="219"/>
      <c r="C9" s="220"/>
      <c r="D9" s="221"/>
      <c r="E9" s="221"/>
      <c r="F9" s="221"/>
      <c r="G9" s="222"/>
      <c r="H9" s="200"/>
      <c r="I9" s="201"/>
      <c r="J9" s="202"/>
      <c r="K9" s="200"/>
      <c r="L9" s="201"/>
      <c r="M9" s="201"/>
      <c r="N9" s="202"/>
      <c r="O9" s="176"/>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8"/>
      <c r="BA9" s="14"/>
      <c r="BB9" s="14"/>
      <c r="BC9" s="14"/>
      <c r="BD9" s="14"/>
      <c r="BE9" s="14"/>
    </row>
    <row r="10" spans="1:57" s="131" customFormat="1" x14ac:dyDescent="0.15">
      <c r="A10" s="218">
        <f t="shared" si="0"/>
        <v>5</v>
      </c>
      <c r="B10" s="219"/>
      <c r="C10" s="220"/>
      <c r="D10" s="221"/>
      <c r="E10" s="221"/>
      <c r="F10" s="221"/>
      <c r="G10" s="222"/>
      <c r="H10" s="200"/>
      <c r="I10" s="201"/>
      <c r="J10" s="202"/>
      <c r="K10" s="200"/>
      <c r="L10" s="201"/>
      <c r="M10" s="201"/>
      <c r="N10" s="202"/>
      <c r="O10" s="176"/>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8"/>
      <c r="BA10" s="14"/>
      <c r="BB10" s="14"/>
      <c r="BC10" s="14"/>
      <c r="BD10" s="14"/>
      <c r="BE10" s="14"/>
    </row>
    <row r="11" spans="1:57" s="131" customFormat="1" x14ac:dyDescent="0.15">
      <c r="A11" s="218">
        <f t="shared" si="0"/>
        <v>6</v>
      </c>
      <c r="B11" s="219"/>
      <c r="C11" s="220"/>
      <c r="D11" s="221"/>
      <c r="E11" s="221"/>
      <c r="F11" s="221"/>
      <c r="G11" s="222"/>
      <c r="H11" s="200"/>
      <c r="I11" s="201"/>
      <c r="J11" s="202"/>
      <c r="K11" s="200"/>
      <c r="L11" s="201"/>
      <c r="M11" s="201"/>
      <c r="N11" s="202"/>
      <c r="O11" s="235"/>
      <c r="P11" s="236"/>
      <c r="Q11" s="236"/>
      <c r="R11" s="236"/>
      <c r="S11" s="236"/>
      <c r="T11" s="236"/>
      <c r="U11" s="236"/>
      <c r="V11" s="236"/>
      <c r="W11" s="236"/>
      <c r="X11" s="236"/>
      <c r="Y11" s="236"/>
      <c r="Z11" s="236"/>
      <c r="AA11" s="236"/>
      <c r="AB11" s="236"/>
      <c r="AC11" s="236"/>
      <c r="AD11" s="236"/>
      <c r="AE11" s="236"/>
      <c r="AF11" s="236"/>
      <c r="AG11" s="236"/>
      <c r="AH11" s="236"/>
      <c r="AI11" s="236"/>
      <c r="AJ11" s="236"/>
      <c r="AK11" s="236"/>
      <c r="AL11" s="236"/>
      <c r="AM11" s="236"/>
      <c r="AN11" s="236"/>
      <c r="AO11" s="236"/>
      <c r="AP11" s="236"/>
      <c r="AQ11" s="236"/>
      <c r="AR11" s="236"/>
      <c r="AS11" s="236"/>
      <c r="AT11" s="236"/>
      <c r="AU11" s="236"/>
      <c r="AV11" s="236"/>
      <c r="AW11" s="236"/>
      <c r="AX11" s="236"/>
      <c r="AY11" s="236"/>
      <c r="AZ11" s="237"/>
      <c r="BA11" s="14"/>
      <c r="BB11" s="14"/>
      <c r="BC11" s="14"/>
      <c r="BD11" s="14"/>
      <c r="BE11" s="14"/>
    </row>
    <row r="12" spans="1:57" s="131" customFormat="1" x14ac:dyDescent="0.15">
      <c r="A12" s="218">
        <f t="shared" si="0"/>
        <v>7</v>
      </c>
      <c r="B12" s="219"/>
      <c r="C12" s="220"/>
      <c r="D12" s="221"/>
      <c r="E12" s="221"/>
      <c r="F12" s="221"/>
      <c r="G12" s="222"/>
      <c r="H12" s="200"/>
      <c r="I12" s="201"/>
      <c r="J12" s="202"/>
      <c r="K12" s="200"/>
      <c r="L12" s="201"/>
      <c r="M12" s="201"/>
      <c r="N12" s="202"/>
      <c r="O12" s="176"/>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8"/>
      <c r="BA12" s="14"/>
      <c r="BB12" s="14"/>
      <c r="BC12" s="14"/>
      <c r="BD12" s="14"/>
      <c r="BE12" s="14"/>
    </row>
    <row r="13" spans="1:57" s="131" customFormat="1" x14ac:dyDescent="0.15">
      <c r="A13" s="218">
        <f t="shared" si="0"/>
        <v>8</v>
      </c>
      <c r="B13" s="219"/>
      <c r="C13" s="220"/>
      <c r="D13" s="221"/>
      <c r="E13" s="221"/>
      <c r="F13" s="221"/>
      <c r="G13" s="222"/>
      <c r="H13" s="200"/>
      <c r="I13" s="201"/>
      <c r="J13" s="202"/>
      <c r="K13" s="200"/>
      <c r="L13" s="201"/>
      <c r="M13" s="201"/>
      <c r="N13" s="202"/>
      <c r="O13" s="176"/>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8"/>
      <c r="BA13" s="14"/>
      <c r="BB13" s="14"/>
      <c r="BC13" s="14"/>
      <c r="BD13" s="14"/>
      <c r="BE13" s="14"/>
    </row>
    <row r="14" spans="1:57" s="131" customFormat="1" x14ac:dyDescent="0.15">
      <c r="A14" s="218">
        <f t="shared" si="0"/>
        <v>9</v>
      </c>
      <c r="B14" s="219"/>
      <c r="C14" s="220"/>
      <c r="D14" s="221"/>
      <c r="E14" s="221"/>
      <c r="F14" s="221"/>
      <c r="G14" s="222"/>
      <c r="H14" s="200"/>
      <c r="I14" s="201"/>
      <c r="J14" s="202"/>
      <c r="K14" s="200"/>
      <c r="L14" s="201"/>
      <c r="M14" s="201"/>
      <c r="N14" s="202"/>
      <c r="O14" s="176"/>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8"/>
      <c r="BA14" s="14"/>
      <c r="BB14" s="14"/>
      <c r="BC14" s="14"/>
      <c r="BD14" s="14"/>
      <c r="BE14" s="14"/>
    </row>
    <row r="15" spans="1:57" s="131" customFormat="1" x14ac:dyDescent="0.15">
      <c r="A15" s="218">
        <f t="shared" si="0"/>
        <v>10</v>
      </c>
      <c r="B15" s="219"/>
      <c r="C15" s="238"/>
      <c r="D15" s="239"/>
      <c r="E15" s="239"/>
      <c r="F15" s="239"/>
      <c r="G15" s="240"/>
      <c r="H15" s="200"/>
      <c r="I15" s="201"/>
      <c r="J15" s="202"/>
      <c r="K15" s="200"/>
      <c r="L15" s="201"/>
      <c r="M15" s="201"/>
      <c r="N15" s="202"/>
      <c r="O15" s="241"/>
      <c r="P15" s="242"/>
      <c r="Q15" s="242"/>
      <c r="R15" s="242"/>
      <c r="S15" s="242"/>
      <c r="T15" s="242"/>
      <c r="U15" s="242"/>
      <c r="V15" s="242"/>
      <c r="W15" s="242"/>
      <c r="X15" s="242"/>
      <c r="Y15" s="242"/>
      <c r="Z15" s="242"/>
      <c r="AA15" s="242"/>
      <c r="AB15" s="242"/>
      <c r="AC15" s="242"/>
      <c r="AD15" s="242"/>
      <c r="AE15" s="242"/>
      <c r="AF15" s="242"/>
      <c r="AG15" s="242"/>
      <c r="AH15" s="242"/>
      <c r="AI15" s="242"/>
      <c r="AJ15" s="242"/>
      <c r="AK15" s="242"/>
      <c r="AL15" s="242"/>
      <c r="AM15" s="242"/>
      <c r="AN15" s="242"/>
      <c r="AO15" s="242"/>
      <c r="AP15" s="242"/>
      <c r="AQ15" s="242"/>
      <c r="AR15" s="242"/>
      <c r="AS15" s="242"/>
      <c r="AT15" s="242"/>
      <c r="AU15" s="242"/>
      <c r="AV15" s="242"/>
      <c r="AW15" s="242"/>
      <c r="AX15" s="242"/>
      <c r="AY15" s="242"/>
      <c r="AZ15" s="243"/>
      <c r="BA15" s="14"/>
      <c r="BB15" s="14"/>
      <c r="BC15" s="14"/>
      <c r="BD15" s="14"/>
      <c r="BE15" s="14"/>
    </row>
    <row r="16" spans="1:57" s="131" customFormat="1" x14ac:dyDescent="0.15">
      <c r="A16" s="218">
        <f t="shared" si="0"/>
        <v>11</v>
      </c>
      <c r="B16" s="219"/>
      <c r="C16" s="220"/>
      <c r="D16" s="221"/>
      <c r="E16" s="221"/>
      <c r="F16" s="221"/>
      <c r="G16" s="222"/>
      <c r="H16" s="244"/>
      <c r="I16" s="245"/>
      <c r="J16" s="246"/>
      <c r="K16" s="238"/>
      <c r="L16" s="245"/>
      <c r="M16" s="245"/>
      <c r="N16" s="246"/>
      <c r="O16" s="176"/>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8"/>
      <c r="BA16" s="14"/>
      <c r="BB16" s="14"/>
      <c r="BC16" s="14"/>
      <c r="BD16" s="14"/>
      <c r="BE16" s="14"/>
    </row>
    <row r="17" spans="1:57" s="131" customFormat="1" x14ac:dyDescent="0.15">
      <c r="A17" s="218">
        <f t="shared" si="0"/>
        <v>12</v>
      </c>
      <c r="B17" s="219"/>
      <c r="C17" s="220"/>
      <c r="D17" s="221"/>
      <c r="E17" s="221"/>
      <c r="F17" s="221"/>
      <c r="G17" s="222"/>
      <c r="H17" s="206"/>
      <c r="I17" s="206"/>
      <c r="J17" s="206"/>
      <c r="K17" s="200"/>
      <c r="L17" s="201"/>
      <c r="M17" s="201"/>
      <c r="N17" s="202"/>
      <c r="O17" s="176"/>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8"/>
      <c r="BA17" s="14"/>
      <c r="BB17" s="14"/>
      <c r="BC17" s="14"/>
      <c r="BD17" s="14"/>
      <c r="BE17" s="14"/>
    </row>
    <row r="18" spans="1:57" s="131" customFormat="1" x14ac:dyDescent="0.15">
      <c r="A18" s="218">
        <f t="shared" si="0"/>
        <v>13</v>
      </c>
      <c r="B18" s="219"/>
      <c r="C18" s="220"/>
      <c r="D18" s="221"/>
      <c r="E18" s="221"/>
      <c r="F18" s="221"/>
      <c r="G18" s="222"/>
      <c r="H18" s="206"/>
      <c r="I18" s="206"/>
      <c r="J18" s="206"/>
      <c r="K18" s="200"/>
      <c r="L18" s="201"/>
      <c r="M18" s="201"/>
      <c r="N18" s="202"/>
      <c r="O18" s="176"/>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8"/>
      <c r="BA18" s="14"/>
      <c r="BB18" s="14"/>
      <c r="BC18" s="14"/>
      <c r="BD18" s="14"/>
      <c r="BE18" s="14"/>
    </row>
    <row r="19" spans="1:57" s="131" customFormat="1" x14ac:dyDescent="0.15">
      <c r="A19" s="218">
        <f t="shared" si="0"/>
        <v>14</v>
      </c>
      <c r="B19" s="219"/>
      <c r="C19" s="220"/>
      <c r="D19" s="221"/>
      <c r="E19" s="221"/>
      <c r="F19" s="221"/>
      <c r="G19" s="222"/>
      <c r="H19" s="206"/>
      <c r="I19" s="206"/>
      <c r="J19" s="206"/>
      <c r="K19" s="200"/>
      <c r="L19" s="201"/>
      <c r="M19" s="201"/>
      <c r="N19" s="202"/>
      <c r="O19" s="176"/>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8"/>
      <c r="BA19" s="14"/>
      <c r="BB19" s="14"/>
      <c r="BC19" s="14"/>
      <c r="BD19" s="14"/>
      <c r="BE19" s="14"/>
    </row>
    <row r="20" spans="1:57" s="131" customFormat="1" x14ac:dyDescent="0.15">
      <c r="A20" s="218">
        <f t="shared" si="0"/>
        <v>15</v>
      </c>
      <c r="B20" s="219"/>
      <c r="C20" s="220"/>
      <c r="D20" s="221"/>
      <c r="E20" s="221"/>
      <c r="F20" s="221"/>
      <c r="G20" s="222"/>
      <c r="H20" s="206"/>
      <c r="I20" s="206"/>
      <c r="J20" s="206"/>
      <c r="K20" s="200"/>
      <c r="L20" s="201"/>
      <c r="M20" s="201"/>
      <c r="N20" s="202"/>
      <c r="O20" s="176"/>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8"/>
      <c r="BA20" s="14"/>
      <c r="BB20" s="14"/>
      <c r="BC20" s="14"/>
      <c r="BD20" s="14"/>
      <c r="BE20" s="14"/>
    </row>
    <row r="21" spans="1:57" s="131" customFormat="1" x14ac:dyDescent="0.15">
      <c r="A21" s="218">
        <f t="shared" si="0"/>
        <v>16</v>
      </c>
      <c r="B21" s="219"/>
      <c r="C21" s="220"/>
      <c r="D21" s="221"/>
      <c r="E21" s="221"/>
      <c r="F21" s="221"/>
      <c r="G21" s="222"/>
      <c r="H21" s="206"/>
      <c r="I21" s="206"/>
      <c r="J21" s="206"/>
      <c r="K21" s="200"/>
      <c r="L21" s="201"/>
      <c r="M21" s="201"/>
      <c r="N21" s="202"/>
      <c r="O21" s="176"/>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8"/>
      <c r="BA21" s="14"/>
      <c r="BB21" s="14"/>
      <c r="BC21" s="14"/>
      <c r="BD21" s="14"/>
      <c r="BE21" s="14"/>
    </row>
    <row r="22" spans="1:57" s="131" customFormat="1" x14ac:dyDescent="0.15">
      <c r="A22" s="218">
        <f t="shared" si="0"/>
        <v>17</v>
      </c>
      <c r="B22" s="219"/>
      <c r="C22" s="220"/>
      <c r="D22" s="221"/>
      <c r="E22" s="221"/>
      <c r="F22" s="221"/>
      <c r="G22" s="222"/>
      <c r="H22" s="247"/>
      <c r="I22" s="247"/>
      <c r="J22" s="247"/>
      <c r="K22" s="200"/>
      <c r="L22" s="201"/>
      <c r="M22" s="201"/>
      <c r="N22" s="202"/>
      <c r="O22" s="176"/>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8"/>
      <c r="BA22" s="14"/>
      <c r="BB22" s="14"/>
      <c r="BC22" s="14"/>
      <c r="BD22" s="14"/>
      <c r="BE22" s="14"/>
    </row>
    <row r="23" spans="1:57" s="131" customFormat="1" x14ac:dyDescent="0.15">
      <c r="A23" s="218">
        <f t="shared" si="0"/>
        <v>18</v>
      </c>
      <c r="B23" s="219"/>
      <c r="C23" s="220"/>
      <c r="D23" s="221"/>
      <c r="E23" s="221"/>
      <c r="F23" s="221"/>
      <c r="G23" s="222"/>
      <c r="H23" s="248"/>
      <c r="I23" s="248"/>
      <c r="J23" s="248"/>
      <c r="K23" s="249"/>
      <c r="L23" s="248"/>
      <c r="M23" s="248"/>
      <c r="N23" s="248"/>
      <c r="O23" s="176"/>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8"/>
      <c r="BA23" s="14"/>
      <c r="BB23" s="14"/>
      <c r="BC23" s="14"/>
      <c r="BD23" s="14"/>
      <c r="BE23" s="14"/>
    </row>
    <row r="24" spans="1:57" s="131" customFormat="1" x14ac:dyDescent="0.15">
      <c r="A24" s="218">
        <f t="shared" si="0"/>
        <v>19</v>
      </c>
      <c r="B24" s="219"/>
      <c r="C24" s="220"/>
      <c r="D24" s="221"/>
      <c r="E24" s="221"/>
      <c r="F24" s="221"/>
      <c r="G24" s="222"/>
      <c r="H24" s="206"/>
      <c r="I24" s="206"/>
      <c r="J24" s="206"/>
      <c r="K24" s="206"/>
      <c r="L24" s="206"/>
      <c r="M24" s="206"/>
      <c r="N24" s="206"/>
      <c r="O24" s="176"/>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8"/>
      <c r="BA24" s="14"/>
      <c r="BB24" s="14"/>
      <c r="BC24" s="14"/>
      <c r="BD24" s="14"/>
      <c r="BE24" s="14"/>
    </row>
    <row r="25" spans="1:57" s="131" customFormat="1" x14ac:dyDescent="0.15">
      <c r="A25" s="218">
        <f t="shared" si="0"/>
        <v>20</v>
      </c>
      <c r="B25" s="219"/>
      <c r="C25" s="220"/>
      <c r="D25" s="221"/>
      <c r="E25" s="221"/>
      <c r="F25" s="221"/>
      <c r="G25" s="222"/>
      <c r="H25" s="206"/>
      <c r="I25" s="206"/>
      <c r="J25" s="206"/>
      <c r="K25" s="206"/>
      <c r="L25" s="206"/>
      <c r="M25" s="206"/>
      <c r="N25" s="206"/>
      <c r="O25" s="176"/>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8"/>
      <c r="BA25" s="14"/>
      <c r="BB25" s="14"/>
      <c r="BC25" s="14"/>
      <c r="BD25" s="14"/>
      <c r="BE25" s="14"/>
    </row>
    <row r="26" spans="1:57" s="131" customFormat="1" x14ac:dyDescent="0.15">
      <c r="A26" s="218">
        <f t="shared" si="0"/>
        <v>21</v>
      </c>
      <c r="B26" s="219"/>
      <c r="C26" s="220"/>
      <c r="D26" s="221"/>
      <c r="E26" s="221"/>
      <c r="F26" s="221"/>
      <c r="G26" s="222"/>
      <c r="H26" s="206"/>
      <c r="I26" s="206"/>
      <c r="J26" s="206"/>
      <c r="K26" s="206"/>
      <c r="L26" s="206"/>
      <c r="M26" s="206"/>
      <c r="N26" s="206"/>
      <c r="O26" s="176"/>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8"/>
      <c r="BA26" s="14"/>
      <c r="BB26" s="14"/>
      <c r="BC26" s="14"/>
      <c r="BD26" s="14"/>
      <c r="BE26" s="14"/>
    </row>
    <row r="27" spans="1:57" s="131" customFormat="1" x14ac:dyDescent="0.15">
      <c r="A27" s="218">
        <f t="shared" si="0"/>
        <v>22</v>
      </c>
      <c r="B27" s="219"/>
      <c r="C27" s="220"/>
      <c r="D27" s="221"/>
      <c r="E27" s="221"/>
      <c r="F27" s="221"/>
      <c r="G27" s="222"/>
      <c r="H27" s="206"/>
      <c r="I27" s="206"/>
      <c r="J27" s="206"/>
      <c r="K27" s="206"/>
      <c r="L27" s="206"/>
      <c r="M27" s="206"/>
      <c r="N27" s="206"/>
      <c r="O27" s="176"/>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8"/>
      <c r="BA27" s="14"/>
      <c r="BB27" s="14"/>
      <c r="BC27" s="14"/>
      <c r="BD27" s="14"/>
      <c r="BE27" s="14"/>
    </row>
    <row r="28" spans="1:57" s="131" customFormat="1" x14ac:dyDescent="0.15">
      <c r="A28" s="218">
        <f t="shared" si="0"/>
        <v>23</v>
      </c>
      <c r="B28" s="219"/>
      <c r="C28" s="220"/>
      <c r="D28" s="221"/>
      <c r="E28" s="221"/>
      <c r="F28" s="221"/>
      <c r="G28" s="222"/>
      <c r="H28" s="206"/>
      <c r="I28" s="206"/>
      <c r="J28" s="206"/>
      <c r="K28" s="206"/>
      <c r="L28" s="206"/>
      <c r="M28" s="206"/>
      <c r="N28" s="206"/>
      <c r="O28" s="176"/>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8"/>
      <c r="BA28" s="14"/>
      <c r="BB28" s="14"/>
      <c r="BC28" s="14"/>
      <c r="BD28" s="14"/>
      <c r="BE28" s="14"/>
    </row>
    <row r="29" spans="1:57" s="131" customFormat="1" x14ac:dyDescent="0.15">
      <c r="A29" s="218">
        <f t="shared" si="0"/>
        <v>24</v>
      </c>
      <c r="B29" s="219"/>
      <c r="C29" s="220"/>
      <c r="D29" s="221"/>
      <c r="E29" s="221"/>
      <c r="F29" s="221"/>
      <c r="G29" s="222"/>
      <c r="H29" s="206"/>
      <c r="I29" s="206"/>
      <c r="J29" s="206"/>
      <c r="K29" s="206"/>
      <c r="L29" s="206"/>
      <c r="M29" s="206"/>
      <c r="N29" s="206"/>
      <c r="O29" s="176"/>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8"/>
      <c r="BA29" s="14"/>
      <c r="BB29" s="14"/>
      <c r="BC29" s="14"/>
      <c r="BD29" s="14"/>
      <c r="BE29" s="14"/>
    </row>
    <row r="30" spans="1:57" s="131" customFormat="1" x14ac:dyDescent="0.15">
      <c r="A30" s="218">
        <f t="shared" si="0"/>
        <v>25</v>
      </c>
      <c r="B30" s="219"/>
      <c r="C30" s="220"/>
      <c r="D30" s="221"/>
      <c r="E30" s="221"/>
      <c r="F30" s="221"/>
      <c r="G30" s="222"/>
      <c r="H30" s="206"/>
      <c r="I30" s="206"/>
      <c r="J30" s="206"/>
      <c r="K30" s="206"/>
      <c r="L30" s="206"/>
      <c r="M30" s="206"/>
      <c r="N30" s="206"/>
      <c r="O30" s="176"/>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8"/>
      <c r="BA30" s="14"/>
      <c r="BB30" s="14"/>
      <c r="BC30" s="14"/>
      <c r="BD30" s="14"/>
      <c r="BE30" s="14"/>
    </row>
    <row r="31" spans="1:57" s="131" customFormat="1" x14ac:dyDescent="0.15">
      <c r="A31" s="218">
        <f t="shared" si="0"/>
        <v>26</v>
      </c>
      <c r="B31" s="219"/>
      <c r="C31" s="220"/>
      <c r="D31" s="221"/>
      <c r="E31" s="221"/>
      <c r="F31" s="221"/>
      <c r="G31" s="222"/>
      <c r="H31" s="206"/>
      <c r="I31" s="206"/>
      <c r="J31" s="206"/>
      <c r="K31" s="206"/>
      <c r="L31" s="206"/>
      <c r="M31" s="206"/>
      <c r="N31" s="206"/>
      <c r="O31" s="176"/>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8"/>
      <c r="BA31" s="14"/>
      <c r="BB31" s="14"/>
      <c r="BC31" s="14"/>
      <c r="BD31" s="14"/>
      <c r="BE31" s="14"/>
    </row>
    <row r="32" spans="1:57" s="131" customFormat="1" x14ac:dyDescent="0.15">
      <c r="A32" s="218">
        <f t="shared" si="0"/>
        <v>27</v>
      </c>
      <c r="B32" s="219"/>
      <c r="C32" s="220"/>
      <c r="D32" s="221"/>
      <c r="E32" s="221"/>
      <c r="F32" s="221"/>
      <c r="G32" s="222"/>
      <c r="H32" s="206"/>
      <c r="I32" s="206"/>
      <c r="J32" s="206"/>
      <c r="K32" s="206"/>
      <c r="L32" s="206"/>
      <c r="M32" s="206"/>
      <c r="N32" s="206"/>
      <c r="O32" s="176"/>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8"/>
      <c r="BA32" s="14"/>
      <c r="BB32" s="14"/>
      <c r="BC32" s="14"/>
      <c r="BD32" s="14"/>
      <c r="BE32" s="14"/>
    </row>
    <row r="33" spans="1:57" s="131" customFormat="1" x14ac:dyDescent="0.15">
      <c r="A33" s="218">
        <f t="shared" si="0"/>
        <v>28</v>
      </c>
      <c r="B33" s="219"/>
      <c r="C33" s="220"/>
      <c r="D33" s="221"/>
      <c r="E33" s="221"/>
      <c r="F33" s="221"/>
      <c r="G33" s="222"/>
      <c r="H33" s="206"/>
      <c r="I33" s="206"/>
      <c r="J33" s="206"/>
      <c r="K33" s="206"/>
      <c r="L33" s="206"/>
      <c r="M33" s="206"/>
      <c r="N33" s="206"/>
      <c r="O33" s="176"/>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8"/>
      <c r="BA33" s="14"/>
      <c r="BB33" s="14"/>
      <c r="BC33" s="14"/>
      <c r="BD33" s="14"/>
      <c r="BE33" s="14"/>
    </row>
    <row r="34" spans="1:57" s="131" customFormat="1" x14ac:dyDescent="0.15">
      <c r="A34" s="218">
        <f t="shared" si="0"/>
        <v>29</v>
      </c>
      <c r="B34" s="219"/>
      <c r="C34" s="220"/>
      <c r="D34" s="221"/>
      <c r="E34" s="221"/>
      <c r="F34" s="221"/>
      <c r="G34" s="222"/>
      <c r="H34" s="206"/>
      <c r="I34" s="206"/>
      <c r="J34" s="206"/>
      <c r="K34" s="206"/>
      <c r="L34" s="206"/>
      <c r="M34" s="206"/>
      <c r="N34" s="206"/>
      <c r="O34" s="176"/>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8"/>
      <c r="BA34" s="14"/>
      <c r="BB34" s="14"/>
      <c r="BC34" s="14"/>
      <c r="BD34" s="14"/>
      <c r="BE34" s="14"/>
    </row>
    <row r="35" spans="1:57" s="131" customFormat="1" x14ac:dyDescent="0.15">
      <c r="A35" s="218">
        <f t="shared" si="0"/>
        <v>30</v>
      </c>
      <c r="B35" s="219"/>
      <c r="C35" s="220"/>
      <c r="D35" s="221"/>
      <c r="E35" s="221"/>
      <c r="F35" s="221"/>
      <c r="G35" s="222"/>
      <c r="H35" s="206"/>
      <c r="I35" s="206"/>
      <c r="J35" s="206"/>
      <c r="K35" s="206"/>
      <c r="L35" s="206"/>
      <c r="M35" s="206"/>
      <c r="N35" s="206"/>
      <c r="O35" s="176"/>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8"/>
      <c r="BA35" s="14"/>
      <c r="BB35" s="14"/>
      <c r="BC35" s="14"/>
      <c r="BD35" s="14"/>
      <c r="BE35" s="14"/>
    </row>
    <row r="36" spans="1:57" s="131" customFormat="1" x14ac:dyDescent="0.15">
      <c r="A36" s="218">
        <f t="shared" si="0"/>
        <v>31</v>
      </c>
      <c r="B36" s="219"/>
      <c r="C36" s="220"/>
      <c r="D36" s="221"/>
      <c r="E36" s="221"/>
      <c r="F36" s="221"/>
      <c r="G36" s="222"/>
      <c r="H36" s="206"/>
      <c r="I36" s="206"/>
      <c r="J36" s="206"/>
      <c r="K36" s="206"/>
      <c r="L36" s="206"/>
      <c r="M36" s="206"/>
      <c r="N36" s="206"/>
      <c r="O36" s="176"/>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8"/>
      <c r="BA36" s="14"/>
      <c r="BB36" s="14"/>
      <c r="BC36" s="14"/>
      <c r="BD36" s="14"/>
      <c r="BE36" s="14"/>
    </row>
    <row r="37" spans="1:57" s="131" customFormat="1" x14ac:dyDescent="0.15">
      <c r="A37" s="218">
        <f t="shared" si="0"/>
        <v>32</v>
      </c>
      <c r="B37" s="219"/>
      <c r="C37" s="220"/>
      <c r="D37" s="221"/>
      <c r="E37" s="221"/>
      <c r="F37" s="221"/>
      <c r="G37" s="222"/>
      <c r="H37" s="206"/>
      <c r="I37" s="206"/>
      <c r="J37" s="206"/>
      <c r="K37" s="206"/>
      <c r="L37" s="206"/>
      <c r="M37" s="206"/>
      <c r="N37" s="206"/>
      <c r="O37" s="176"/>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8"/>
      <c r="BA37" s="14"/>
      <c r="BB37" s="14"/>
      <c r="BC37" s="14"/>
      <c r="BD37" s="14"/>
      <c r="BE37" s="14"/>
    </row>
    <row r="38" spans="1:57" s="131" customFormat="1" x14ac:dyDescent="0.15">
      <c r="A38" s="218">
        <f t="shared" si="0"/>
        <v>33</v>
      </c>
      <c r="B38" s="219"/>
      <c r="C38" s="220"/>
      <c r="D38" s="221"/>
      <c r="E38" s="221"/>
      <c r="F38" s="221"/>
      <c r="G38" s="222"/>
      <c r="H38" s="206"/>
      <c r="I38" s="206"/>
      <c r="J38" s="206"/>
      <c r="K38" s="206"/>
      <c r="L38" s="206"/>
      <c r="M38" s="206"/>
      <c r="N38" s="206"/>
      <c r="O38" s="176"/>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8"/>
      <c r="BA38" s="14"/>
      <c r="BB38" s="14"/>
      <c r="BC38" s="14"/>
      <c r="BD38" s="14"/>
      <c r="BE38" s="14"/>
    </row>
    <row r="39" spans="1:57" s="131" customFormat="1" x14ac:dyDescent="0.15">
      <c r="A39" s="218">
        <f t="shared" si="0"/>
        <v>34</v>
      </c>
      <c r="B39" s="219"/>
      <c r="C39" s="220"/>
      <c r="D39" s="221"/>
      <c r="E39" s="221"/>
      <c r="F39" s="221"/>
      <c r="G39" s="222"/>
      <c r="H39" s="206"/>
      <c r="I39" s="206"/>
      <c r="J39" s="206"/>
      <c r="K39" s="206"/>
      <c r="L39" s="206"/>
      <c r="M39" s="206"/>
      <c r="N39" s="206"/>
      <c r="O39" s="176"/>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8"/>
      <c r="BA39" s="14"/>
      <c r="BB39" s="14"/>
      <c r="BC39" s="14"/>
      <c r="BD39" s="14"/>
      <c r="BE39" s="14"/>
    </row>
  </sheetData>
  <mergeCells count="184">
    <mergeCell ref="A38:B38"/>
    <mergeCell ref="C38:G38"/>
    <mergeCell ref="H38:J38"/>
    <mergeCell ref="K38:N38"/>
    <mergeCell ref="O38:AZ38"/>
    <mergeCell ref="A39:B39"/>
    <mergeCell ref="C39:G39"/>
    <mergeCell ref="H39:J39"/>
    <mergeCell ref="K39:N39"/>
    <mergeCell ref="O39:AZ39"/>
    <mergeCell ref="A36:B36"/>
    <mergeCell ref="C36:G36"/>
    <mergeCell ref="H36:J36"/>
    <mergeCell ref="K36:N36"/>
    <mergeCell ref="O36:AZ36"/>
    <mergeCell ref="A37:B37"/>
    <mergeCell ref="C37:G37"/>
    <mergeCell ref="H37:J37"/>
    <mergeCell ref="K37:N37"/>
    <mergeCell ref="O37:AZ37"/>
    <mergeCell ref="A34:B34"/>
    <mergeCell ref="C34:G34"/>
    <mergeCell ref="H34:J34"/>
    <mergeCell ref="K34:N34"/>
    <mergeCell ref="O34:AZ34"/>
    <mergeCell ref="A35:B35"/>
    <mergeCell ref="C35:G35"/>
    <mergeCell ref="H35:J35"/>
    <mergeCell ref="K35:N35"/>
    <mergeCell ref="O35:AZ35"/>
    <mergeCell ref="A32:B32"/>
    <mergeCell ref="C32:G32"/>
    <mergeCell ref="H32:J32"/>
    <mergeCell ref="K32:N32"/>
    <mergeCell ref="O32:AZ32"/>
    <mergeCell ref="A33:B33"/>
    <mergeCell ref="C33:G33"/>
    <mergeCell ref="H33:J33"/>
    <mergeCell ref="K33:N33"/>
    <mergeCell ref="O33:AZ33"/>
    <mergeCell ref="A30:B30"/>
    <mergeCell ref="C30:G30"/>
    <mergeCell ref="H30:J30"/>
    <mergeCell ref="K30:N30"/>
    <mergeCell ref="O30:AZ30"/>
    <mergeCell ref="A31:B31"/>
    <mergeCell ref="C31:G31"/>
    <mergeCell ref="H31:J31"/>
    <mergeCell ref="K31:N31"/>
    <mergeCell ref="O31:AZ31"/>
    <mergeCell ref="A28:B28"/>
    <mergeCell ref="C28:G28"/>
    <mergeCell ref="H28:J28"/>
    <mergeCell ref="K28:N28"/>
    <mergeCell ref="O28:AZ28"/>
    <mergeCell ref="A29:B29"/>
    <mergeCell ref="C29:G29"/>
    <mergeCell ref="H29:J29"/>
    <mergeCell ref="K29:N29"/>
    <mergeCell ref="O29:AZ29"/>
    <mergeCell ref="A26:B26"/>
    <mergeCell ref="C26:G26"/>
    <mergeCell ref="H26:J26"/>
    <mergeCell ref="K26:N26"/>
    <mergeCell ref="O26:AZ26"/>
    <mergeCell ref="A27:B27"/>
    <mergeCell ref="C27:G27"/>
    <mergeCell ref="H27:J27"/>
    <mergeCell ref="K27:N27"/>
    <mergeCell ref="O27:AZ27"/>
    <mergeCell ref="A24:B24"/>
    <mergeCell ref="C24:G24"/>
    <mergeCell ref="H24:J24"/>
    <mergeCell ref="K24:N24"/>
    <mergeCell ref="O24:AZ24"/>
    <mergeCell ref="A25:B25"/>
    <mergeCell ref="C25:G25"/>
    <mergeCell ref="H25:J25"/>
    <mergeCell ref="K25:N25"/>
    <mergeCell ref="O25:AZ25"/>
    <mergeCell ref="A22:B22"/>
    <mergeCell ref="C22:G22"/>
    <mergeCell ref="H22:J22"/>
    <mergeCell ref="K22:N22"/>
    <mergeCell ref="O22:AZ22"/>
    <mergeCell ref="A23:B23"/>
    <mergeCell ref="C23:G23"/>
    <mergeCell ref="H23:J23"/>
    <mergeCell ref="K23:N23"/>
    <mergeCell ref="O23:AZ23"/>
    <mergeCell ref="A20:B20"/>
    <mergeCell ref="C20:G20"/>
    <mergeCell ref="H20:J20"/>
    <mergeCell ref="K20:N20"/>
    <mergeCell ref="O20:AZ20"/>
    <mergeCell ref="A21:B21"/>
    <mergeCell ref="C21:G21"/>
    <mergeCell ref="H21:J21"/>
    <mergeCell ref="K21:N21"/>
    <mergeCell ref="O21:AZ21"/>
    <mergeCell ref="A18:B18"/>
    <mergeCell ref="C18:G18"/>
    <mergeCell ref="H18:J18"/>
    <mergeCell ref="K18:N18"/>
    <mergeCell ref="O18:AZ18"/>
    <mergeCell ref="A19:B19"/>
    <mergeCell ref="C19:G19"/>
    <mergeCell ref="H19:J19"/>
    <mergeCell ref="K19:N19"/>
    <mergeCell ref="O19:AZ19"/>
    <mergeCell ref="A16:B16"/>
    <mergeCell ref="C16:G16"/>
    <mergeCell ref="H16:J16"/>
    <mergeCell ref="K16:N16"/>
    <mergeCell ref="O16:AZ16"/>
    <mergeCell ref="A17:B17"/>
    <mergeCell ref="C17:G17"/>
    <mergeCell ref="H17:J17"/>
    <mergeCell ref="K17:N17"/>
    <mergeCell ref="O17:AZ17"/>
    <mergeCell ref="A14:B14"/>
    <mergeCell ref="C14:G14"/>
    <mergeCell ref="H14:J14"/>
    <mergeCell ref="K14:N14"/>
    <mergeCell ref="O14:AZ14"/>
    <mergeCell ref="A15:B15"/>
    <mergeCell ref="C15:G15"/>
    <mergeCell ref="H15:J15"/>
    <mergeCell ref="K15:N15"/>
    <mergeCell ref="O15:AZ15"/>
    <mergeCell ref="A12:B12"/>
    <mergeCell ref="C12:G12"/>
    <mergeCell ref="H12:J12"/>
    <mergeCell ref="K12:N12"/>
    <mergeCell ref="O12:AZ12"/>
    <mergeCell ref="A13:B13"/>
    <mergeCell ref="C13:G13"/>
    <mergeCell ref="H13:J13"/>
    <mergeCell ref="K13:N13"/>
    <mergeCell ref="O13:AZ13"/>
    <mergeCell ref="A10:B10"/>
    <mergeCell ref="C10:G10"/>
    <mergeCell ref="H10:J10"/>
    <mergeCell ref="K10:N10"/>
    <mergeCell ref="O10:AZ10"/>
    <mergeCell ref="A11:B11"/>
    <mergeCell ref="C11:G11"/>
    <mergeCell ref="H11:J11"/>
    <mergeCell ref="K11:N11"/>
    <mergeCell ref="O11:AZ11"/>
    <mergeCell ref="A8:B8"/>
    <mergeCell ref="C8:G8"/>
    <mergeCell ref="H8:J8"/>
    <mergeCell ref="K8:N8"/>
    <mergeCell ref="O8:AZ8"/>
    <mergeCell ref="A9:B9"/>
    <mergeCell ref="C9:G9"/>
    <mergeCell ref="H9:J9"/>
    <mergeCell ref="K9:N9"/>
    <mergeCell ref="O9:AZ9"/>
    <mergeCell ref="O6:AZ6"/>
    <mergeCell ref="A7:B7"/>
    <mergeCell ref="C7:G7"/>
    <mergeCell ref="H7:J7"/>
    <mergeCell ref="K7:N7"/>
    <mergeCell ref="O7:AZ7"/>
    <mergeCell ref="A5:B5"/>
    <mergeCell ref="C5:G5"/>
    <mergeCell ref="H5:J5"/>
    <mergeCell ref="K5:N5"/>
    <mergeCell ref="A6:B6"/>
    <mergeCell ref="C6:G6"/>
    <mergeCell ref="H6:J6"/>
    <mergeCell ref="K6:N6"/>
    <mergeCell ref="A1:J3"/>
    <mergeCell ref="K1:U1"/>
    <mergeCell ref="V1:AF1"/>
    <mergeCell ref="AG1:AZ1"/>
    <mergeCell ref="K2:U2"/>
    <mergeCell ref="V2:AF2"/>
    <mergeCell ref="AG2:AZ2"/>
    <mergeCell ref="K3:U3"/>
    <mergeCell ref="V3:AF3"/>
    <mergeCell ref="AG3:AZ3"/>
  </mergeCells>
  <phoneticPr fontId="2"/>
  <pageMargins left="0.59055118110236227" right="0.59055118110236227" top="0.78740157480314965" bottom="0.59055118110236227" header="0.51181102362204722" footer="0.31496062992125984"/>
  <pageSetup paperSize="9" scale="94" orientation="landscape" useFirstPageNumber="1" r:id="rId1"/>
  <headerFooter alignWithMargins="0">
    <oddFooter>&amp;C改版履歴－&amp;P</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H37"/>
  <sheetViews>
    <sheetView view="pageBreakPreview" zoomScaleNormal="100" zoomScaleSheetLayoutView="100" workbookViewId="0">
      <pane ySplit="4" topLeftCell="A5" activePane="bottomLeft" state="frozenSplit"/>
      <selection sqref="A1:XFD1048576"/>
      <selection pane="bottomLeft" activeCell="A5" sqref="A5"/>
    </sheetView>
  </sheetViews>
  <sheetFormatPr defaultColWidth="2.625" defaultRowHeight="13.5" x14ac:dyDescent="0.15"/>
  <cols>
    <col min="1" max="1" width="2.625" style="8" customWidth="1"/>
    <col min="2" max="16384" width="2.625" style="8"/>
  </cols>
  <sheetData>
    <row r="1" spans="1:60" ht="14.25" customHeight="1" x14ac:dyDescent="0.15">
      <c r="A1" s="199" t="s">
        <v>60</v>
      </c>
      <c r="B1" s="199"/>
      <c r="C1" s="199"/>
      <c r="D1" s="199"/>
      <c r="E1" s="199"/>
      <c r="F1" s="199"/>
      <c r="G1" s="199"/>
      <c r="H1" s="199"/>
      <c r="I1" s="199"/>
      <c r="J1" s="199"/>
      <c r="K1" s="188" t="s">
        <v>22</v>
      </c>
      <c r="L1" s="188"/>
      <c r="M1" s="188"/>
      <c r="N1" s="188"/>
      <c r="O1" s="188"/>
      <c r="P1" s="188"/>
      <c r="Q1" s="188"/>
      <c r="R1" s="188"/>
      <c r="S1" s="188"/>
      <c r="T1" s="188"/>
      <c r="U1" s="188"/>
      <c r="V1" s="188" t="s">
        <v>23</v>
      </c>
      <c r="W1" s="188"/>
      <c r="X1" s="188"/>
      <c r="Y1" s="188"/>
      <c r="Z1" s="188"/>
      <c r="AA1" s="188"/>
      <c r="AB1" s="188"/>
      <c r="AC1" s="188"/>
      <c r="AD1" s="188"/>
      <c r="AE1" s="188"/>
      <c r="AF1" s="188"/>
      <c r="AG1" s="182" t="s">
        <v>24</v>
      </c>
      <c r="AH1" s="183"/>
      <c r="AI1" s="183"/>
      <c r="AJ1" s="183"/>
      <c r="AK1" s="183"/>
      <c r="AL1" s="183"/>
      <c r="AM1" s="183"/>
      <c r="AN1" s="183"/>
      <c r="AO1" s="183"/>
      <c r="AP1" s="183"/>
      <c r="AQ1" s="183"/>
      <c r="AR1" s="183"/>
      <c r="AS1" s="183"/>
      <c r="AT1" s="183"/>
      <c r="AU1" s="183"/>
      <c r="AV1" s="183"/>
      <c r="AW1" s="183"/>
      <c r="AX1" s="183"/>
      <c r="AY1" s="183"/>
      <c r="AZ1" s="184"/>
    </row>
    <row r="2" spans="1:60" ht="14.25" customHeight="1" x14ac:dyDescent="0.15">
      <c r="A2" s="199"/>
      <c r="B2" s="199"/>
      <c r="C2" s="199"/>
      <c r="D2" s="199"/>
      <c r="E2" s="199"/>
      <c r="F2" s="199"/>
      <c r="G2" s="199"/>
      <c r="H2" s="199"/>
      <c r="I2" s="199"/>
      <c r="J2" s="199"/>
      <c r="K2" s="214" t="str">
        <f>表紙!K2</f>
        <v>BQ</v>
      </c>
      <c r="L2" s="215"/>
      <c r="M2" s="215"/>
      <c r="N2" s="215"/>
      <c r="O2" s="215"/>
      <c r="P2" s="215"/>
      <c r="Q2" s="215"/>
      <c r="R2" s="215"/>
      <c r="S2" s="215"/>
      <c r="T2" s="215"/>
      <c r="U2" s="215"/>
      <c r="V2" s="214" t="str">
        <f>表紙!V2</f>
        <v>受講管理システム</v>
      </c>
      <c r="W2" s="215"/>
      <c r="X2" s="215"/>
      <c r="Y2" s="215"/>
      <c r="Z2" s="215"/>
      <c r="AA2" s="215"/>
      <c r="AB2" s="215"/>
      <c r="AC2" s="215"/>
      <c r="AD2" s="215"/>
      <c r="AE2" s="215"/>
      <c r="AF2" s="215"/>
      <c r="AG2" s="185" t="str">
        <f>表紙!AG2</f>
        <v>BJ990100E</v>
      </c>
      <c r="AH2" s="216"/>
      <c r="AI2" s="216"/>
      <c r="AJ2" s="216"/>
      <c r="AK2" s="216"/>
      <c r="AL2" s="216"/>
      <c r="AM2" s="216"/>
      <c r="AN2" s="216"/>
      <c r="AO2" s="216"/>
      <c r="AP2" s="216"/>
      <c r="AQ2" s="216"/>
      <c r="AR2" s="216"/>
      <c r="AS2" s="216"/>
      <c r="AT2" s="216"/>
      <c r="AU2" s="216"/>
      <c r="AV2" s="216"/>
      <c r="AW2" s="216"/>
      <c r="AX2" s="216"/>
      <c r="AY2" s="216"/>
      <c r="AZ2" s="217"/>
    </row>
    <row r="3" spans="1:60" ht="14.25" customHeight="1" x14ac:dyDescent="0.15">
      <c r="A3" s="199"/>
      <c r="B3" s="199"/>
      <c r="C3" s="199"/>
      <c r="D3" s="199"/>
      <c r="E3" s="199"/>
      <c r="F3" s="199"/>
      <c r="G3" s="199"/>
      <c r="H3" s="199"/>
      <c r="I3" s="199"/>
      <c r="J3" s="199"/>
      <c r="K3" s="215" t="str">
        <f>表紙!K3</f>
        <v>BJ</v>
      </c>
      <c r="L3" s="215"/>
      <c r="M3" s="215"/>
      <c r="N3" s="215"/>
      <c r="O3" s="215"/>
      <c r="P3" s="215"/>
      <c r="Q3" s="215"/>
      <c r="R3" s="215"/>
      <c r="S3" s="215"/>
      <c r="T3" s="215"/>
      <c r="U3" s="215"/>
      <c r="V3" s="214" t="str">
        <f>表紙!V3</f>
        <v>マスタメンテナンス</v>
      </c>
      <c r="W3" s="215"/>
      <c r="X3" s="215"/>
      <c r="Y3" s="215"/>
      <c r="Z3" s="215"/>
      <c r="AA3" s="215"/>
      <c r="AB3" s="215"/>
      <c r="AC3" s="215"/>
      <c r="AD3" s="215"/>
      <c r="AE3" s="215"/>
      <c r="AF3" s="215"/>
      <c r="AG3" s="185" t="str">
        <f>表紙!AG3</f>
        <v>ログインユーザマスタ管理</v>
      </c>
      <c r="AH3" s="216"/>
      <c r="AI3" s="216"/>
      <c r="AJ3" s="216"/>
      <c r="AK3" s="216"/>
      <c r="AL3" s="216"/>
      <c r="AM3" s="216"/>
      <c r="AN3" s="216"/>
      <c r="AO3" s="216"/>
      <c r="AP3" s="216"/>
      <c r="AQ3" s="216"/>
      <c r="AR3" s="216"/>
      <c r="AS3" s="216"/>
      <c r="AT3" s="216"/>
      <c r="AU3" s="216"/>
      <c r="AV3" s="216"/>
      <c r="AW3" s="216"/>
      <c r="AX3" s="216"/>
      <c r="AY3" s="216"/>
      <c r="AZ3" s="217"/>
    </row>
    <row r="4" spans="1:60" ht="6" customHeight="1" x14ac:dyDescent="0.15">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1"/>
      <c r="BA4" s="12"/>
      <c r="BB4" s="12"/>
      <c r="BC4" s="12"/>
      <c r="BD4" s="12"/>
      <c r="BE4" s="12"/>
      <c r="BF4" s="12"/>
      <c r="BG4" s="12"/>
      <c r="BH4" s="12"/>
    </row>
    <row r="5" spans="1:60" s="131" customFormat="1" x14ac:dyDescent="0.15">
      <c r="A5" s="16" t="s">
        <v>61</v>
      </c>
      <c r="B5" s="14"/>
      <c r="C5" s="14"/>
      <c r="D5" s="14"/>
      <c r="E5" s="14"/>
      <c r="F5" s="14"/>
      <c r="G5" s="14"/>
      <c r="H5" s="14"/>
      <c r="I5" s="14"/>
      <c r="J5" s="14"/>
      <c r="K5" s="14"/>
      <c r="L5" s="14"/>
      <c r="M5" s="14"/>
      <c r="N5" s="14"/>
      <c r="O5" s="14"/>
      <c r="P5" s="29"/>
      <c r="Q5" s="29"/>
      <c r="R5" s="29"/>
      <c r="S5" s="29"/>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5"/>
      <c r="BA5" s="14"/>
      <c r="BB5" s="14"/>
      <c r="BC5" s="14"/>
      <c r="BD5" s="14"/>
      <c r="BE5" s="14"/>
      <c r="BF5" s="14"/>
      <c r="BG5" s="14"/>
      <c r="BH5" s="14"/>
    </row>
    <row r="6" spans="1:60" x14ac:dyDescent="0.15">
      <c r="A6" s="13"/>
      <c r="B6" s="12" t="s">
        <v>85</v>
      </c>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32"/>
      <c r="BA6" s="12"/>
      <c r="BB6" s="12"/>
      <c r="BC6" s="12"/>
      <c r="BD6" s="12"/>
      <c r="BE6" s="12"/>
      <c r="BF6" s="12"/>
      <c r="BG6" s="12"/>
      <c r="BH6" s="12"/>
    </row>
    <row r="7" spans="1:60" x14ac:dyDescent="0.15">
      <c r="A7" s="13"/>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32"/>
      <c r="BA7" s="12"/>
      <c r="BB7" s="12"/>
      <c r="BC7" s="12"/>
      <c r="BD7" s="12"/>
      <c r="BE7" s="12"/>
      <c r="BF7" s="12"/>
      <c r="BG7" s="12"/>
      <c r="BH7" s="12"/>
    </row>
    <row r="8" spans="1:60" x14ac:dyDescent="0.15">
      <c r="A8" s="13"/>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32"/>
      <c r="BA8" s="12"/>
      <c r="BB8" s="12"/>
      <c r="BC8" s="12"/>
      <c r="BD8" s="12"/>
      <c r="BE8" s="12"/>
      <c r="BF8" s="12"/>
      <c r="BG8" s="12"/>
      <c r="BH8" s="12"/>
    </row>
    <row r="9" spans="1:60" s="122" customFormat="1" ht="15" customHeight="1" x14ac:dyDescent="0.15">
      <c r="A9" s="120" t="s">
        <v>331</v>
      </c>
      <c r="B9" s="121"/>
      <c r="C9" s="124"/>
      <c r="F9" s="124"/>
      <c r="AP9" s="121"/>
      <c r="AQ9" s="121"/>
      <c r="AR9" s="121"/>
      <c r="AS9" s="121"/>
      <c r="AT9" s="121"/>
      <c r="AU9" s="121"/>
      <c r="AV9" s="121"/>
      <c r="AW9" s="121"/>
      <c r="AX9" s="121"/>
      <c r="AY9" s="121"/>
      <c r="AZ9" s="123"/>
    </row>
    <row r="10" spans="1:60" s="122" customFormat="1" ht="15" customHeight="1" x14ac:dyDescent="0.15">
      <c r="A10" s="120"/>
      <c r="AW10" s="121"/>
      <c r="AX10" s="121"/>
      <c r="AY10" s="121"/>
      <c r="AZ10" s="123"/>
    </row>
    <row r="11" spans="1:60" s="122" customFormat="1" ht="15" customHeight="1" x14ac:dyDescent="0.15">
      <c r="A11" s="120"/>
      <c r="B11" s="121"/>
      <c r="AW11" s="121"/>
      <c r="AX11" s="121"/>
      <c r="AY11" s="121"/>
      <c r="AZ11" s="123"/>
    </row>
    <row r="12" spans="1:60" s="122" customFormat="1" ht="15" customHeight="1" x14ac:dyDescent="0.15">
      <c r="A12" s="120"/>
      <c r="B12" s="121"/>
      <c r="D12" s="125"/>
      <c r="E12" s="126"/>
      <c r="F12" s="126" t="s">
        <v>96</v>
      </c>
      <c r="G12" s="126"/>
      <c r="H12" s="126"/>
      <c r="I12" s="126"/>
      <c r="J12" s="126"/>
      <c r="K12" s="127"/>
      <c r="L12" s="250" t="s">
        <v>97</v>
      </c>
      <c r="M12" s="251"/>
      <c r="AG12" s="125"/>
      <c r="AH12" s="126"/>
      <c r="AI12" s="126" t="s">
        <v>98</v>
      </c>
      <c r="AJ12" s="126"/>
      <c r="AK12" s="126"/>
      <c r="AL12" s="126"/>
      <c r="AM12" s="126"/>
      <c r="AN12" s="127"/>
      <c r="AO12" s="250" t="s">
        <v>97</v>
      </c>
      <c r="AP12" s="251"/>
      <c r="AW12" s="121"/>
      <c r="AX12" s="121"/>
      <c r="AY12" s="121"/>
      <c r="AZ12" s="123"/>
    </row>
    <row r="13" spans="1:60" s="122" customFormat="1" ht="15" customHeight="1" x14ac:dyDescent="0.15">
      <c r="A13" s="120"/>
      <c r="B13" s="121"/>
      <c r="D13" s="125" t="s">
        <v>112</v>
      </c>
      <c r="E13" s="126"/>
      <c r="F13" s="126"/>
      <c r="G13" s="126"/>
      <c r="H13" s="126"/>
      <c r="I13" s="126"/>
      <c r="J13" s="126"/>
      <c r="K13" s="127"/>
      <c r="L13" s="250" t="s">
        <v>113</v>
      </c>
      <c r="M13" s="251"/>
      <c r="AG13" s="125" t="s">
        <v>117</v>
      </c>
      <c r="AH13" s="126"/>
      <c r="AI13" s="126"/>
      <c r="AJ13" s="126"/>
      <c r="AK13" s="126"/>
      <c r="AL13" s="126"/>
      <c r="AM13" s="126"/>
      <c r="AN13" s="127"/>
      <c r="AO13" s="250" t="s">
        <v>144</v>
      </c>
      <c r="AP13" s="251"/>
      <c r="AW13" s="121"/>
      <c r="AX13" s="121"/>
      <c r="AY13" s="121"/>
      <c r="AZ13" s="123"/>
    </row>
    <row r="14" spans="1:60" s="122" customFormat="1" ht="15" customHeight="1" x14ac:dyDescent="0.15">
      <c r="A14" s="120"/>
      <c r="B14" s="121"/>
      <c r="D14" s="156" t="s">
        <v>335</v>
      </c>
      <c r="E14" s="157"/>
      <c r="F14" s="157"/>
      <c r="G14" s="157"/>
      <c r="H14" s="157"/>
      <c r="I14" s="157"/>
      <c r="J14" s="157"/>
      <c r="K14" s="158"/>
      <c r="L14" s="252" t="s">
        <v>113</v>
      </c>
      <c r="M14" s="253"/>
      <c r="AG14" s="125"/>
      <c r="AH14" s="126"/>
      <c r="AI14" s="126"/>
      <c r="AJ14" s="126"/>
      <c r="AK14" s="126"/>
      <c r="AL14" s="126"/>
      <c r="AM14" s="126"/>
      <c r="AN14" s="127"/>
      <c r="AO14" s="250"/>
      <c r="AP14" s="251"/>
      <c r="AW14" s="121"/>
      <c r="AX14" s="121"/>
      <c r="AY14" s="121"/>
      <c r="AZ14" s="123"/>
    </row>
    <row r="15" spans="1:60" s="122" customFormat="1" ht="15" customHeight="1" x14ac:dyDescent="0.15">
      <c r="A15" s="120"/>
      <c r="B15" s="121"/>
      <c r="D15" s="156"/>
      <c r="E15" s="126"/>
      <c r="F15" s="126"/>
      <c r="G15" s="126"/>
      <c r="H15" s="126"/>
      <c r="I15" s="126"/>
      <c r="J15" s="126"/>
      <c r="K15" s="127"/>
      <c r="L15" s="252"/>
      <c r="M15" s="253"/>
      <c r="AG15" s="125"/>
      <c r="AH15" s="126"/>
      <c r="AI15" s="126"/>
      <c r="AJ15" s="126"/>
      <c r="AK15" s="126"/>
      <c r="AL15" s="126"/>
      <c r="AM15" s="126"/>
      <c r="AN15" s="127"/>
      <c r="AO15" s="250"/>
      <c r="AP15" s="251"/>
      <c r="AW15" s="121"/>
      <c r="AX15" s="121"/>
      <c r="AY15" s="121"/>
      <c r="AZ15" s="123"/>
    </row>
    <row r="16" spans="1:60" s="122" customFormat="1" ht="15" customHeight="1" x14ac:dyDescent="0.15">
      <c r="A16" s="120"/>
      <c r="B16" s="121"/>
      <c r="D16" s="125"/>
      <c r="E16" s="126"/>
      <c r="F16" s="126"/>
      <c r="G16" s="126"/>
      <c r="H16" s="126"/>
      <c r="I16" s="126"/>
      <c r="J16" s="126"/>
      <c r="K16" s="127"/>
      <c r="L16" s="250"/>
      <c r="M16" s="251"/>
      <c r="T16" s="254" t="s">
        <v>84</v>
      </c>
      <c r="U16" s="255"/>
      <c r="V16" s="255"/>
      <c r="W16" s="255"/>
      <c r="X16" s="255"/>
      <c r="Y16" s="255"/>
      <c r="Z16" s="255"/>
      <c r="AA16" s="256"/>
      <c r="AG16" s="125"/>
      <c r="AH16" s="126"/>
      <c r="AI16" s="126"/>
      <c r="AJ16" s="126"/>
      <c r="AK16" s="126"/>
      <c r="AL16" s="126"/>
      <c r="AM16" s="126"/>
      <c r="AN16" s="127"/>
      <c r="AO16" s="250"/>
      <c r="AP16" s="251"/>
      <c r="AW16" s="121"/>
      <c r="AX16" s="121"/>
      <c r="AY16" s="121"/>
      <c r="AZ16" s="123"/>
    </row>
    <row r="17" spans="1:52" s="122" customFormat="1" ht="15" customHeight="1" x14ac:dyDescent="0.15">
      <c r="A17" s="120"/>
      <c r="B17" s="121"/>
      <c r="D17" s="125"/>
      <c r="E17" s="126"/>
      <c r="F17" s="126"/>
      <c r="G17" s="126"/>
      <c r="H17" s="126"/>
      <c r="I17" s="126"/>
      <c r="J17" s="126"/>
      <c r="K17" s="127"/>
      <c r="L17" s="250"/>
      <c r="M17" s="251"/>
      <c r="T17" s="257"/>
      <c r="U17" s="258"/>
      <c r="V17" s="258"/>
      <c r="W17" s="258"/>
      <c r="X17" s="258"/>
      <c r="Y17" s="258"/>
      <c r="Z17" s="258"/>
      <c r="AA17" s="259"/>
      <c r="AG17" s="125"/>
      <c r="AH17" s="126"/>
      <c r="AI17" s="126"/>
      <c r="AJ17" s="126"/>
      <c r="AK17" s="126"/>
      <c r="AL17" s="126"/>
      <c r="AM17" s="126"/>
      <c r="AN17" s="127"/>
      <c r="AO17" s="250"/>
      <c r="AP17" s="251"/>
      <c r="AW17" s="121"/>
      <c r="AX17" s="121"/>
      <c r="AY17" s="121"/>
      <c r="AZ17" s="123"/>
    </row>
    <row r="18" spans="1:52" s="122" customFormat="1" ht="15" customHeight="1" x14ac:dyDescent="0.15">
      <c r="A18" s="120"/>
      <c r="B18" s="128"/>
      <c r="D18" s="125"/>
      <c r="E18" s="126"/>
      <c r="F18" s="126"/>
      <c r="G18" s="126"/>
      <c r="H18" s="126"/>
      <c r="I18" s="126"/>
      <c r="J18" s="126"/>
      <c r="K18" s="127"/>
      <c r="L18" s="250"/>
      <c r="M18" s="251"/>
      <c r="AG18" s="125"/>
      <c r="AH18" s="126"/>
      <c r="AI18" s="126"/>
      <c r="AJ18" s="126"/>
      <c r="AK18" s="126"/>
      <c r="AL18" s="126"/>
      <c r="AM18" s="126"/>
      <c r="AN18" s="127"/>
      <c r="AO18" s="250"/>
      <c r="AP18" s="251"/>
      <c r="AW18" s="121"/>
      <c r="AX18" s="121"/>
      <c r="AY18" s="121"/>
      <c r="AZ18" s="123"/>
    </row>
    <row r="19" spans="1:52" s="122" customFormat="1" ht="15" customHeight="1" x14ac:dyDescent="0.15">
      <c r="A19" s="120"/>
      <c r="B19" s="121"/>
      <c r="D19" s="125"/>
      <c r="E19" s="126"/>
      <c r="F19" s="126"/>
      <c r="G19" s="126"/>
      <c r="H19" s="126"/>
      <c r="I19" s="126"/>
      <c r="J19" s="126"/>
      <c r="K19" s="127"/>
      <c r="L19" s="250"/>
      <c r="M19" s="251"/>
      <c r="AG19" s="125"/>
      <c r="AH19" s="126"/>
      <c r="AI19" s="126"/>
      <c r="AJ19" s="126"/>
      <c r="AK19" s="126"/>
      <c r="AL19" s="126"/>
      <c r="AM19" s="126"/>
      <c r="AN19" s="127"/>
      <c r="AO19" s="250"/>
      <c r="AP19" s="251"/>
      <c r="AW19" s="121"/>
      <c r="AX19" s="121"/>
      <c r="AY19" s="121"/>
      <c r="AZ19" s="123"/>
    </row>
    <row r="20" spans="1:52" s="122" customFormat="1" ht="15" customHeight="1" x14ac:dyDescent="0.15">
      <c r="A20" s="120"/>
      <c r="B20" s="121"/>
      <c r="D20" s="125"/>
      <c r="E20" s="126"/>
      <c r="F20" s="126"/>
      <c r="G20" s="126"/>
      <c r="H20" s="126"/>
      <c r="I20" s="126"/>
      <c r="J20" s="126"/>
      <c r="K20" s="127"/>
      <c r="L20" s="250"/>
      <c r="M20" s="251"/>
      <c r="AG20" s="125"/>
      <c r="AH20" s="126"/>
      <c r="AI20" s="126"/>
      <c r="AJ20" s="126"/>
      <c r="AK20" s="126"/>
      <c r="AL20" s="126"/>
      <c r="AM20" s="126"/>
      <c r="AN20" s="127"/>
      <c r="AO20" s="250"/>
      <c r="AP20" s="251"/>
      <c r="AW20" s="121"/>
      <c r="AX20" s="121"/>
      <c r="AY20" s="121"/>
      <c r="AZ20" s="123"/>
    </row>
    <row r="21" spans="1:52" s="122" customFormat="1" ht="15" customHeight="1" x14ac:dyDescent="0.15">
      <c r="A21" s="120"/>
      <c r="B21" s="121"/>
      <c r="AG21" s="129"/>
      <c r="AH21" s="129"/>
      <c r="AI21" s="129"/>
      <c r="AJ21" s="129"/>
      <c r="AK21" s="129"/>
      <c r="AL21" s="129"/>
      <c r="AM21" s="129"/>
      <c r="AN21" s="129"/>
      <c r="AO21" s="129"/>
      <c r="AP21" s="129"/>
      <c r="AW21" s="121"/>
      <c r="AX21" s="121"/>
      <c r="AY21" s="121"/>
      <c r="AZ21" s="123"/>
    </row>
    <row r="22" spans="1:52" s="122" customFormat="1" ht="15" customHeight="1" x14ac:dyDescent="0.15">
      <c r="A22" s="120"/>
      <c r="B22" s="121"/>
      <c r="C22" s="121"/>
      <c r="AZ22" s="123"/>
    </row>
    <row r="23" spans="1:52" s="122" customFormat="1" ht="15" customHeight="1" x14ac:dyDescent="0.15">
      <c r="A23" s="120"/>
      <c r="B23" s="121"/>
      <c r="C23" s="121"/>
      <c r="AZ23" s="123"/>
    </row>
    <row r="24" spans="1:52" s="122" customFormat="1" ht="15" customHeight="1" x14ac:dyDescent="0.15">
      <c r="A24" s="120"/>
      <c r="B24" s="121"/>
      <c r="AO24" s="121"/>
      <c r="AP24" s="121"/>
      <c r="AW24" s="121"/>
      <c r="AX24" s="121"/>
      <c r="AY24" s="121"/>
      <c r="AZ24" s="123"/>
    </row>
    <row r="25" spans="1:52" s="122" customFormat="1" ht="15" customHeight="1" x14ac:dyDescent="0.15">
      <c r="A25" s="120"/>
      <c r="B25" s="121"/>
      <c r="M25" s="125"/>
      <c r="N25" s="126"/>
      <c r="O25" s="126" t="s">
        <v>99</v>
      </c>
      <c r="P25" s="126"/>
      <c r="Q25" s="126"/>
      <c r="R25" s="126"/>
      <c r="S25" s="126"/>
      <c r="T25" s="127"/>
      <c r="U25" s="250" t="s">
        <v>97</v>
      </c>
      <c r="V25" s="251"/>
      <c r="Y25" s="125"/>
      <c r="Z25" s="126"/>
      <c r="AA25" s="126" t="s">
        <v>100</v>
      </c>
      <c r="AB25" s="126"/>
      <c r="AC25" s="126"/>
      <c r="AD25" s="126"/>
      <c r="AE25" s="126"/>
      <c r="AF25" s="127"/>
      <c r="AG25" s="250" t="s">
        <v>101</v>
      </c>
      <c r="AH25" s="251"/>
      <c r="AM25" s="121"/>
      <c r="AN25" s="121"/>
      <c r="AQ25" s="121"/>
      <c r="AR25" s="121"/>
      <c r="AS25" s="121"/>
      <c r="AT25" s="121"/>
      <c r="AU25" s="121"/>
      <c r="AV25" s="121"/>
      <c r="AW25" s="121"/>
      <c r="AX25" s="121"/>
      <c r="AY25" s="121"/>
      <c r="AZ25" s="123"/>
    </row>
    <row r="26" spans="1:52" s="122" customFormat="1" ht="15" customHeight="1" x14ac:dyDescent="0.15">
      <c r="A26" s="120"/>
      <c r="B26" s="121"/>
      <c r="M26" s="125"/>
      <c r="N26" s="126"/>
      <c r="O26" s="126"/>
      <c r="P26" s="126"/>
      <c r="Q26" s="126"/>
      <c r="R26" s="126"/>
      <c r="S26" s="126"/>
      <c r="T26" s="127"/>
      <c r="U26" s="250"/>
      <c r="V26" s="251"/>
      <c r="Y26" s="125"/>
      <c r="Z26" s="126"/>
      <c r="AA26" s="126"/>
      <c r="AB26" s="126"/>
      <c r="AC26" s="126"/>
      <c r="AD26" s="126"/>
      <c r="AE26" s="126"/>
      <c r="AF26" s="127"/>
      <c r="AG26" s="250"/>
      <c r="AH26" s="251"/>
      <c r="AM26" s="121"/>
      <c r="AN26" s="121"/>
      <c r="AQ26" s="121"/>
      <c r="AR26" s="121"/>
      <c r="AS26" s="121"/>
      <c r="AT26" s="121"/>
      <c r="AU26" s="121"/>
      <c r="AV26" s="121"/>
      <c r="AW26" s="121"/>
      <c r="AX26" s="121"/>
      <c r="AY26" s="121"/>
      <c r="AZ26" s="123"/>
    </row>
    <row r="27" spans="1:52" s="122" customFormat="1" ht="15" customHeight="1" x14ac:dyDescent="0.15">
      <c r="A27" s="120"/>
      <c r="B27" s="121"/>
      <c r="M27" s="125"/>
      <c r="N27" s="126"/>
      <c r="O27" s="126"/>
      <c r="P27" s="126"/>
      <c r="Q27" s="126"/>
      <c r="R27" s="126"/>
      <c r="S27" s="126"/>
      <c r="T27" s="127"/>
      <c r="U27" s="250"/>
      <c r="V27" s="251"/>
      <c r="Y27" s="125"/>
      <c r="Z27" s="126"/>
      <c r="AA27" s="126"/>
      <c r="AB27" s="126"/>
      <c r="AC27" s="126"/>
      <c r="AD27" s="126"/>
      <c r="AE27" s="126"/>
      <c r="AF27" s="127"/>
      <c r="AG27" s="250"/>
      <c r="AH27" s="251"/>
      <c r="AM27" s="121"/>
      <c r="AN27" s="121"/>
      <c r="AQ27" s="121"/>
      <c r="AR27" s="121"/>
      <c r="AS27" s="121"/>
      <c r="AT27" s="121"/>
      <c r="AU27" s="121"/>
      <c r="AV27" s="121"/>
      <c r="AW27" s="121"/>
      <c r="AX27" s="121"/>
      <c r="AY27" s="121"/>
      <c r="AZ27" s="123"/>
    </row>
    <row r="28" spans="1:52" s="122" customFormat="1" ht="15" customHeight="1" x14ac:dyDescent="0.15">
      <c r="A28" s="120"/>
      <c r="B28" s="121"/>
      <c r="M28" s="125"/>
      <c r="N28" s="126"/>
      <c r="O28" s="126"/>
      <c r="P28" s="126"/>
      <c r="Q28" s="126"/>
      <c r="R28" s="126"/>
      <c r="S28" s="126"/>
      <c r="T28" s="127"/>
      <c r="U28" s="250"/>
      <c r="V28" s="251"/>
      <c r="Y28" s="125"/>
      <c r="Z28" s="126"/>
      <c r="AA28" s="126"/>
      <c r="AB28" s="126"/>
      <c r="AC28" s="126"/>
      <c r="AD28" s="126"/>
      <c r="AE28" s="126"/>
      <c r="AF28" s="127"/>
      <c r="AG28" s="250"/>
      <c r="AH28" s="251"/>
      <c r="AM28" s="121"/>
      <c r="AN28" s="121"/>
      <c r="AQ28" s="121"/>
      <c r="AR28" s="121"/>
      <c r="AS28" s="121"/>
      <c r="AT28" s="121"/>
      <c r="AU28" s="121"/>
      <c r="AV28" s="121"/>
      <c r="AW28" s="121"/>
      <c r="AX28" s="121"/>
      <c r="AY28" s="121"/>
      <c r="AZ28" s="123"/>
    </row>
    <row r="29" spans="1:52" s="122" customFormat="1" ht="15" customHeight="1" x14ac:dyDescent="0.15">
      <c r="A29" s="120"/>
      <c r="B29" s="121"/>
      <c r="M29" s="125"/>
      <c r="N29" s="126"/>
      <c r="O29" s="126"/>
      <c r="P29" s="126"/>
      <c r="Q29" s="126"/>
      <c r="R29" s="126"/>
      <c r="S29" s="126"/>
      <c r="T29" s="127"/>
      <c r="U29" s="250"/>
      <c r="V29" s="251"/>
      <c r="Y29" s="125"/>
      <c r="Z29" s="126"/>
      <c r="AA29" s="126"/>
      <c r="AB29" s="126"/>
      <c r="AC29" s="126"/>
      <c r="AD29" s="126"/>
      <c r="AE29" s="126"/>
      <c r="AF29" s="127"/>
      <c r="AG29" s="250"/>
      <c r="AH29" s="251"/>
      <c r="AM29" s="121"/>
      <c r="AN29" s="121"/>
      <c r="AP29" s="260" t="s">
        <v>102</v>
      </c>
      <c r="AQ29" s="261"/>
      <c r="AR29" s="261"/>
      <c r="AS29" s="261"/>
      <c r="AT29" s="261"/>
      <c r="AU29" s="261"/>
      <c r="AV29" s="261"/>
      <c r="AW29" s="262"/>
      <c r="AX29" s="121"/>
      <c r="AY29" s="121"/>
      <c r="AZ29" s="123"/>
    </row>
    <row r="30" spans="1:52" s="122" customFormat="1" ht="15" customHeight="1" x14ac:dyDescent="0.15">
      <c r="A30" s="120"/>
      <c r="B30" s="121"/>
      <c r="M30" s="125"/>
      <c r="N30" s="126"/>
      <c r="O30" s="126"/>
      <c r="P30" s="126"/>
      <c r="Q30" s="126"/>
      <c r="R30" s="126"/>
      <c r="S30" s="126"/>
      <c r="T30" s="127"/>
      <c r="U30" s="250"/>
      <c r="V30" s="251"/>
      <c r="Y30" s="125"/>
      <c r="Z30" s="126"/>
      <c r="AA30" s="126"/>
      <c r="AB30" s="126"/>
      <c r="AC30" s="126"/>
      <c r="AD30" s="126"/>
      <c r="AE30" s="126"/>
      <c r="AF30" s="127"/>
      <c r="AG30" s="250"/>
      <c r="AH30" s="251"/>
      <c r="AM30" s="121"/>
      <c r="AN30" s="121"/>
      <c r="AP30" s="263"/>
      <c r="AQ30" s="264"/>
      <c r="AR30" s="264"/>
      <c r="AS30" s="264"/>
      <c r="AT30" s="264"/>
      <c r="AU30" s="264"/>
      <c r="AV30" s="264"/>
      <c r="AW30" s="265"/>
      <c r="AX30" s="121"/>
      <c r="AY30" s="121"/>
      <c r="AZ30" s="123"/>
    </row>
    <row r="31" spans="1:52" s="122" customFormat="1" ht="15" customHeight="1" x14ac:dyDescent="0.15">
      <c r="A31" s="120"/>
      <c r="B31" s="121"/>
      <c r="M31" s="125"/>
      <c r="N31" s="126"/>
      <c r="O31" s="126"/>
      <c r="P31" s="126"/>
      <c r="Q31" s="126"/>
      <c r="R31" s="126"/>
      <c r="S31" s="126"/>
      <c r="T31" s="127"/>
      <c r="U31" s="250"/>
      <c r="V31" s="251"/>
      <c r="Y31" s="125"/>
      <c r="Z31" s="126"/>
      <c r="AA31" s="126"/>
      <c r="AB31" s="126"/>
      <c r="AC31" s="126"/>
      <c r="AD31" s="126"/>
      <c r="AE31" s="126"/>
      <c r="AF31" s="127"/>
      <c r="AG31" s="250"/>
      <c r="AH31" s="251"/>
      <c r="AM31" s="121"/>
      <c r="AN31" s="121"/>
      <c r="AP31" s="263"/>
      <c r="AQ31" s="264"/>
      <c r="AR31" s="264"/>
      <c r="AS31" s="264"/>
      <c r="AT31" s="264"/>
      <c r="AU31" s="264"/>
      <c r="AV31" s="264"/>
      <c r="AW31" s="265"/>
      <c r="AX31" s="121"/>
      <c r="AY31" s="121"/>
      <c r="AZ31" s="123"/>
    </row>
    <row r="32" spans="1:52" s="122" customFormat="1" ht="15" customHeight="1" x14ac:dyDescent="0.15">
      <c r="A32" s="120"/>
      <c r="B32" s="128"/>
      <c r="M32" s="125"/>
      <c r="N32" s="126"/>
      <c r="O32" s="126"/>
      <c r="P32" s="126"/>
      <c r="Q32" s="126"/>
      <c r="R32" s="126"/>
      <c r="S32" s="126"/>
      <c r="T32" s="127"/>
      <c r="U32" s="250"/>
      <c r="V32" s="251"/>
      <c r="Y32" s="125"/>
      <c r="Z32" s="126"/>
      <c r="AA32" s="126"/>
      <c r="AB32" s="126"/>
      <c r="AC32" s="126"/>
      <c r="AD32" s="126"/>
      <c r="AE32" s="126"/>
      <c r="AF32" s="127"/>
      <c r="AG32" s="250"/>
      <c r="AH32" s="251"/>
      <c r="AM32" s="121"/>
      <c r="AN32" s="121"/>
      <c r="AP32" s="263"/>
      <c r="AQ32" s="264"/>
      <c r="AR32" s="264"/>
      <c r="AS32" s="264"/>
      <c r="AT32" s="264"/>
      <c r="AU32" s="264"/>
      <c r="AV32" s="264"/>
      <c r="AW32" s="265"/>
      <c r="AX32" s="121"/>
      <c r="AY32" s="121"/>
      <c r="AZ32" s="123"/>
    </row>
    <row r="33" spans="1:60" s="122" customFormat="1" ht="15" customHeight="1" x14ac:dyDescent="0.15">
      <c r="A33" s="120"/>
      <c r="B33" s="121"/>
      <c r="M33" s="125"/>
      <c r="N33" s="126"/>
      <c r="O33" s="126"/>
      <c r="P33" s="126"/>
      <c r="Q33" s="126"/>
      <c r="R33" s="126"/>
      <c r="S33" s="126"/>
      <c r="T33" s="127"/>
      <c r="U33" s="250"/>
      <c r="V33" s="251"/>
      <c r="Y33" s="125"/>
      <c r="Z33" s="126"/>
      <c r="AA33" s="126"/>
      <c r="AB33" s="126"/>
      <c r="AC33" s="126"/>
      <c r="AD33" s="126"/>
      <c r="AE33" s="126"/>
      <c r="AF33" s="127"/>
      <c r="AG33" s="250"/>
      <c r="AH33" s="251"/>
      <c r="AM33" s="121"/>
      <c r="AN33" s="121"/>
      <c r="AP33" s="266"/>
      <c r="AQ33" s="267"/>
      <c r="AR33" s="267"/>
      <c r="AS33" s="267"/>
      <c r="AT33" s="267"/>
      <c r="AU33" s="267"/>
      <c r="AV33" s="267"/>
      <c r="AW33" s="268"/>
      <c r="AX33" s="121"/>
      <c r="AY33" s="121"/>
      <c r="AZ33" s="123"/>
    </row>
    <row r="34" spans="1:60" s="122" customFormat="1" ht="15" customHeight="1" x14ac:dyDescent="0.15">
      <c r="A34" s="120"/>
      <c r="B34" s="121"/>
      <c r="C34" s="121"/>
      <c r="D34" s="121"/>
      <c r="E34" s="130"/>
      <c r="F34" s="121"/>
      <c r="G34" s="121"/>
      <c r="H34" s="121"/>
      <c r="I34" s="121"/>
      <c r="J34" s="121"/>
      <c r="K34" s="121"/>
      <c r="L34" s="121"/>
      <c r="M34" s="121"/>
      <c r="N34" s="121"/>
      <c r="AO34" s="121"/>
      <c r="AP34" s="121"/>
      <c r="AW34" s="121"/>
      <c r="AX34" s="121"/>
      <c r="AY34" s="121"/>
      <c r="AZ34" s="123"/>
    </row>
    <row r="35" spans="1:60" x14ac:dyDescent="0.15">
      <c r="A35" s="17"/>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33"/>
      <c r="AT35" s="133"/>
      <c r="AU35" s="133"/>
      <c r="AV35" s="133"/>
      <c r="AW35" s="133"/>
      <c r="AX35" s="133"/>
      <c r="AY35" s="133"/>
      <c r="AZ35" s="134"/>
      <c r="BA35" s="12"/>
      <c r="BB35" s="12"/>
      <c r="BC35" s="12"/>
      <c r="BD35" s="12"/>
      <c r="BE35" s="12"/>
      <c r="BF35" s="12"/>
      <c r="BG35" s="12"/>
      <c r="BH35" s="12"/>
    </row>
    <row r="36" spans="1:60" x14ac:dyDescent="0.1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row>
    <row r="37" spans="1:60" x14ac:dyDescent="0.1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row>
  </sheetData>
  <mergeCells count="48">
    <mergeCell ref="U33:V33"/>
    <mergeCell ref="AG33:AH33"/>
    <mergeCell ref="AP29:AW33"/>
    <mergeCell ref="U28:V28"/>
    <mergeCell ref="AG28:AH28"/>
    <mergeCell ref="U29:V29"/>
    <mergeCell ref="AG29:AH29"/>
    <mergeCell ref="U30:V30"/>
    <mergeCell ref="AG30:AH30"/>
    <mergeCell ref="U31:V31"/>
    <mergeCell ref="AG31:AH31"/>
    <mergeCell ref="U32:V32"/>
    <mergeCell ref="AG32:AH32"/>
    <mergeCell ref="L19:M19"/>
    <mergeCell ref="AO19:AP19"/>
    <mergeCell ref="U27:V27"/>
    <mergeCell ref="AG27:AH27"/>
    <mergeCell ref="AO18:AP18"/>
    <mergeCell ref="U25:V25"/>
    <mergeCell ref="AG25:AH25"/>
    <mergeCell ref="U26:V26"/>
    <mergeCell ref="AG26:AH26"/>
    <mergeCell ref="L20:M20"/>
    <mergeCell ref="AO20:AP20"/>
    <mergeCell ref="L12:M12"/>
    <mergeCell ref="AO12:AP12"/>
    <mergeCell ref="L13:M13"/>
    <mergeCell ref="AO13:AP13"/>
    <mergeCell ref="L14:M14"/>
    <mergeCell ref="AO14:AP14"/>
    <mergeCell ref="L15:M15"/>
    <mergeCell ref="AO15:AP15"/>
    <mergeCell ref="L16:M16"/>
    <mergeCell ref="T16:AA17"/>
    <mergeCell ref="AO16:AP16"/>
    <mergeCell ref="L17:M17"/>
    <mergeCell ref="AO17:AP17"/>
    <mergeCell ref="L18:M18"/>
    <mergeCell ref="A1:J3"/>
    <mergeCell ref="AG3:AZ3"/>
    <mergeCell ref="K1:U1"/>
    <mergeCell ref="K2:U2"/>
    <mergeCell ref="V2:AF2"/>
    <mergeCell ref="K3:U3"/>
    <mergeCell ref="V1:AF1"/>
    <mergeCell ref="AG1:AZ1"/>
    <mergeCell ref="AG2:AZ2"/>
    <mergeCell ref="V3:AF3"/>
  </mergeCells>
  <phoneticPr fontId="2"/>
  <dataValidations count="2">
    <dataValidation imeMode="off" allowBlank="1" showInputMessage="1" showErrorMessage="1" sqref="AG24:AH24 AC34:AD34 M25:N33 Y25:Z33 C24:E33 AG12:AH21 C10:E21" xr:uid="{A5DE17E1-357C-4B5A-B7A9-688B2C7AD73A}"/>
    <dataValidation imeMode="hiragana" allowBlank="1" showInputMessage="1" showErrorMessage="1" sqref="T10:T16 AG10:AP11 S10:S13 M10:M11 N24:AF24 O25:U33 AI24:AN24 AE34:AN34 O34:AB34 M21 AP21 U10:AA15 AQ24:AV24 AQ34:AV34 AA25:AG33 F24:M33 AO25:AP33 W25:X33 AI25:AL33 F10:L21 AI12:AO21 AQ10:AV21 AB10:AF21 N10:R21 T18:AA21 S15:S21" xr:uid="{E721D8B5-EF44-4141-98FD-79FE389105B5}"/>
  </dataValidations>
  <pageMargins left="0.59055118110236227" right="0.59055118110236227" top="0.78740157480314965" bottom="0.59055118110236227" header="0.51181102362204722" footer="0.31496062992125984"/>
  <pageSetup paperSize="9" fitToHeight="0" orientation="landscape" useFirstPageNumber="1" r:id="rId1"/>
  <headerFooter alignWithMargins="0">
    <oddFooter>&amp;C機能概要－&amp;P</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AZ40"/>
  <sheetViews>
    <sheetView view="pageBreakPreview" zoomScaleNormal="100" zoomScaleSheetLayoutView="100" workbookViewId="0">
      <pane ySplit="4" topLeftCell="A5" activePane="bottomLeft" state="frozenSplit"/>
      <selection activeCell="A5" sqref="A5:B5"/>
      <selection pane="bottomLeft" activeCell="A5" sqref="A5"/>
    </sheetView>
  </sheetViews>
  <sheetFormatPr defaultColWidth="2.625" defaultRowHeight="13.5" x14ac:dyDescent="0.15"/>
  <cols>
    <col min="1" max="1" width="2.625" style="8" customWidth="1"/>
    <col min="2" max="16384" width="2.625" style="8"/>
  </cols>
  <sheetData>
    <row r="1" spans="1:52" ht="14.25" customHeight="1" x14ac:dyDescent="0.15">
      <c r="A1" s="199" t="s">
        <v>21</v>
      </c>
      <c r="B1" s="199"/>
      <c r="C1" s="199"/>
      <c r="D1" s="199"/>
      <c r="E1" s="199"/>
      <c r="F1" s="199"/>
      <c r="G1" s="199"/>
      <c r="H1" s="199"/>
      <c r="I1" s="199"/>
      <c r="J1" s="199"/>
      <c r="K1" s="188" t="s">
        <v>22</v>
      </c>
      <c r="L1" s="188"/>
      <c r="M1" s="188"/>
      <c r="N1" s="188"/>
      <c r="O1" s="188"/>
      <c r="P1" s="188"/>
      <c r="Q1" s="188"/>
      <c r="R1" s="188"/>
      <c r="S1" s="188"/>
      <c r="T1" s="188"/>
      <c r="U1" s="188"/>
      <c r="V1" s="188" t="s">
        <v>23</v>
      </c>
      <c r="W1" s="188"/>
      <c r="X1" s="188"/>
      <c r="Y1" s="188"/>
      <c r="Z1" s="188"/>
      <c r="AA1" s="188"/>
      <c r="AB1" s="188"/>
      <c r="AC1" s="188"/>
      <c r="AD1" s="188"/>
      <c r="AE1" s="188"/>
      <c r="AF1" s="188"/>
      <c r="AG1" s="182" t="s">
        <v>24</v>
      </c>
      <c r="AH1" s="183"/>
      <c r="AI1" s="183"/>
      <c r="AJ1" s="183"/>
      <c r="AK1" s="183"/>
      <c r="AL1" s="183"/>
      <c r="AM1" s="183"/>
      <c r="AN1" s="183"/>
      <c r="AO1" s="183"/>
      <c r="AP1" s="183"/>
      <c r="AQ1" s="183"/>
      <c r="AR1" s="183"/>
      <c r="AS1" s="183"/>
      <c r="AT1" s="183"/>
      <c r="AU1" s="183"/>
      <c r="AV1" s="183"/>
      <c r="AW1" s="183"/>
      <c r="AX1" s="183"/>
      <c r="AY1" s="183"/>
      <c r="AZ1" s="184"/>
    </row>
    <row r="2" spans="1:52" ht="14.25" customHeight="1" x14ac:dyDescent="0.15">
      <c r="A2" s="199"/>
      <c r="B2" s="199"/>
      <c r="C2" s="199"/>
      <c r="D2" s="199"/>
      <c r="E2" s="199"/>
      <c r="F2" s="199"/>
      <c r="G2" s="199"/>
      <c r="H2" s="199"/>
      <c r="I2" s="199"/>
      <c r="J2" s="199"/>
      <c r="K2" s="214" t="str">
        <f>表紙!K2</f>
        <v>BQ</v>
      </c>
      <c r="L2" s="215"/>
      <c r="M2" s="215"/>
      <c r="N2" s="215"/>
      <c r="O2" s="215"/>
      <c r="P2" s="215"/>
      <c r="Q2" s="215"/>
      <c r="R2" s="215"/>
      <c r="S2" s="215"/>
      <c r="T2" s="215"/>
      <c r="U2" s="215"/>
      <c r="V2" s="214" t="str">
        <f>表紙!V2</f>
        <v>受講管理システム</v>
      </c>
      <c r="W2" s="215"/>
      <c r="X2" s="215"/>
      <c r="Y2" s="215"/>
      <c r="Z2" s="215"/>
      <c r="AA2" s="215"/>
      <c r="AB2" s="215"/>
      <c r="AC2" s="215"/>
      <c r="AD2" s="215"/>
      <c r="AE2" s="215"/>
      <c r="AF2" s="215"/>
      <c r="AG2" s="185" t="str">
        <f>表紙!AG2</f>
        <v>BJ990100E</v>
      </c>
      <c r="AH2" s="216"/>
      <c r="AI2" s="216"/>
      <c r="AJ2" s="216"/>
      <c r="AK2" s="216"/>
      <c r="AL2" s="216"/>
      <c r="AM2" s="216"/>
      <c r="AN2" s="216"/>
      <c r="AO2" s="216"/>
      <c r="AP2" s="216"/>
      <c r="AQ2" s="216"/>
      <c r="AR2" s="216"/>
      <c r="AS2" s="216"/>
      <c r="AT2" s="216"/>
      <c r="AU2" s="216"/>
      <c r="AV2" s="216"/>
      <c r="AW2" s="216"/>
      <c r="AX2" s="216"/>
      <c r="AY2" s="216"/>
      <c r="AZ2" s="217"/>
    </row>
    <row r="3" spans="1:52" ht="14.25" customHeight="1" x14ac:dyDescent="0.15">
      <c r="A3" s="199"/>
      <c r="B3" s="199"/>
      <c r="C3" s="199"/>
      <c r="D3" s="199"/>
      <c r="E3" s="199"/>
      <c r="F3" s="199"/>
      <c r="G3" s="199"/>
      <c r="H3" s="199"/>
      <c r="I3" s="199"/>
      <c r="J3" s="199"/>
      <c r="K3" s="215" t="str">
        <f>表紙!K3</f>
        <v>BJ</v>
      </c>
      <c r="L3" s="215"/>
      <c r="M3" s="215"/>
      <c r="N3" s="215"/>
      <c r="O3" s="215"/>
      <c r="P3" s="215"/>
      <c r="Q3" s="215"/>
      <c r="R3" s="215"/>
      <c r="S3" s="215"/>
      <c r="T3" s="215"/>
      <c r="U3" s="215"/>
      <c r="V3" s="214" t="str">
        <f>表紙!V3</f>
        <v>マスタメンテナンス</v>
      </c>
      <c r="W3" s="215"/>
      <c r="X3" s="215"/>
      <c r="Y3" s="215"/>
      <c r="Z3" s="215"/>
      <c r="AA3" s="215"/>
      <c r="AB3" s="215"/>
      <c r="AC3" s="215"/>
      <c r="AD3" s="215"/>
      <c r="AE3" s="215"/>
      <c r="AF3" s="215"/>
      <c r="AG3" s="185" t="str">
        <f>表紙!AG3</f>
        <v>ログインユーザマスタ管理</v>
      </c>
      <c r="AH3" s="216"/>
      <c r="AI3" s="216"/>
      <c r="AJ3" s="216"/>
      <c r="AK3" s="216"/>
      <c r="AL3" s="216"/>
      <c r="AM3" s="216"/>
      <c r="AN3" s="216"/>
      <c r="AO3" s="216"/>
      <c r="AP3" s="216"/>
      <c r="AQ3" s="216"/>
      <c r="AR3" s="216"/>
      <c r="AS3" s="216"/>
      <c r="AT3" s="216"/>
      <c r="AU3" s="216"/>
      <c r="AV3" s="216"/>
      <c r="AW3" s="216"/>
      <c r="AX3" s="216"/>
      <c r="AY3" s="216"/>
      <c r="AZ3" s="217"/>
    </row>
    <row r="4" spans="1:52" ht="6" customHeight="1" x14ac:dyDescent="0.15">
      <c r="A4" s="101"/>
      <c r="B4" s="102"/>
      <c r="C4" s="102"/>
      <c r="D4" s="102"/>
      <c r="E4" s="102"/>
      <c r="F4" s="102"/>
      <c r="G4" s="102"/>
      <c r="H4" s="102"/>
      <c r="I4" s="102"/>
      <c r="J4" s="102"/>
      <c r="K4" s="102"/>
      <c r="L4" s="88"/>
      <c r="M4" s="88"/>
      <c r="N4" s="88"/>
      <c r="O4" s="88"/>
      <c r="P4" s="88"/>
      <c r="Q4" s="88"/>
      <c r="R4" s="88"/>
      <c r="S4" s="88"/>
      <c r="T4" s="88"/>
      <c r="U4" s="88"/>
      <c r="V4" s="89"/>
      <c r="W4" s="89"/>
      <c r="X4" s="89"/>
      <c r="Y4" s="89"/>
      <c r="Z4" s="89"/>
      <c r="AA4" s="89"/>
      <c r="AB4" s="89"/>
      <c r="AC4" s="89"/>
      <c r="AD4" s="89"/>
      <c r="AE4" s="89"/>
      <c r="AF4" s="89"/>
      <c r="AG4" s="88"/>
      <c r="AH4" s="88"/>
      <c r="AI4" s="88"/>
      <c r="AJ4" s="88"/>
      <c r="AK4" s="88"/>
      <c r="AL4" s="88"/>
      <c r="AM4" s="88"/>
      <c r="AN4" s="88"/>
      <c r="AO4" s="88"/>
      <c r="AP4" s="88"/>
      <c r="AQ4" s="88"/>
      <c r="AR4" s="88"/>
      <c r="AS4" s="88"/>
      <c r="AT4" s="88"/>
      <c r="AU4" s="88"/>
      <c r="AV4" s="88"/>
      <c r="AW4" s="88"/>
      <c r="AX4" s="88"/>
      <c r="AY4" s="88"/>
      <c r="AZ4" s="103"/>
    </row>
    <row r="5" spans="1:52" x14ac:dyDescent="0.15">
      <c r="A5" s="104"/>
      <c r="B5" s="105"/>
      <c r="C5" s="105"/>
      <c r="D5" s="105"/>
      <c r="E5" s="105"/>
      <c r="F5" s="105"/>
      <c r="G5" s="27"/>
      <c r="H5" s="105"/>
      <c r="I5" s="105"/>
      <c r="J5" s="105"/>
      <c r="K5" s="105"/>
      <c r="L5" s="53"/>
      <c r="M5" s="53"/>
      <c r="N5" s="53"/>
      <c r="O5" s="53"/>
      <c r="P5" s="53"/>
      <c r="Q5" s="53"/>
      <c r="R5" s="53"/>
      <c r="S5" s="53"/>
      <c r="T5" s="53"/>
      <c r="U5" s="53"/>
      <c r="V5" s="106"/>
      <c r="W5" s="106"/>
      <c r="X5" s="106"/>
      <c r="Y5" s="106"/>
      <c r="Z5" s="106"/>
      <c r="AA5" s="106"/>
      <c r="AB5" s="106"/>
      <c r="AC5" s="106"/>
      <c r="AD5" s="106"/>
      <c r="AE5" s="106"/>
      <c r="AF5" s="106"/>
      <c r="AG5" s="53"/>
      <c r="AH5" s="53"/>
      <c r="AI5" s="53"/>
      <c r="AJ5" s="53"/>
      <c r="AK5" s="53"/>
      <c r="AL5" s="53"/>
      <c r="AM5" s="53"/>
      <c r="AN5" s="53"/>
      <c r="AO5" s="53"/>
      <c r="AP5" s="53"/>
      <c r="AQ5" s="9" t="s">
        <v>62</v>
      </c>
      <c r="AR5" s="10"/>
      <c r="AS5" s="10"/>
      <c r="AT5" s="10"/>
      <c r="AU5" s="10"/>
      <c r="AV5" s="10"/>
      <c r="AW5" s="10"/>
      <c r="AX5" s="10"/>
      <c r="AY5" s="11"/>
      <c r="AZ5" s="15"/>
    </row>
    <row r="6" spans="1:52" x14ac:dyDescent="0.15">
      <c r="A6" s="107"/>
      <c r="B6" s="105"/>
      <c r="C6" s="105"/>
      <c r="D6" s="105"/>
      <c r="E6" s="105"/>
      <c r="F6" s="105"/>
      <c r="G6" s="105"/>
      <c r="H6" s="105"/>
      <c r="I6" s="105"/>
      <c r="J6" s="105"/>
      <c r="K6" s="105"/>
      <c r="L6" s="53"/>
      <c r="M6" s="53"/>
      <c r="N6" s="53"/>
      <c r="O6" s="53"/>
      <c r="P6" s="53"/>
      <c r="Q6" s="53"/>
      <c r="R6" s="53"/>
      <c r="S6" s="53"/>
      <c r="T6" s="53"/>
      <c r="U6" s="53"/>
      <c r="V6" s="106"/>
      <c r="W6" s="106"/>
      <c r="X6" s="106"/>
      <c r="Y6" s="106"/>
      <c r="Z6" s="106"/>
      <c r="AA6" s="106"/>
      <c r="AB6" s="106"/>
      <c r="AC6" s="106"/>
      <c r="AD6" s="106"/>
      <c r="AE6" s="106"/>
      <c r="AF6" s="106"/>
      <c r="AG6" s="53"/>
      <c r="AH6" s="53"/>
      <c r="AI6" s="53"/>
      <c r="AJ6" s="53"/>
      <c r="AK6" s="53"/>
      <c r="AL6" s="53"/>
      <c r="AM6" s="53"/>
      <c r="AN6" s="53"/>
      <c r="AO6" s="53"/>
      <c r="AP6" s="53"/>
      <c r="AQ6" s="16"/>
      <c r="AR6" s="14"/>
      <c r="AS6" s="14"/>
      <c r="AT6" s="14"/>
      <c r="AU6" s="14"/>
      <c r="AV6" s="14"/>
      <c r="AW6" s="14"/>
      <c r="AX6" s="14"/>
      <c r="AY6" s="15"/>
      <c r="AZ6" s="15"/>
    </row>
    <row r="7" spans="1:52" x14ac:dyDescent="0.15">
      <c r="A7" s="107"/>
      <c r="B7" s="105"/>
      <c r="C7" s="105"/>
      <c r="D7" s="105"/>
      <c r="E7" s="105"/>
      <c r="F7" s="105"/>
      <c r="G7" s="105"/>
      <c r="H7" s="105"/>
      <c r="I7" s="105"/>
      <c r="J7" s="105"/>
      <c r="K7" s="105"/>
      <c r="L7" s="53"/>
      <c r="M7" s="53"/>
      <c r="N7" s="53"/>
      <c r="O7" s="53"/>
      <c r="P7" s="53"/>
      <c r="Q7" s="53"/>
      <c r="R7" s="53"/>
      <c r="S7" s="53"/>
      <c r="T7" s="53"/>
      <c r="U7" s="53"/>
      <c r="V7" s="106"/>
      <c r="W7" s="106"/>
      <c r="X7" s="106"/>
      <c r="Y7" s="106"/>
      <c r="Z7" s="106"/>
      <c r="AA7" s="106"/>
      <c r="AB7" s="106"/>
      <c r="AC7" s="106"/>
      <c r="AD7" s="106"/>
      <c r="AE7" s="106"/>
      <c r="AF7" s="106"/>
      <c r="AG7" s="53"/>
      <c r="AH7" s="53"/>
      <c r="AI7" s="53"/>
      <c r="AJ7" s="53"/>
      <c r="AK7" s="53"/>
      <c r="AL7" s="53"/>
      <c r="AM7" s="53"/>
      <c r="AN7" s="53"/>
      <c r="AO7" s="53"/>
      <c r="AP7" s="53"/>
      <c r="AQ7" s="16" t="s">
        <v>87</v>
      </c>
      <c r="AR7" s="14"/>
      <c r="AS7" s="14"/>
      <c r="AT7" s="14"/>
      <c r="AU7" s="14"/>
      <c r="AV7" s="14"/>
      <c r="AW7" s="14"/>
      <c r="AX7" s="14"/>
      <c r="AY7" s="15"/>
      <c r="AZ7" s="15"/>
    </row>
    <row r="8" spans="1:52" x14ac:dyDescent="0.15">
      <c r="A8" s="107"/>
      <c r="B8" s="105"/>
      <c r="C8" s="105"/>
      <c r="D8" s="105"/>
      <c r="E8" s="105"/>
      <c r="F8" s="105"/>
      <c r="G8" s="105"/>
      <c r="H8" s="105"/>
      <c r="I8" s="105"/>
      <c r="J8" s="105"/>
      <c r="K8" s="105"/>
      <c r="L8" s="53"/>
      <c r="M8" s="53"/>
      <c r="N8" s="53"/>
      <c r="O8" s="53"/>
      <c r="P8" s="53"/>
      <c r="Q8" s="53"/>
      <c r="R8" s="53"/>
      <c r="S8" s="53"/>
      <c r="T8" s="53"/>
      <c r="U8" s="53"/>
      <c r="V8" s="106"/>
      <c r="W8" s="106"/>
      <c r="X8" s="106"/>
      <c r="Y8" s="106"/>
      <c r="Z8" s="106"/>
      <c r="AA8" s="106"/>
      <c r="AB8" s="106"/>
      <c r="AC8" s="106"/>
      <c r="AD8" s="106"/>
      <c r="AE8" s="106"/>
      <c r="AF8" s="106"/>
      <c r="AG8" s="53"/>
      <c r="AH8" s="53"/>
      <c r="AI8" s="53"/>
      <c r="AJ8" s="53"/>
      <c r="AK8" s="53"/>
      <c r="AL8" s="53"/>
      <c r="AM8" s="53"/>
      <c r="AN8" s="53"/>
      <c r="AO8" s="53"/>
      <c r="AP8" s="53"/>
      <c r="AQ8" s="16" t="s">
        <v>120</v>
      </c>
      <c r="AR8" s="14"/>
      <c r="AS8" s="14"/>
      <c r="AT8" s="14"/>
      <c r="AU8" s="14"/>
      <c r="AV8" s="14"/>
      <c r="AW8" s="14"/>
      <c r="AX8" s="14"/>
      <c r="AY8" s="15"/>
      <c r="AZ8" s="15"/>
    </row>
    <row r="9" spans="1:52" x14ac:dyDescent="0.15">
      <c r="A9" s="107"/>
      <c r="B9" s="105"/>
      <c r="C9" s="105"/>
      <c r="D9" s="105"/>
      <c r="E9" s="105"/>
      <c r="F9" s="105"/>
      <c r="G9" s="105"/>
      <c r="H9" s="105"/>
      <c r="I9" s="105"/>
      <c r="J9" s="105"/>
      <c r="K9" s="105"/>
      <c r="L9" s="53"/>
      <c r="M9" s="53"/>
      <c r="N9" s="53"/>
      <c r="O9" s="53"/>
      <c r="P9" s="53"/>
      <c r="Q9" s="53"/>
      <c r="R9" s="53"/>
      <c r="S9" s="53"/>
      <c r="T9" s="53"/>
      <c r="U9" s="53"/>
      <c r="V9" s="106"/>
      <c r="W9" s="106"/>
      <c r="X9" s="106"/>
      <c r="Y9" s="106"/>
      <c r="Z9" s="106"/>
      <c r="AA9" s="106"/>
      <c r="AB9" s="106"/>
      <c r="AC9" s="106"/>
      <c r="AD9" s="106"/>
      <c r="AE9" s="106"/>
      <c r="AF9" s="106"/>
      <c r="AG9" s="53"/>
      <c r="AH9" s="53"/>
      <c r="AI9" s="53"/>
      <c r="AJ9" s="53"/>
      <c r="AK9" s="53"/>
      <c r="AL9" s="53"/>
      <c r="AM9" s="53"/>
      <c r="AN9" s="53"/>
      <c r="AO9" s="53"/>
      <c r="AP9" s="53"/>
      <c r="AQ9" s="16" t="s">
        <v>121</v>
      </c>
      <c r="AR9" s="14"/>
      <c r="AS9" s="14"/>
      <c r="AT9" s="14"/>
      <c r="AU9" s="14"/>
      <c r="AV9" s="14"/>
      <c r="AW9" s="14"/>
      <c r="AX9" s="14"/>
      <c r="AY9" s="15"/>
      <c r="AZ9" s="15"/>
    </row>
    <row r="10" spans="1:52" x14ac:dyDescent="0.15">
      <c r="A10" s="107"/>
      <c r="B10" s="105"/>
      <c r="C10" s="105"/>
      <c r="D10" s="105"/>
      <c r="E10" s="105"/>
      <c r="F10" s="105"/>
      <c r="G10" s="105"/>
      <c r="H10" s="105"/>
      <c r="I10" s="105"/>
      <c r="J10" s="105"/>
      <c r="K10" s="105"/>
      <c r="L10" s="53"/>
      <c r="M10" s="53"/>
      <c r="N10" s="53"/>
      <c r="O10" s="53"/>
      <c r="P10" s="53"/>
      <c r="Q10" s="53"/>
      <c r="R10" s="53"/>
      <c r="S10" s="53"/>
      <c r="T10" s="53"/>
      <c r="U10" s="53"/>
      <c r="V10" s="106"/>
      <c r="W10" s="106"/>
      <c r="X10" s="106"/>
      <c r="Y10" s="106"/>
      <c r="Z10" s="106"/>
      <c r="AA10" s="106"/>
      <c r="AB10" s="106"/>
      <c r="AC10" s="106"/>
      <c r="AD10" s="106"/>
      <c r="AE10" s="106"/>
      <c r="AF10" s="106"/>
      <c r="AG10" s="53"/>
      <c r="AH10" s="53"/>
      <c r="AI10" s="53"/>
      <c r="AJ10" s="53"/>
      <c r="AK10" s="53"/>
      <c r="AL10" s="53"/>
      <c r="AM10" s="53"/>
      <c r="AN10" s="53"/>
      <c r="AO10" s="53"/>
      <c r="AP10" s="53"/>
      <c r="AQ10" s="16" t="s">
        <v>122</v>
      </c>
      <c r="AR10" s="14"/>
      <c r="AS10" s="14"/>
      <c r="AT10" s="14"/>
      <c r="AU10" s="14"/>
      <c r="AV10" s="14"/>
      <c r="AW10" s="14"/>
      <c r="AX10" s="14"/>
      <c r="AY10" s="15"/>
      <c r="AZ10" s="15"/>
    </row>
    <row r="11" spans="1:52" x14ac:dyDescent="0.15">
      <c r="A11" s="107"/>
      <c r="B11" s="105"/>
      <c r="C11" s="105"/>
      <c r="D11" s="105"/>
      <c r="E11" s="105"/>
      <c r="F11" s="105"/>
      <c r="G11" s="105"/>
      <c r="H11" s="105"/>
      <c r="I11" s="105"/>
      <c r="J11" s="105"/>
      <c r="K11" s="105"/>
      <c r="L11" s="53"/>
      <c r="M11" s="53"/>
      <c r="N11" s="53"/>
      <c r="O11" s="53"/>
      <c r="P11" s="53"/>
      <c r="Q11" s="53"/>
      <c r="R11" s="53"/>
      <c r="S11" s="53"/>
      <c r="T11" s="53"/>
      <c r="U11" s="53"/>
      <c r="V11" s="106"/>
      <c r="W11" s="106"/>
      <c r="X11" s="106"/>
      <c r="Y11" s="106"/>
      <c r="Z11" s="106"/>
      <c r="AA11" s="106"/>
      <c r="AB11" s="106"/>
      <c r="AC11" s="106"/>
      <c r="AD11" s="106"/>
      <c r="AE11" s="106"/>
      <c r="AF11" s="106"/>
      <c r="AG11" s="53"/>
      <c r="AH11" s="53"/>
      <c r="AI11" s="53"/>
      <c r="AJ11" s="53"/>
      <c r="AK11" s="53"/>
      <c r="AL11" s="53"/>
      <c r="AM11" s="53"/>
      <c r="AN11" s="53"/>
      <c r="AO11" s="53"/>
      <c r="AP11" s="53"/>
      <c r="AQ11" s="16"/>
      <c r="AR11" s="14"/>
      <c r="AS11" s="14"/>
      <c r="AT11" s="14"/>
      <c r="AU11" s="14"/>
      <c r="AV11" s="14"/>
      <c r="AW11" s="14"/>
      <c r="AX11" s="14"/>
      <c r="AY11" s="15"/>
      <c r="AZ11" s="15"/>
    </row>
    <row r="12" spans="1:52" x14ac:dyDescent="0.15">
      <c r="A12" s="107"/>
      <c r="B12" s="105"/>
      <c r="C12" s="105"/>
      <c r="D12" s="105"/>
      <c r="E12" s="105"/>
      <c r="F12" s="105"/>
      <c r="G12" s="105"/>
      <c r="H12" s="105"/>
      <c r="I12" s="105"/>
      <c r="J12" s="105"/>
      <c r="K12" s="105"/>
      <c r="L12" s="53"/>
      <c r="M12" s="53"/>
      <c r="N12" s="53"/>
      <c r="O12" s="53"/>
      <c r="P12" s="53"/>
      <c r="Q12" s="53"/>
      <c r="R12" s="53"/>
      <c r="S12" s="53"/>
      <c r="T12" s="53"/>
      <c r="U12" s="53"/>
      <c r="V12" s="106"/>
      <c r="W12" s="106"/>
      <c r="X12" s="106"/>
      <c r="Y12" s="106"/>
      <c r="Z12" s="106"/>
      <c r="AA12" s="106"/>
      <c r="AB12" s="106"/>
      <c r="AC12" s="106"/>
      <c r="AD12" s="106"/>
      <c r="AE12" s="106"/>
      <c r="AF12" s="106"/>
      <c r="AG12" s="53"/>
      <c r="AH12" s="53"/>
      <c r="AI12" s="53"/>
      <c r="AJ12" s="53"/>
      <c r="AK12" s="53"/>
      <c r="AL12" s="53"/>
      <c r="AM12" s="53"/>
      <c r="AN12" s="53"/>
      <c r="AO12" s="53"/>
      <c r="AP12" s="53"/>
      <c r="AQ12" s="16" t="s">
        <v>88</v>
      </c>
      <c r="AR12" s="14"/>
      <c r="AS12" s="14"/>
      <c r="AT12" s="14"/>
      <c r="AU12" s="14"/>
      <c r="AV12" s="14"/>
      <c r="AW12" s="14"/>
      <c r="AX12" s="14"/>
      <c r="AY12" s="15"/>
      <c r="AZ12" s="15"/>
    </row>
    <row r="13" spans="1:52" x14ac:dyDescent="0.15">
      <c r="A13" s="107"/>
      <c r="B13" s="105"/>
      <c r="C13" s="105"/>
      <c r="D13" s="105"/>
      <c r="E13" s="105"/>
      <c r="F13" s="105"/>
      <c r="G13" s="105"/>
      <c r="H13" s="105"/>
      <c r="I13" s="105"/>
      <c r="J13" s="105"/>
      <c r="K13" s="105"/>
      <c r="L13" s="53"/>
      <c r="M13" s="53"/>
      <c r="N13" s="53"/>
      <c r="O13" s="53"/>
      <c r="P13" s="53"/>
      <c r="Q13" s="53"/>
      <c r="R13" s="53"/>
      <c r="S13" s="53"/>
      <c r="T13" s="53"/>
      <c r="U13" s="53"/>
      <c r="V13" s="106"/>
      <c r="W13" s="106"/>
      <c r="X13" s="106"/>
      <c r="Y13" s="106"/>
      <c r="Z13" s="106"/>
      <c r="AA13" s="106"/>
      <c r="AB13" s="106"/>
      <c r="AC13" s="106"/>
      <c r="AD13" s="106"/>
      <c r="AE13" s="106"/>
      <c r="AF13" s="106"/>
      <c r="AG13" s="53"/>
      <c r="AH13" s="53"/>
      <c r="AI13" s="53"/>
      <c r="AJ13" s="53"/>
      <c r="AK13" s="53"/>
      <c r="AL13" s="53"/>
      <c r="AM13" s="53"/>
      <c r="AN13" s="53"/>
      <c r="AO13" s="53"/>
      <c r="AP13" s="53"/>
      <c r="AQ13" s="16" t="s">
        <v>103</v>
      </c>
      <c r="AR13" s="14"/>
      <c r="AS13" s="14"/>
      <c r="AT13" s="14"/>
      <c r="AU13" s="14"/>
      <c r="AV13" s="14"/>
      <c r="AW13" s="14"/>
      <c r="AX13" s="14"/>
      <c r="AY13" s="15"/>
      <c r="AZ13" s="15"/>
    </row>
    <row r="14" spans="1:52" x14ac:dyDescent="0.15">
      <c r="A14" s="107"/>
      <c r="B14" s="105"/>
      <c r="C14" s="105"/>
      <c r="D14" s="105"/>
      <c r="E14" s="105"/>
      <c r="F14" s="105"/>
      <c r="G14" s="105"/>
      <c r="H14" s="105"/>
      <c r="I14" s="105"/>
      <c r="J14" s="105"/>
      <c r="K14" s="105"/>
      <c r="L14" s="53"/>
      <c r="M14" s="53"/>
      <c r="N14" s="53"/>
      <c r="O14" s="53"/>
      <c r="P14" s="53"/>
      <c r="Q14" s="53"/>
      <c r="R14" s="53"/>
      <c r="S14" s="53"/>
      <c r="T14" s="53"/>
      <c r="U14" s="53"/>
      <c r="V14" s="106"/>
      <c r="W14" s="106"/>
      <c r="X14" s="106"/>
      <c r="Y14" s="106"/>
      <c r="Z14" s="106"/>
      <c r="AA14" s="106"/>
      <c r="AB14" s="106"/>
      <c r="AC14" s="106"/>
      <c r="AD14" s="106"/>
      <c r="AE14" s="106"/>
      <c r="AF14" s="106"/>
      <c r="AG14" s="53"/>
      <c r="AH14" s="53"/>
      <c r="AI14" s="53"/>
      <c r="AJ14" s="53"/>
      <c r="AK14" s="53"/>
      <c r="AL14" s="53"/>
      <c r="AM14" s="53"/>
      <c r="AN14" s="53"/>
      <c r="AO14" s="53"/>
      <c r="AP14" s="53"/>
      <c r="AQ14" s="16" t="s">
        <v>104</v>
      </c>
      <c r="AR14" s="14"/>
      <c r="AS14" s="14"/>
      <c r="AT14" s="14"/>
      <c r="AU14" s="14"/>
      <c r="AV14" s="14"/>
      <c r="AW14" s="14"/>
      <c r="AX14" s="14"/>
      <c r="AY14" s="15"/>
      <c r="AZ14" s="15"/>
    </row>
    <row r="15" spans="1:52" x14ac:dyDescent="0.15">
      <c r="A15" s="107"/>
      <c r="B15" s="105"/>
      <c r="C15" s="105"/>
      <c r="D15" s="105"/>
      <c r="E15" s="105"/>
      <c r="F15" s="105"/>
      <c r="G15" s="105"/>
      <c r="H15" s="105"/>
      <c r="I15" s="105"/>
      <c r="J15" s="105"/>
      <c r="K15" s="105"/>
      <c r="L15" s="53"/>
      <c r="M15" s="53"/>
      <c r="N15" s="53"/>
      <c r="O15" s="53"/>
      <c r="P15" s="53"/>
      <c r="Q15" s="53"/>
      <c r="R15" s="53"/>
      <c r="S15" s="53"/>
      <c r="T15" s="53"/>
      <c r="U15" s="53"/>
      <c r="V15" s="106"/>
      <c r="W15" s="106"/>
      <c r="X15" s="106"/>
      <c r="Y15" s="106"/>
      <c r="Z15" s="106"/>
      <c r="AA15" s="106"/>
      <c r="AB15" s="106"/>
      <c r="AC15" s="106"/>
      <c r="AD15" s="106"/>
      <c r="AE15" s="106"/>
      <c r="AF15" s="106"/>
      <c r="AG15" s="53"/>
      <c r="AH15" s="53"/>
      <c r="AI15" s="53"/>
      <c r="AJ15" s="53"/>
      <c r="AK15" s="53"/>
      <c r="AL15" s="53"/>
      <c r="AM15" s="53"/>
      <c r="AN15" s="53"/>
      <c r="AO15" s="53"/>
      <c r="AP15" s="53"/>
      <c r="AQ15" s="16" t="s">
        <v>124</v>
      </c>
      <c r="AR15" s="14"/>
      <c r="AS15" s="14"/>
      <c r="AT15" s="14"/>
      <c r="AU15" s="14"/>
      <c r="AV15" s="14"/>
      <c r="AW15" s="14"/>
      <c r="AX15" s="14"/>
      <c r="AY15" s="15"/>
      <c r="AZ15" s="15"/>
    </row>
    <row r="16" spans="1:52" x14ac:dyDescent="0.15">
      <c r="A16" s="107"/>
      <c r="B16" s="105"/>
      <c r="C16" s="105"/>
      <c r="D16" s="105"/>
      <c r="E16" s="105"/>
      <c r="F16" s="105"/>
      <c r="G16" s="105"/>
      <c r="H16" s="105"/>
      <c r="I16" s="105"/>
      <c r="J16" s="105"/>
      <c r="K16" s="105"/>
      <c r="L16" s="53"/>
      <c r="M16" s="53"/>
      <c r="N16" s="53"/>
      <c r="O16" s="53"/>
      <c r="P16" s="53"/>
      <c r="Q16" s="53"/>
      <c r="R16" s="53"/>
      <c r="S16" s="53"/>
      <c r="T16" s="53"/>
      <c r="U16" s="53"/>
      <c r="V16" s="106"/>
      <c r="W16" s="106"/>
      <c r="X16" s="106"/>
      <c r="Y16" s="106"/>
      <c r="Z16" s="106"/>
      <c r="AA16" s="106"/>
      <c r="AB16" s="106"/>
      <c r="AC16" s="106"/>
      <c r="AD16" s="106"/>
      <c r="AE16" s="106"/>
      <c r="AF16" s="106"/>
      <c r="AG16" s="53"/>
      <c r="AH16" s="53"/>
      <c r="AI16" s="53"/>
      <c r="AJ16" s="53"/>
      <c r="AK16" s="53"/>
      <c r="AL16" s="53"/>
      <c r="AM16" s="53"/>
      <c r="AN16" s="53"/>
      <c r="AO16" s="53"/>
      <c r="AP16" s="53"/>
      <c r="AQ16" s="16"/>
      <c r="AR16" s="14"/>
      <c r="AS16" s="14"/>
      <c r="AT16" s="14"/>
      <c r="AU16" s="14"/>
      <c r="AV16" s="14"/>
      <c r="AW16" s="14"/>
      <c r="AX16" s="14"/>
      <c r="AY16" s="15"/>
      <c r="AZ16" s="15"/>
    </row>
    <row r="17" spans="1:52" x14ac:dyDescent="0.15">
      <c r="A17" s="107"/>
      <c r="B17" s="105"/>
      <c r="C17" s="105"/>
      <c r="D17" s="105"/>
      <c r="E17" s="105"/>
      <c r="F17" s="105"/>
      <c r="G17" s="105"/>
      <c r="H17" s="105"/>
      <c r="I17" s="105"/>
      <c r="J17" s="105"/>
      <c r="K17" s="105"/>
      <c r="L17" s="53"/>
      <c r="M17" s="53"/>
      <c r="N17" s="53"/>
      <c r="O17" s="53"/>
      <c r="P17" s="53"/>
      <c r="Q17" s="53"/>
      <c r="R17" s="53"/>
      <c r="S17" s="53"/>
      <c r="T17" s="53"/>
      <c r="U17" s="53"/>
      <c r="V17" s="106"/>
      <c r="W17" s="106"/>
      <c r="X17" s="106"/>
      <c r="Y17" s="106"/>
      <c r="Z17" s="106"/>
      <c r="AA17" s="106"/>
      <c r="AB17" s="106"/>
      <c r="AC17" s="106"/>
      <c r="AD17" s="106"/>
      <c r="AE17" s="106"/>
      <c r="AF17" s="106"/>
      <c r="AG17" s="53"/>
      <c r="AH17" s="53"/>
      <c r="AI17" s="53"/>
      <c r="AJ17" s="53"/>
      <c r="AK17" s="53"/>
      <c r="AL17" s="53"/>
      <c r="AM17" s="53"/>
      <c r="AN17" s="53"/>
      <c r="AO17" s="53"/>
      <c r="AP17" s="53"/>
      <c r="AQ17" s="16" t="s">
        <v>105</v>
      </c>
      <c r="AR17" s="14"/>
      <c r="AS17" s="14"/>
      <c r="AT17" s="14"/>
      <c r="AU17" s="14"/>
      <c r="AV17" s="14"/>
      <c r="AW17" s="14"/>
      <c r="AX17" s="14"/>
      <c r="AY17" s="15"/>
      <c r="AZ17" s="15"/>
    </row>
    <row r="18" spans="1:52" x14ac:dyDescent="0.15">
      <c r="A18" s="107"/>
      <c r="B18" s="105"/>
      <c r="C18" s="105"/>
      <c r="D18" s="105"/>
      <c r="E18" s="105"/>
      <c r="F18" s="105"/>
      <c r="G18" s="105"/>
      <c r="H18" s="105"/>
      <c r="I18" s="105"/>
      <c r="J18" s="105"/>
      <c r="K18" s="105"/>
      <c r="L18" s="53"/>
      <c r="M18" s="53"/>
      <c r="N18" s="53"/>
      <c r="O18" s="53"/>
      <c r="P18" s="53"/>
      <c r="Q18" s="53"/>
      <c r="R18" s="53"/>
      <c r="S18" s="53"/>
      <c r="T18" s="53"/>
      <c r="U18" s="53"/>
      <c r="V18" s="106"/>
      <c r="W18" s="106"/>
      <c r="X18" s="106"/>
      <c r="Y18" s="106"/>
      <c r="Z18" s="106"/>
      <c r="AA18" s="106"/>
      <c r="AB18" s="106"/>
      <c r="AC18" s="106"/>
      <c r="AD18" s="106"/>
      <c r="AE18" s="106"/>
      <c r="AF18" s="106"/>
      <c r="AG18" s="53"/>
      <c r="AH18" s="53"/>
      <c r="AI18" s="53"/>
      <c r="AJ18" s="53"/>
      <c r="AK18" s="53"/>
      <c r="AL18" s="53"/>
      <c r="AM18" s="53"/>
      <c r="AN18" s="53"/>
      <c r="AO18" s="53"/>
      <c r="AP18" s="53"/>
      <c r="AQ18" s="16"/>
      <c r="AR18" s="14" t="s">
        <v>106</v>
      </c>
      <c r="AS18" s="14"/>
      <c r="AT18" s="14"/>
      <c r="AU18" s="14"/>
      <c r="AV18" s="14"/>
      <c r="AW18" s="14"/>
      <c r="AX18" s="14"/>
      <c r="AY18" s="15"/>
      <c r="AZ18" s="15"/>
    </row>
    <row r="19" spans="1:52" x14ac:dyDescent="0.15">
      <c r="A19" s="107"/>
      <c r="B19" s="105"/>
      <c r="C19" s="105"/>
      <c r="D19" s="105"/>
      <c r="E19" s="105"/>
      <c r="F19" s="105"/>
      <c r="G19" s="105"/>
      <c r="H19" s="105"/>
      <c r="I19" s="105"/>
      <c r="J19" s="105"/>
      <c r="K19" s="105"/>
      <c r="L19" s="53"/>
      <c r="M19" s="53"/>
      <c r="N19" s="53"/>
      <c r="O19" s="53"/>
      <c r="P19" s="53"/>
      <c r="Q19" s="53"/>
      <c r="R19" s="53"/>
      <c r="S19" s="53"/>
      <c r="T19" s="53"/>
      <c r="U19" s="53"/>
      <c r="V19" s="106"/>
      <c r="W19" s="106"/>
      <c r="X19" s="106"/>
      <c r="Y19" s="106"/>
      <c r="Z19" s="106"/>
      <c r="AA19" s="106"/>
      <c r="AB19" s="106"/>
      <c r="AC19" s="106"/>
      <c r="AD19" s="106"/>
      <c r="AE19" s="106"/>
      <c r="AF19" s="106"/>
      <c r="AG19" s="53"/>
      <c r="AH19" s="53"/>
      <c r="AI19" s="53"/>
      <c r="AJ19" s="53"/>
      <c r="AK19" s="53"/>
      <c r="AL19" s="53"/>
      <c r="AM19" s="53"/>
      <c r="AN19" s="53"/>
      <c r="AO19" s="53"/>
      <c r="AP19" s="53"/>
      <c r="AQ19" s="16"/>
      <c r="AR19" s="14" t="s">
        <v>107</v>
      </c>
      <c r="AS19" s="14"/>
      <c r="AT19" s="14"/>
      <c r="AU19" s="14"/>
      <c r="AV19" s="14"/>
      <c r="AW19" s="14"/>
      <c r="AX19" s="14"/>
      <c r="AY19" s="15"/>
      <c r="AZ19" s="15"/>
    </row>
    <row r="20" spans="1:52" x14ac:dyDescent="0.15">
      <c r="A20" s="107"/>
      <c r="B20" s="105"/>
      <c r="C20" s="105"/>
      <c r="D20" s="105"/>
      <c r="E20" s="105"/>
      <c r="F20" s="105"/>
      <c r="G20" s="105"/>
      <c r="H20" s="105"/>
      <c r="I20" s="105"/>
      <c r="J20" s="105"/>
      <c r="K20" s="105"/>
      <c r="L20" s="53"/>
      <c r="M20" s="53"/>
      <c r="N20" s="53"/>
      <c r="O20" s="53"/>
      <c r="P20" s="53"/>
      <c r="Q20" s="53"/>
      <c r="R20" s="53"/>
      <c r="S20" s="53"/>
      <c r="T20" s="53"/>
      <c r="U20" s="53"/>
      <c r="V20" s="106"/>
      <c r="W20" s="106"/>
      <c r="X20" s="106"/>
      <c r="Y20" s="106"/>
      <c r="Z20" s="106"/>
      <c r="AA20" s="106"/>
      <c r="AB20" s="106"/>
      <c r="AC20" s="106"/>
      <c r="AD20" s="106"/>
      <c r="AE20" s="106"/>
      <c r="AF20" s="106"/>
      <c r="AG20" s="53"/>
      <c r="AH20" s="53"/>
      <c r="AI20" s="53"/>
      <c r="AJ20" s="53"/>
      <c r="AK20" s="53"/>
      <c r="AL20" s="53"/>
      <c r="AM20" s="53"/>
      <c r="AN20" s="53"/>
      <c r="AO20" s="53"/>
      <c r="AP20" s="53"/>
      <c r="AQ20" s="16"/>
      <c r="AR20" s="14" t="s">
        <v>123</v>
      </c>
      <c r="AS20" s="14"/>
      <c r="AT20" s="14"/>
      <c r="AU20" s="14"/>
      <c r="AV20" s="14"/>
      <c r="AW20" s="14"/>
      <c r="AX20" s="14"/>
      <c r="AY20" s="15"/>
      <c r="AZ20" s="15"/>
    </row>
    <row r="21" spans="1:52" x14ac:dyDescent="0.15">
      <c r="A21" s="107"/>
      <c r="B21" s="105"/>
      <c r="C21" s="105"/>
      <c r="D21" s="105"/>
      <c r="E21" s="105"/>
      <c r="F21" s="105"/>
      <c r="G21" s="105"/>
      <c r="H21" s="105"/>
      <c r="I21" s="105"/>
      <c r="J21" s="105"/>
      <c r="K21" s="105"/>
      <c r="L21" s="53"/>
      <c r="M21" s="53"/>
      <c r="N21" s="53"/>
      <c r="O21" s="53"/>
      <c r="P21" s="53"/>
      <c r="Q21" s="53"/>
      <c r="R21" s="53"/>
      <c r="S21" s="53"/>
      <c r="T21" s="53"/>
      <c r="U21" s="53"/>
      <c r="V21" s="106"/>
      <c r="W21" s="106"/>
      <c r="X21" s="106"/>
      <c r="Y21" s="106"/>
      <c r="Z21" s="106"/>
      <c r="AA21" s="106"/>
      <c r="AB21" s="106"/>
      <c r="AC21" s="106"/>
      <c r="AD21" s="106"/>
      <c r="AE21" s="106"/>
      <c r="AF21" s="106"/>
      <c r="AG21" s="53"/>
      <c r="AH21" s="53"/>
      <c r="AI21" s="53"/>
      <c r="AJ21" s="53"/>
      <c r="AK21" s="53"/>
      <c r="AL21" s="53"/>
      <c r="AM21" s="53"/>
      <c r="AN21" s="53"/>
      <c r="AO21" s="53"/>
      <c r="AP21" s="53"/>
      <c r="AQ21" s="16"/>
      <c r="AR21" s="14"/>
      <c r="AS21" s="14"/>
      <c r="AT21" s="14"/>
      <c r="AU21" s="14"/>
      <c r="AV21" s="14"/>
      <c r="AW21" s="14"/>
      <c r="AX21" s="14"/>
      <c r="AY21" s="15"/>
      <c r="AZ21" s="15"/>
    </row>
    <row r="22" spans="1:52" x14ac:dyDescent="0.15">
      <c r="A22" s="107"/>
      <c r="B22" s="105"/>
      <c r="C22" s="105"/>
      <c r="D22" s="105"/>
      <c r="E22" s="105"/>
      <c r="F22" s="105"/>
      <c r="G22" s="105"/>
      <c r="H22" s="105"/>
      <c r="I22" s="105"/>
      <c r="J22" s="105"/>
      <c r="K22" s="105"/>
      <c r="L22" s="53"/>
      <c r="M22" s="53"/>
      <c r="N22" s="53"/>
      <c r="O22" s="53"/>
      <c r="P22" s="53"/>
      <c r="Q22" s="53"/>
      <c r="R22" s="53"/>
      <c r="S22" s="53"/>
      <c r="T22" s="53"/>
      <c r="U22" s="53"/>
      <c r="V22" s="106"/>
      <c r="W22" s="106"/>
      <c r="X22" s="106"/>
      <c r="Y22" s="106"/>
      <c r="Z22" s="106"/>
      <c r="AA22" s="106"/>
      <c r="AB22" s="106"/>
      <c r="AC22" s="106"/>
      <c r="AD22" s="106"/>
      <c r="AE22" s="106"/>
      <c r="AF22" s="106"/>
      <c r="AG22" s="53"/>
      <c r="AH22" s="53"/>
      <c r="AI22" s="53"/>
      <c r="AJ22" s="53"/>
      <c r="AK22" s="53"/>
      <c r="AL22" s="53"/>
      <c r="AM22" s="53"/>
      <c r="AN22" s="53"/>
      <c r="AO22" s="53"/>
      <c r="AP22" s="53"/>
      <c r="AQ22" s="16" t="s">
        <v>108</v>
      </c>
      <c r="AR22" s="14"/>
      <c r="AS22" s="14"/>
      <c r="AT22" s="14"/>
      <c r="AU22" s="14"/>
      <c r="AV22" s="14"/>
      <c r="AW22" s="14"/>
      <c r="AX22" s="14"/>
      <c r="AY22" s="15"/>
      <c r="AZ22" s="15"/>
    </row>
    <row r="23" spans="1:52" x14ac:dyDescent="0.15">
      <c r="A23" s="107"/>
      <c r="B23" s="105"/>
      <c r="C23" s="105"/>
      <c r="D23" s="105"/>
      <c r="E23" s="105"/>
      <c r="F23" s="105"/>
      <c r="G23" s="105"/>
      <c r="H23" s="105"/>
      <c r="I23" s="105"/>
      <c r="J23" s="105"/>
      <c r="K23" s="105"/>
      <c r="L23" s="53"/>
      <c r="M23" s="53"/>
      <c r="N23" s="53"/>
      <c r="O23" s="53"/>
      <c r="P23" s="53"/>
      <c r="Q23" s="53"/>
      <c r="R23" s="53"/>
      <c r="S23" s="53"/>
      <c r="T23" s="53"/>
      <c r="U23" s="53"/>
      <c r="V23" s="106"/>
      <c r="W23" s="106"/>
      <c r="X23" s="106"/>
      <c r="Y23" s="106"/>
      <c r="Z23" s="106"/>
      <c r="AA23" s="106"/>
      <c r="AB23" s="106"/>
      <c r="AC23" s="106"/>
      <c r="AD23" s="106"/>
      <c r="AE23" s="106"/>
      <c r="AF23" s="106"/>
      <c r="AG23" s="53"/>
      <c r="AH23" s="53"/>
      <c r="AI23" s="53"/>
      <c r="AJ23" s="53"/>
      <c r="AK23" s="53"/>
      <c r="AL23" s="53"/>
      <c r="AM23" s="53"/>
      <c r="AN23" s="53"/>
      <c r="AO23" s="53"/>
      <c r="AP23" s="53"/>
      <c r="AQ23" s="16" t="s">
        <v>110</v>
      </c>
      <c r="AR23" s="14"/>
      <c r="AS23" s="14"/>
      <c r="AT23" s="14"/>
      <c r="AU23" s="14"/>
      <c r="AV23" s="14"/>
      <c r="AW23" s="14"/>
      <c r="AX23" s="14"/>
      <c r="AY23" s="15"/>
      <c r="AZ23" s="15"/>
    </row>
    <row r="24" spans="1:52" x14ac:dyDescent="0.15">
      <c r="A24" s="107"/>
      <c r="B24" s="105"/>
      <c r="C24" s="105"/>
      <c r="D24" s="105"/>
      <c r="E24" s="105"/>
      <c r="F24" s="105"/>
      <c r="G24" s="105"/>
      <c r="H24" s="105"/>
      <c r="I24" s="105"/>
      <c r="J24" s="105"/>
      <c r="K24" s="105"/>
      <c r="L24" s="53"/>
      <c r="M24" s="53"/>
      <c r="N24" s="53"/>
      <c r="O24" s="53"/>
      <c r="P24" s="53"/>
      <c r="Q24" s="53"/>
      <c r="R24" s="53"/>
      <c r="S24" s="53"/>
      <c r="T24" s="53"/>
      <c r="U24" s="53"/>
      <c r="V24" s="106"/>
      <c r="W24" s="106"/>
      <c r="X24" s="106"/>
      <c r="Y24" s="106"/>
      <c r="Z24" s="106"/>
      <c r="AA24" s="106"/>
      <c r="AB24" s="106"/>
      <c r="AC24" s="106"/>
      <c r="AD24" s="106"/>
      <c r="AE24" s="106"/>
      <c r="AF24" s="106"/>
      <c r="AG24" s="53"/>
      <c r="AH24" s="53"/>
      <c r="AI24" s="53"/>
      <c r="AJ24" s="53"/>
      <c r="AK24" s="53"/>
      <c r="AL24" s="53"/>
      <c r="AM24" s="53"/>
      <c r="AN24" s="53"/>
      <c r="AO24" s="53"/>
      <c r="AP24" s="53"/>
      <c r="AQ24" s="16" t="s">
        <v>111</v>
      </c>
      <c r="AR24" s="14"/>
      <c r="AS24" s="14"/>
      <c r="AT24" s="14"/>
      <c r="AU24" s="14"/>
      <c r="AV24" s="14"/>
      <c r="AW24" s="14"/>
      <c r="AX24" s="14"/>
      <c r="AY24" s="15"/>
      <c r="AZ24" s="15"/>
    </row>
    <row r="25" spans="1:52" x14ac:dyDescent="0.15">
      <c r="A25" s="107"/>
      <c r="B25" s="105"/>
      <c r="C25" s="105"/>
      <c r="D25" s="105"/>
      <c r="E25" s="105"/>
      <c r="F25" s="105"/>
      <c r="G25" s="105"/>
      <c r="H25" s="105"/>
      <c r="I25" s="105"/>
      <c r="J25" s="105"/>
      <c r="K25" s="105"/>
      <c r="L25" s="53"/>
      <c r="M25" s="53"/>
      <c r="N25" s="53"/>
      <c r="O25" s="53"/>
      <c r="P25" s="53"/>
      <c r="Q25" s="53"/>
      <c r="R25" s="53"/>
      <c r="S25" s="53"/>
      <c r="T25" s="53"/>
      <c r="U25" s="53"/>
      <c r="V25" s="106"/>
      <c r="W25" s="106"/>
      <c r="X25" s="106"/>
      <c r="Y25" s="106"/>
      <c r="Z25" s="106"/>
      <c r="AA25" s="106"/>
      <c r="AB25" s="106"/>
      <c r="AC25" s="106"/>
      <c r="AD25" s="106"/>
      <c r="AE25" s="106"/>
      <c r="AF25" s="106"/>
      <c r="AG25" s="53"/>
      <c r="AH25" s="53"/>
      <c r="AI25" s="53"/>
      <c r="AJ25" s="53"/>
      <c r="AK25" s="53"/>
      <c r="AL25" s="53"/>
      <c r="AM25" s="53"/>
      <c r="AN25" s="53"/>
      <c r="AO25" s="53"/>
      <c r="AP25" s="53"/>
      <c r="AQ25" s="16" t="s">
        <v>125</v>
      </c>
      <c r="AR25" s="14"/>
      <c r="AS25" s="14"/>
      <c r="AT25" s="14"/>
      <c r="AU25" s="14"/>
      <c r="AV25" s="14"/>
      <c r="AW25" s="14"/>
      <c r="AX25" s="14"/>
      <c r="AY25" s="15"/>
      <c r="AZ25" s="15"/>
    </row>
    <row r="26" spans="1:52" x14ac:dyDescent="0.15">
      <c r="A26" s="107"/>
      <c r="B26" s="105"/>
      <c r="C26" s="105"/>
      <c r="D26" s="105"/>
      <c r="E26" s="105"/>
      <c r="F26" s="105"/>
      <c r="G26" s="105"/>
      <c r="H26" s="105"/>
      <c r="I26" s="105"/>
      <c r="J26" s="105"/>
      <c r="K26" s="105"/>
      <c r="L26" s="53"/>
      <c r="M26" s="53"/>
      <c r="N26" s="53"/>
      <c r="O26" s="53"/>
      <c r="P26" s="53"/>
      <c r="Q26" s="53"/>
      <c r="R26" s="53"/>
      <c r="S26" s="53"/>
      <c r="T26" s="53"/>
      <c r="U26" s="53"/>
      <c r="V26" s="106"/>
      <c r="W26" s="106"/>
      <c r="X26" s="106"/>
      <c r="Y26" s="106"/>
      <c r="Z26" s="106"/>
      <c r="AA26" s="106"/>
      <c r="AB26" s="106"/>
      <c r="AC26" s="106"/>
      <c r="AD26" s="106"/>
      <c r="AE26" s="106"/>
      <c r="AF26" s="106"/>
      <c r="AG26" s="53"/>
      <c r="AH26" s="53"/>
      <c r="AI26" s="53"/>
      <c r="AJ26" s="53"/>
      <c r="AK26" s="53"/>
      <c r="AL26" s="53"/>
      <c r="AM26" s="53"/>
      <c r="AN26" s="53"/>
      <c r="AO26" s="53"/>
      <c r="AP26" s="53"/>
      <c r="AQ26" s="16" t="s">
        <v>126</v>
      </c>
      <c r="AR26" s="14"/>
      <c r="AS26" s="14"/>
      <c r="AT26" s="14"/>
      <c r="AU26" s="14"/>
      <c r="AV26" s="14"/>
      <c r="AW26" s="14"/>
      <c r="AX26" s="14"/>
      <c r="AY26" s="15"/>
      <c r="AZ26" s="15"/>
    </row>
    <row r="27" spans="1:52" x14ac:dyDescent="0.15">
      <c r="A27" s="107"/>
      <c r="B27" s="105"/>
      <c r="C27" s="105"/>
      <c r="D27" s="105"/>
      <c r="E27" s="105"/>
      <c r="F27" s="105"/>
      <c r="G27" s="105"/>
      <c r="H27" s="105"/>
      <c r="I27" s="105"/>
      <c r="J27" s="105"/>
      <c r="K27" s="105"/>
      <c r="L27" s="53"/>
      <c r="M27" s="53"/>
      <c r="N27" s="53"/>
      <c r="O27" s="53"/>
      <c r="P27" s="53"/>
      <c r="Q27" s="53"/>
      <c r="R27" s="53"/>
      <c r="S27" s="53"/>
      <c r="T27" s="53"/>
      <c r="U27" s="53"/>
      <c r="V27" s="106"/>
      <c r="W27" s="106"/>
      <c r="X27" s="106"/>
      <c r="Y27" s="106"/>
      <c r="Z27" s="106"/>
      <c r="AA27" s="106"/>
      <c r="AB27" s="106"/>
      <c r="AC27" s="106"/>
      <c r="AD27" s="106"/>
      <c r="AE27" s="106"/>
      <c r="AF27" s="106"/>
      <c r="AG27" s="53"/>
      <c r="AH27" s="53"/>
      <c r="AI27" s="53"/>
      <c r="AJ27" s="53"/>
      <c r="AK27" s="53"/>
      <c r="AL27" s="53"/>
      <c r="AM27" s="53"/>
      <c r="AN27" s="53"/>
      <c r="AO27" s="53"/>
      <c r="AP27" s="53"/>
      <c r="AQ27" s="16"/>
      <c r="AR27" s="14"/>
      <c r="AS27" s="14"/>
      <c r="AT27" s="14"/>
      <c r="AU27" s="14"/>
      <c r="AV27" s="14"/>
      <c r="AW27" s="14"/>
      <c r="AX27" s="14"/>
      <c r="AY27" s="15"/>
      <c r="AZ27" s="15"/>
    </row>
    <row r="28" spans="1:52" x14ac:dyDescent="0.15">
      <c r="A28" s="107"/>
      <c r="B28" s="105"/>
      <c r="C28" s="105"/>
      <c r="D28" s="105"/>
      <c r="E28" s="105"/>
      <c r="F28" s="105"/>
      <c r="G28" s="105"/>
      <c r="H28" s="105"/>
      <c r="I28" s="105"/>
      <c r="J28" s="105"/>
      <c r="K28" s="105"/>
      <c r="L28" s="53"/>
      <c r="M28" s="53"/>
      <c r="N28" s="53"/>
      <c r="O28" s="53"/>
      <c r="P28" s="53"/>
      <c r="Q28" s="53"/>
      <c r="R28" s="53"/>
      <c r="S28" s="53"/>
      <c r="T28" s="53"/>
      <c r="U28" s="53"/>
      <c r="V28" s="106"/>
      <c r="W28" s="106"/>
      <c r="X28" s="106"/>
      <c r="Y28" s="106"/>
      <c r="Z28" s="106"/>
      <c r="AA28" s="106"/>
      <c r="AB28" s="106"/>
      <c r="AC28" s="106"/>
      <c r="AD28" s="106"/>
      <c r="AE28" s="106"/>
      <c r="AF28" s="106"/>
      <c r="AG28" s="53"/>
      <c r="AH28" s="53"/>
      <c r="AI28" s="53"/>
      <c r="AJ28" s="53"/>
      <c r="AK28" s="53"/>
      <c r="AL28" s="53"/>
      <c r="AM28" s="53"/>
      <c r="AN28" s="53"/>
      <c r="AO28" s="53"/>
      <c r="AP28" s="53"/>
      <c r="AQ28" s="16" t="s">
        <v>127</v>
      </c>
      <c r="AR28" s="14"/>
      <c r="AS28" s="14"/>
      <c r="AT28" s="14"/>
      <c r="AU28" s="14"/>
      <c r="AV28" s="14"/>
      <c r="AW28" s="14"/>
      <c r="AX28" s="14"/>
      <c r="AY28" s="15"/>
      <c r="AZ28" s="15"/>
    </row>
    <row r="29" spans="1:52" x14ac:dyDescent="0.15">
      <c r="A29" s="107"/>
      <c r="B29" s="105"/>
      <c r="C29" s="105"/>
      <c r="D29" s="105"/>
      <c r="E29" s="105"/>
      <c r="F29" s="105"/>
      <c r="G29" s="105"/>
      <c r="H29" s="105"/>
      <c r="I29" s="105"/>
      <c r="J29" s="105"/>
      <c r="K29" s="105"/>
      <c r="L29" s="53"/>
      <c r="M29" s="53"/>
      <c r="N29" s="53"/>
      <c r="O29" s="53"/>
      <c r="P29" s="53"/>
      <c r="Q29" s="53"/>
      <c r="R29" s="53"/>
      <c r="S29" s="53"/>
      <c r="T29" s="53"/>
      <c r="U29" s="53"/>
      <c r="V29" s="106"/>
      <c r="W29" s="106"/>
      <c r="X29" s="106"/>
      <c r="Y29" s="106"/>
      <c r="Z29" s="106"/>
      <c r="AA29" s="106"/>
      <c r="AB29" s="106"/>
      <c r="AC29" s="106"/>
      <c r="AD29" s="106"/>
      <c r="AE29" s="106"/>
      <c r="AF29" s="106"/>
      <c r="AG29" s="53"/>
      <c r="AH29" s="53"/>
      <c r="AI29" s="53"/>
      <c r="AJ29" s="53"/>
      <c r="AK29" s="53"/>
      <c r="AL29" s="53"/>
      <c r="AM29" s="53"/>
      <c r="AN29" s="53"/>
      <c r="AO29" s="53"/>
      <c r="AP29" s="53"/>
      <c r="AQ29" s="16" t="s">
        <v>128</v>
      </c>
      <c r="AR29" s="14"/>
      <c r="AS29" s="14"/>
      <c r="AT29" s="14"/>
      <c r="AU29" s="14"/>
      <c r="AV29" s="14"/>
      <c r="AW29" s="14"/>
      <c r="AX29" s="14"/>
      <c r="AY29" s="15"/>
      <c r="AZ29" s="15"/>
    </row>
    <row r="30" spans="1:52" x14ac:dyDescent="0.15">
      <c r="A30" s="107"/>
      <c r="B30" s="105"/>
      <c r="C30" s="105"/>
      <c r="D30" s="105"/>
      <c r="E30" s="105"/>
      <c r="F30" s="105"/>
      <c r="G30" s="105"/>
      <c r="H30" s="105"/>
      <c r="I30" s="105"/>
      <c r="J30" s="105"/>
      <c r="K30" s="105"/>
      <c r="L30" s="53"/>
      <c r="M30" s="53"/>
      <c r="N30" s="53"/>
      <c r="O30" s="53"/>
      <c r="P30" s="53"/>
      <c r="Q30" s="53"/>
      <c r="R30" s="53"/>
      <c r="S30" s="53"/>
      <c r="T30" s="53"/>
      <c r="U30" s="53"/>
      <c r="V30" s="106"/>
      <c r="W30" s="106"/>
      <c r="X30" s="106"/>
      <c r="Y30" s="106"/>
      <c r="Z30" s="106"/>
      <c r="AA30" s="106"/>
      <c r="AB30" s="106"/>
      <c r="AC30" s="106"/>
      <c r="AD30" s="106"/>
      <c r="AE30" s="106"/>
      <c r="AF30" s="106"/>
      <c r="AG30" s="53"/>
      <c r="AH30" s="53"/>
      <c r="AI30" s="53"/>
      <c r="AJ30" s="53"/>
      <c r="AK30" s="53"/>
      <c r="AL30" s="53"/>
      <c r="AM30" s="53"/>
      <c r="AN30" s="53"/>
      <c r="AO30" s="53"/>
      <c r="AP30" s="53"/>
      <c r="AQ30" s="16" t="s">
        <v>109</v>
      </c>
      <c r="AR30" s="14"/>
      <c r="AS30" s="14"/>
      <c r="AT30" s="14"/>
      <c r="AU30" s="14"/>
      <c r="AV30" s="14"/>
      <c r="AW30" s="14"/>
      <c r="AX30" s="14"/>
      <c r="AY30" s="15"/>
      <c r="AZ30" s="15"/>
    </row>
    <row r="31" spans="1:52" x14ac:dyDescent="0.15">
      <c r="A31" s="107"/>
      <c r="B31" s="105"/>
      <c r="C31" s="105"/>
      <c r="D31" s="105"/>
      <c r="E31" s="105"/>
      <c r="F31" s="105"/>
      <c r="G31" s="105"/>
      <c r="H31" s="105"/>
      <c r="I31" s="105"/>
      <c r="J31" s="105"/>
      <c r="K31" s="105"/>
      <c r="L31" s="53"/>
      <c r="M31" s="53"/>
      <c r="N31" s="53"/>
      <c r="O31" s="53"/>
      <c r="P31" s="53"/>
      <c r="Q31" s="53"/>
      <c r="R31" s="53"/>
      <c r="S31" s="53"/>
      <c r="T31" s="53"/>
      <c r="U31" s="53"/>
      <c r="V31" s="106"/>
      <c r="W31" s="106"/>
      <c r="X31" s="106"/>
      <c r="Y31" s="106"/>
      <c r="Z31" s="106"/>
      <c r="AA31" s="106"/>
      <c r="AB31" s="106"/>
      <c r="AC31" s="106"/>
      <c r="AD31" s="106"/>
      <c r="AE31" s="106"/>
      <c r="AF31" s="106"/>
      <c r="AG31" s="53"/>
      <c r="AH31" s="53"/>
      <c r="AI31" s="53"/>
      <c r="AJ31" s="53"/>
      <c r="AK31" s="53"/>
      <c r="AL31" s="53"/>
      <c r="AM31" s="53"/>
      <c r="AN31" s="53"/>
      <c r="AO31" s="53"/>
      <c r="AP31" s="53"/>
      <c r="AQ31" s="16"/>
      <c r="AR31" s="14"/>
      <c r="AS31" s="14"/>
      <c r="AT31" s="14"/>
      <c r="AU31" s="14"/>
      <c r="AV31" s="14"/>
      <c r="AW31" s="14"/>
      <c r="AX31" s="14"/>
      <c r="AY31" s="15"/>
      <c r="AZ31" s="15"/>
    </row>
    <row r="32" spans="1:52" x14ac:dyDescent="0.15">
      <c r="A32" s="107"/>
      <c r="B32" s="105"/>
      <c r="C32" s="105"/>
      <c r="D32" s="105"/>
      <c r="E32" s="105"/>
      <c r="F32" s="105"/>
      <c r="G32" s="105"/>
      <c r="H32" s="105"/>
      <c r="I32" s="105"/>
      <c r="J32" s="105"/>
      <c r="K32" s="105"/>
      <c r="L32" s="53"/>
      <c r="M32" s="53"/>
      <c r="N32" s="53"/>
      <c r="O32" s="53"/>
      <c r="P32" s="53"/>
      <c r="Q32" s="53"/>
      <c r="R32" s="53"/>
      <c r="S32" s="53"/>
      <c r="T32" s="53"/>
      <c r="U32" s="53"/>
      <c r="V32" s="106"/>
      <c r="W32" s="106"/>
      <c r="X32" s="106"/>
      <c r="Y32" s="106"/>
      <c r="Z32" s="106"/>
      <c r="AA32" s="106"/>
      <c r="AB32" s="106"/>
      <c r="AC32" s="106"/>
      <c r="AD32" s="106"/>
      <c r="AE32" s="106"/>
      <c r="AF32" s="106"/>
      <c r="AG32" s="53"/>
      <c r="AH32" s="53"/>
      <c r="AI32" s="53"/>
      <c r="AJ32" s="53"/>
      <c r="AK32" s="53"/>
      <c r="AL32" s="53"/>
      <c r="AM32" s="53"/>
      <c r="AN32" s="53"/>
      <c r="AO32" s="53"/>
      <c r="AP32" s="53"/>
      <c r="AQ32" s="16"/>
      <c r="AR32" s="14"/>
      <c r="AS32" s="14"/>
      <c r="AT32" s="14"/>
      <c r="AU32" s="14"/>
      <c r="AV32" s="14"/>
      <c r="AW32" s="14"/>
      <c r="AX32" s="14"/>
      <c r="AY32" s="15"/>
      <c r="AZ32" s="15"/>
    </row>
    <row r="33" spans="1:52" x14ac:dyDescent="0.15">
      <c r="A33" s="107"/>
      <c r="B33" s="105"/>
      <c r="C33" s="105"/>
      <c r="D33" s="105"/>
      <c r="E33" s="105"/>
      <c r="F33" s="105"/>
      <c r="G33" s="105"/>
      <c r="H33" s="105"/>
      <c r="I33" s="105"/>
      <c r="J33" s="105"/>
      <c r="K33" s="105"/>
      <c r="L33" s="53"/>
      <c r="M33" s="53"/>
      <c r="N33" s="53"/>
      <c r="O33" s="53"/>
      <c r="P33" s="53"/>
      <c r="Q33" s="53"/>
      <c r="R33" s="53"/>
      <c r="S33" s="53"/>
      <c r="T33" s="53"/>
      <c r="U33" s="53"/>
      <c r="V33" s="106"/>
      <c r="W33" s="106"/>
      <c r="X33" s="106"/>
      <c r="Y33" s="106"/>
      <c r="Z33" s="106"/>
      <c r="AA33" s="106"/>
      <c r="AB33" s="106"/>
      <c r="AC33" s="106"/>
      <c r="AD33" s="106"/>
      <c r="AE33" s="106"/>
      <c r="AF33" s="106"/>
      <c r="AG33" s="53"/>
      <c r="AH33" s="53"/>
      <c r="AI33" s="53"/>
      <c r="AJ33" s="53"/>
      <c r="AK33" s="53"/>
      <c r="AL33" s="53"/>
      <c r="AM33" s="53"/>
      <c r="AN33" s="53"/>
      <c r="AO33" s="53"/>
      <c r="AP33" s="53"/>
      <c r="AQ33" s="171" t="s">
        <v>351</v>
      </c>
      <c r="AR33" s="172"/>
      <c r="AS33" s="14"/>
      <c r="AT33" s="14"/>
      <c r="AU33" s="14"/>
      <c r="AV33" s="14"/>
      <c r="AW33" s="14"/>
      <c r="AX33" s="14"/>
      <c r="AY33" s="15"/>
      <c r="AZ33" s="15"/>
    </row>
    <row r="34" spans="1:52" x14ac:dyDescent="0.15">
      <c r="A34" s="107"/>
      <c r="B34" s="105"/>
      <c r="C34" s="105"/>
      <c r="D34" s="105"/>
      <c r="E34" s="105"/>
      <c r="F34" s="105"/>
      <c r="G34" s="105"/>
      <c r="H34" s="105"/>
      <c r="I34" s="105"/>
      <c r="J34" s="105"/>
      <c r="K34" s="105"/>
      <c r="L34" s="53"/>
      <c r="M34" s="53"/>
      <c r="N34" s="53"/>
      <c r="O34" s="53"/>
      <c r="P34" s="53"/>
      <c r="Q34" s="53"/>
      <c r="R34" s="53"/>
      <c r="S34" s="53"/>
      <c r="T34" s="53"/>
      <c r="U34" s="53"/>
      <c r="V34" s="106"/>
      <c r="W34" s="106"/>
      <c r="X34" s="106"/>
      <c r="Y34" s="106"/>
      <c r="Z34" s="106"/>
      <c r="AA34" s="106"/>
      <c r="AB34" s="106"/>
      <c r="AC34" s="106"/>
      <c r="AD34" s="106"/>
      <c r="AE34" s="106"/>
      <c r="AF34" s="106"/>
      <c r="AG34" s="53"/>
      <c r="AH34" s="53"/>
      <c r="AI34" s="53"/>
      <c r="AJ34" s="53"/>
      <c r="AK34" s="53"/>
      <c r="AL34" s="53"/>
      <c r="AM34" s="53"/>
      <c r="AN34" s="53"/>
      <c r="AO34" s="53"/>
      <c r="AP34" s="53"/>
      <c r="AQ34" s="171" t="s">
        <v>352</v>
      </c>
      <c r="AR34" s="172"/>
      <c r="AS34" s="14"/>
      <c r="AT34" s="14"/>
      <c r="AU34" s="14"/>
      <c r="AV34" s="14"/>
      <c r="AW34" s="14"/>
      <c r="AX34" s="14"/>
      <c r="AY34" s="15"/>
      <c r="AZ34" s="15"/>
    </row>
    <row r="35" spans="1:52" x14ac:dyDescent="0.15">
      <c r="A35" s="107"/>
      <c r="B35" s="105"/>
      <c r="C35" s="105"/>
      <c r="D35" s="105"/>
      <c r="E35" s="105"/>
      <c r="F35" s="105"/>
      <c r="G35" s="105"/>
      <c r="H35" s="105"/>
      <c r="I35" s="105"/>
      <c r="J35" s="105"/>
      <c r="K35" s="105"/>
      <c r="L35" s="53"/>
      <c r="M35" s="53"/>
      <c r="N35" s="53"/>
      <c r="O35" s="53"/>
      <c r="P35" s="53"/>
      <c r="Q35" s="53"/>
      <c r="R35" s="53"/>
      <c r="S35" s="53"/>
      <c r="T35" s="53"/>
      <c r="U35" s="53"/>
      <c r="V35" s="106"/>
      <c r="W35" s="106"/>
      <c r="X35" s="106"/>
      <c r="Y35" s="106"/>
      <c r="Z35" s="106"/>
      <c r="AA35" s="106"/>
      <c r="AB35" s="106"/>
      <c r="AC35" s="106"/>
      <c r="AD35" s="106"/>
      <c r="AE35" s="106"/>
      <c r="AF35" s="106"/>
      <c r="AG35" s="53"/>
      <c r="AH35" s="53"/>
      <c r="AI35" s="53"/>
      <c r="AJ35" s="53"/>
      <c r="AK35" s="53"/>
      <c r="AL35" s="53"/>
      <c r="AM35" s="53"/>
      <c r="AN35" s="53"/>
      <c r="AO35" s="53"/>
      <c r="AP35" s="53"/>
      <c r="AQ35" s="171"/>
      <c r="AR35" s="172" t="s">
        <v>354</v>
      </c>
      <c r="AS35" s="14"/>
      <c r="AT35" s="14"/>
      <c r="AU35" s="14"/>
      <c r="AV35" s="14"/>
      <c r="AW35" s="14"/>
      <c r="AX35" s="14"/>
      <c r="AY35" s="15"/>
      <c r="AZ35" s="15"/>
    </row>
    <row r="36" spans="1:52" x14ac:dyDescent="0.15">
      <c r="A36" s="107"/>
      <c r="B36" s="105"/>
      <c r="C36" s="105"/>
      <c r="D36" s="105"/>
      <c r="E36" s="105"/>
      <c r="F36" s="105"/>
      <c r="G36" s="105"/>
      <c r="H36" s="105"/>
      <c r="I36" s="105"/>
      <c r="J36" s="105"/>
      <c r="K36" s="105"/>
      <c r="L36" s="53"/>
      <c r="M36" s="53"/>
      <c r="N36" s="53"/>
      <c r="O36" s="53"/>
      <c r="P36" s="53"/>
      <c r="Q36" s="53"/>
      <c r="R36" s="53"/>
      <c r="S36" s="53"/>
      <c r="T36" s="53"/>
      <c r="U36" s="53"/>
      <c r="V36" s="106"/>
      <c r="W36" s="106"/>
      <c r="X36" s="106"/>
      <c r="Y36" s="106"/>
      <c r="Z36" s="106"/>
      <c r="AA36" s="106"/>
      <c r="AB36" s="106"/>
      <c r="AC36" s="106"/>
      <c r="AD36" s="106"/>
      <c r="AE36" s="106"/>
      <c r="AF36" s="106"/>
      <c r="AG36" s="53"/>
      <c r="AH36" s="53"/>
      <c r="AI36" s="53"/>
      <c r="AJ36" s="53"/>
      <c r="AK36" s="53"/>
      <c r="AL36" s="53"/>
      <c r="AM36" s="53"/>
      <c r="AN36" s="53"/>
      <c r="AO36" s="53"/>
      <c r="AP36" s="53"/>
      <c r="AQ36" s="171" t="s">
        <v>353</v>
      </c>
      <c r="AR36" s="172"/>
      <c r="AS36" s="14"/>
      <c r="AT36" s="14"/>
      <c r="AU36" s="14"/>
      <c r="AV36" s="14"/>
      <c r="AW36" s="14"/>
      <c r="AX36" s="14"/>
      <c r="AY36" s="15"/>
      <c r="AZ36" s="15"/>
    </row>
    <row r="37" spans="1:52" x14ac:dyDescent="0.15">
      <c r="A37" s="107"/>
      <c r="B37" s="105"/>
      <c r="C37" s="105"/>
      <c r="D37" s="105"/>
      <c r="E37" s="105"/>
      <c r="F37" s="105"/>
      <c r="G37" s="105"/>
      <c r="H37" s="105"/>
      <c r="I37" s="105"/>
      <c r="J37" s="105"/>
      <c r="K37" s="105"/>
      <c r="L37" s="53"/>
      <c r="M37" s="53"/>
      <c r="N37" s="53"/>
      <c r="O37" s="53"/>
      <c r="P37" s="53"/>
      <c r="Q37" s="53"/>
      <c r="R37" s="53"/>
      <c r="S37" s="53"/>
      <c r="T37" s="53"/>
      <c r="U37" s="53"/>
      <c r="V37" s="383"/>
      <c r="W37" s="106"/>
      <c r="X37" s="106"/>
      <c r="Y37" s="106"/>
      <c r="Z37" s="106"/>
      <c r="AA37" s="106"/>
      <c r="AB37" s="106"/>
      <c r="AC37" s="106"/>
      <c r="AD37" s="106"/>
      <c r="AE37" s="106"/>
      <c r="AF37" s="106"/>
      <c r="AG37" s="53"/>
      <c r="AH37" s="53"/>
      <c r="AI37" s="53"/>
      <c r="AJ37" s="53"/>
      <c r="AK37" s="53"/>
      <c r="AL37" s="53"/>
      <c r="AM37" s="53"/>
      <c r="AN37" s="53"/>
      <c r="AO37" s="53"/>
      <c r="AP37" s="53"/>
      <c r="AQ37" s="171"/>
      <c r="AR37" s="172" t="s">
        <v>355</v>
      </c>
      <c r="AS37" s="14"/>
      <c r="AT37" s="14"/>
      <c r="AU37" s="14"/>
      <c r="AV37" s="14"/>
      <c r="AW37" s="14"/>
      <c r="AX37" s="14"/>
      <c r="AY37" s="15"/>
      <c r="AZ37" s="15"/>
    </row>
    <row r="38" spans="1:52" x14ac:dyDescent="0.15">
      <c r="A38" s="107"/>
      <c r="B38" s="105"/>
      <c r="C38" s="105"/>
      <c r="D38" s="105"/>
      <c r="E38" s="105"/>
      <c r="F38" s="105"/>
      <c r="G38" s="105"/>
      <c r="H38" s="105"/>
      <c r="I38" s="105"/>
      <c r="J38" s="105"/>
      <c r="K38" s="105"/>
      <c r="L38" s="53"/>
      <c r="M38" s="53"/>
      <c r="N38" s="53"/>
      <c r="O38" s="53"/>
      <c r="P38" s="53"/>
      <c r="Q38" s="53"/>
      <c r="R38" s="53"/>
      <c r="S38" s="53"/>
      <c r="T38" s="53"/>
      <c r="U38" s="53"/>
      <c r="V38" s="106"/>
      <c r="W38" s="106"/>
      <c r="X38" s="106"/>
      <c r="Y38" s="106"/>
      <c r="Z38" s="106"/>
      <c r="AA38" s="106"/>
      <c r="AB38" s="106"/>
      <c r="AC38" s="106"/>
      <c r="AD38" s="106"/>
      <c r="AE38" s="106"/>
      <c r="AF38" s="106"/>
      <c r="AG38" s="53"/>
      <c r="AH38" s="53"/>
      <c r="AI38" s="53"/>
      <c r="AJ38" s="53"/>
      <c r="AK38" s="53"/>
      <c r="AL38" s="53"/>
      <c r="AM38" s="53"/>
      <c r="AN38" s="53"/>
      <c r="AO38" s="53"/>
      <c r="AP38" s="53"/>
      <c r="AQ38" s="108"/>
      <c r="AR38" s="27"/>
      <c r="AS38" s="27"/>
      <c r="AT38" s="27"/>
      <c r="AU38" s="27"/>
      <c r="AV38" s="27"/>
      <c r="AW38" s="27"/>
      <c r="AX38" s="27"/>
      <c r="AY38" s="109"/>
      <c r="AZ38" s="109"/>
    </row>
    <row r="39" spans="1:52" x14ac:dyDescent="0.15">
      <c r="A39" s="107"/>
      <c r="B39" s="105"/>
      <c r="C39" s="105"/>
      <c r="D39" s="105"/>
      <c r="E39" s="105"/>
      <c r="F39" s="105"/>
      <c r="G39" s="105"/>
      <c r="H39" s="105"/>
      <c r="I39" s="105"/>
      <c r="J39" s="105"/>
      <c r="K39" s="105"/>
      <c r="L39" s="53"/>
      <c r="M39" s="53"/>
      <c r="N39" s="53"/>
      <c r="O39" s="53"/>
      <c r="P39" s="53"/>
      <c r="Q39" s="53"/>
      <c r="R39" s="53"/>
      <c r="S39" s="53"/>
      <c r="T39" s="53"/>
      <c r="U39" s="53"/>
      <c r="V39" s="106"/>
      <c r="W39" s="106"/>
      <c r="X39" s="106"/>
      <c r="Y39" s="106"/>
      <c r="Z39" s="106"/>
      <c r="AA39" s="106"/>
      <c r="AB39" s="106"/>
      <c r="AC39" s="106"/>
      <c r="AD39" s="106"/>
      <c r="AE39" s="106"/>
      <c r="AF39" s="106"/>
      <c r="AG39" s="53"/>
      <c r="AH39" s="53"/>
      <c r="AI39" s="53"/>
      <c r="AJ39" s="53"/>
      <c r="AK39" s="53"/>
      <c r="AL39" s="53"/>
      <c r="AM39" s="53"/>
      <c r="AN39" s="53"/>
      <c r="AO39" s="53"/>
      <c r="AP39" s="53"/>
      <c r="AQ39" s="110"/>
      <c r="AR39" s="111"/>
      <c r="AS39" s="111"/>
      <c r="AT39" s="111"/>
      <c r="AU39" s="111"/>
      <c r="AV39" s="111"/>
      <c r="AW39" s="111"/>
      <c r="AX39" s="111"/>
      <c r="AY39" s="112"/>
      <c r="AZ39" s="109"/>
    </row>
    <row r="40" spans="1:52" x14ac:dyDescent="0.15">
      <c r="A40" s="113"/>
      <c r="B40" s="114"/>
      <c r="C40" s="114"/>
      <c r="D40" s="114"/>
      <c r="E40" s="114"/>
      <c r="F40" s="114"/>
      <c r="G40" s="114"/>
      <c r="H40" s="114"/>
      <c r="I40" s="114"/>
      <c r="J40" s="114"/>
      <c r="K40" s="114"/>
      <c r="L40" s="115"/>
      <c r="M40" s="115"/>
      <c r="N40" s="115"/>
      <c r="O40" s="115"/>
      <c r="P40" s="115"/>
      <c r="Q40" s="115"/>
      <c r="R40" s="115"/>
      <c r="S40" s="115"/>
      <c r="T40" s="115"/>
      <c r="U40" s="115"/>
      <c r="V40" s="116"/>
      <c r="W40" s="116"/>
      <c r="X40" s="116"/>
      <c r="Y40" s="116"/>
      <c r="Z40" s="116"/>
      <c r="AA40" s="116"/>
      <c r="AB40" s="116"/>
      <c r="AC40" s="116"/>
      <c r="AD40" s="116"/>
      <c r="AE40" s="116"/>
      <c r="AF40" s="116"/>
      <c r="AG40" s="115"/>
      <c r="AH40" s="115"/>
      <c r="AI40" s="115"/>
      <c r="AJ40" s="115"/>
      <c r="AK40" s="115"/>
      <c r="AL40" s="115"/>
      <c r="AM40" s="115"/>
      <c r="AN40" s="115"/>
      <c r="AO40" s="115"/>
      <c r="AP40" s="115"/>
      <c r="AQ40" s="111"/>
      <c r="AR40" s="111"/>
      <c r="AS40" s="111"/>
      <c r="AT40" s="111"/>
      <c r="AU40" s="111"/>
      <c r="AV40" s="111"/>
      <c r="AW40" s="111"/>
      <c r="AX40" s="111"/>
      <c r="AY40" s="111"/>
      <c r="AZ40" s="112"/>
    </row>
  </sheetData>
  <mergeCells count="10">
    <mergeCell ref="AG2:AZ2"/>
    <mergeCell ref="AG3:AZ3"/>
    <mergeCell ref="AG1:AZ1"/>
    <mergeCell ref="A1:J3"/>
    <mergeCell ref="K1:U1"/>
    <mergeCell ref="K2:U2"/>
    <mergeCell ref="V2:AF2"/>
    <mergeCell ref="K3:U3"/>
    <mergeCell ref="V3:AF3"/>
    <mergeCell ref="V1:AF1"/>
  </mergeCells>
  <phoneticPr fontId="2"/>
  <pageMargins left="0.59055118110236227" right="0.59055118110236227" top="0.78740157480314965" bottom="0.59055118110236227" header="0.51181102362204722" footer="0.31496062992125984"/>
  <pageSetup paperSize="9" fitToHeight="0" orientation="landscape" useFirstPageNumber="1" r:id="rId1"/>
  <headerFooter alignWithMargins="0">
    <oddFooter>&amp;C画面レイアウト－&amp;P</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3"/>
  <dimension ref="A1:BG35"/>
  <sheetViews>
    <sheetView view="pageBreakPreview" zoomScaleNormal="100" zoomScaleSheetLayoutView="100" workbookViewId="0">
      <pane ySplit="5" topLeftCell="A6" activePane="bottomLeft" state="frozenSplit"/>
      <selection activeCell="A5" sqref="A5:B5"/>
      <selection pane="bottomLeft" activeCell="A6" sqref="A6:B6"/>
    </sheetView>
  </sheetViews>
  <sheetFormatPr defaultColWidth="2.625" defaultRowHeight="13.5" x14ac:dyDescent="0.15"/>
  <cols>
    <col min="1" max="1" width="2.625" style="8" customWidth="1"/>
    <col min="2" max="34" width="2.625" style="8"/>
    <col min="35" max="35" width="2.625" style="8" customWidth="1"/>
    <col min="36" max="52" width="2.625" style="8"/>
    <col min="53" max="53" width="3.75" style="38" bestFit="1" customWidth="1"/>
    <col min="54" max="54" width="7.75" style="38" bestFit="1" customWidth="1"/>
    <col min="55" max="55" width="5.75" style="38" bestFit="1" customWidth="1"/>
    <col min="56" max="57" width="11.875" style="38" bestFit="1" customWidth="1"/>
    <col min="58" max="58" width="14.125" style="38" bestFit="1" customWidth="1"/>
    <col min="59" max="59" width="13.125" style="38" customWidth="1"/>
    <col min="60" max="16384" width="2.625" style="8"/>
  </cols>
  <sheetData>
    <row r="1" spans="1:59" ht="14.25" customHeight="1" x14ac:dyDescent="0.15">
      <c r="A1" s="199" t="s">
        <v>29</v>
      </c>
      <c r="B1" s="199"/>
      <c r="C1" s="199"/>
      <c r="D1" s="199"/>
      <c r="E1" s="199"/>
      <c r="F1" s="199"/>
      <c r="G1" s="199"/>
      <c r="H1" s="199"/>
      <c r="I1" s="199"/>
      <c r="J1" s="199"/>
      <c r="K1" s="182" t="s">
        <v>22</v>
      </c>
      <c r="L1" s="183"/>
      <c r="M1" s="183"/>
      <c r="N1" s="183"/>
      <c r="O1" s="183"/>
      <c r="P1" s="183"/>
      <c r="Q1" s="183"/>
      <c r="R1" s="183"/>
      <c r="S1" s="183"/>
      <c r="T1" s="183"/>
      <c r="U1" s="184"/>
      <c r="V1" s="182" t="s">
        <v>23</v>
      </c>
      <c r="W1" s="183"/>
      <c r="X1" s="183"/>
      <c r="Y1" s="183"/>
      <c r="Z1" s="183"/>
      <c r="AA1" s="183"/>
      <c r="AB1" s="183"/>
      <c r="AC1" s="183"/>
      <c r="AD1" s="183"/>
      <c r="AE1" s="183"/>
      <c r="AF1" s="184"/>
      <c r="AG1" s="340" t="s">
        <v>24</v>
      </c>
      <c r="AH1" s="341"/>
      <c r="AI1" s="341"/>
      <c r="AJ1" s="341"/>
      <c r="AK1" s="341"/>
      <c r="AL1" s="341"/>
      <c r="AM1" s="341"/>
      <c r="AN1" s="341"/>
      <c r="AO1" s="341"/>
      <c r="AP1" s="341"/>
      <c r="AQ1" s="341"/>
      <c r="AR1" s="341"/>
      <c r="AS1" s="341"/>
      <c r="AT1" s="341"/>
      <c r="AU1" s="341"/>
      <c r="AV1" s="341"/>
      <c r="AW1" s="341"/>
      <c r="AX1" s="341"/>
      <c r="AY1" s="341"/>
      <c r="AZ1" s="342"/>
      <c r="BA1" s="8"/>
      <c r="BB1" s="8"/>
      <c r="BC1" s="8"/>
      <c r="BD1" s="21" t="s">
        <v>63</v>
      </c>
      <c r="BE1" s="21" t="s">
        <v>64</v>
      </c>
      <c r="BF1" s="21" t="s">
        <v>65</v>
      </c>
      <c r="BG1" s="21" t="s">
        <v>66</v>
      </c>
    </row>
    <row r="2" spans="1:59" ht="14.25" customHeight="1" x14ac:dyDescent="0.15">
      <c r="A2" s="199"/>
      <c r="B2" s="199"/>
      <c r="C2" s="199"/>
      <c r="D2" s="199"/>
      <c r="E2" s="199"/>
      <c r="F2" s="199"/>
      <c r="G2" s="199"/>
      <c r="H2" s="199"/>
      <c r="I2" s="199"/>
      <c r="J2" s="199"/>
      <c r="K2" s="214" t="str">
        <f>表紙!K2</f>
        <v>BQ</v>
      </c>
      <c r="L2" s="215"/>
      <c r="M2" s="215"/>
      <c r="N2" s="215"/>
      <c r="O2" s="215"/>
      <c r="P2" s="215"/>
      <c r="Q2" s="215"/>
      <c r="R2" s="215"/>
      <c r="S2" s="215"/>
      <c r="T2" s="215"/>
      <c r="U2" s="215"/>
      <c r="V2" s="214" t="str">
        <f>表紙!V2</f>
        <v>受講管理システム</v>
      </c>
      <c r="W2" s="215"/>
      <c r="X2" s="215"/>
      <c r="Y2" s="215"/>
      <c r="Z2" s="215"/>
      <c r="AA2" s="215"/>
      <c r="AB2" s="215"/>
      <c r="AC2" s="215"/>
      <c r="AD2" s="215"/>
      <c r="AE2" s="215"/>
      <c r="AF2" s="215"/>
      <c r="AG2" s="343" t="str">
        <f>表紙!AG2</f>
        <v>BJ990100E</v>
      </c>
      <c r="AH2" s="341"/>
      <c r="AI2" s="341"/>
      <c r="AJ2" s="341"/>
      <c r="AK2" s="341"/>
      <c r="AL2" s="341"/>
      <c r="AM2" s="341"/>
      <c r="AN2" s="341"/>
      <c r="AO2" s="341"/>
      <c r="AP2" s="341"/>
      <c r="AQ2" s="341"/>
      <c r="AR2" s="341"/>
      <c r="AS2" s="341"/>
      <c r="AT2" s="341"/>
      <c r="AU2" s="341"/>
      <c r="AV2" s="341"/>
      <c r="AW2" s="341"/>
      <c r="AX2" s="341"/>
      <c r="AY2" s="341"/>
      <c r="AZ2" s="342"/>
      <c r="BA2" s="8"/>
      <c r="BB2" s="8"/>
      <c r="BC2" s="8"/>
      <c r="BD2" s="327">
        <f xml:space="preserve"> COUNTA(BB6:BB65330)</f>
        <v>0</v>
      </c>
      <c r="BE2" s="327">
        <f xml:space="preserve"> COUNTIF(BF6:BF65330,"○")</f>
        <v>0</v>
      </c>
      <c r="BF2" s="327">
        <f xml:space="preserve"> COUNTIF(BF6:BF65330,"×*")</f>
        <v>0</v>
      </c>
      <c r="BG2" s="327">
        <f xml:space="preserve"> BD2 - COUNTIF(BG6:BG65330,"&gt;=1900/1/1")</f>
        <v>0</v>
      </c>
    </row>
    <row r="3" spans="1:59" ht="14.25" customHeight="1" x14ac:dyDescent="0.15">
      <c r="A3" s="199"/>
      <c r="B3" s="199"/>
      <c r="C3" s="199"/>
      <c r="D3" s="199"/>
      <c r="E3" s="199"/>
      <c r="F3" s="199"/>
      <c r="G3" s="199"/>
      <c r="H3" s="199"/>
      <c r="I3" s="199"/>
      <c r="J3" s="199"/>
      <c r="K3" s="215" t="str">
        <f>表紙!K3</f>
        <v>BJ</v>
      </c>
      <c r="L3" s="215"/>
      <c r="M3" s="215"/>
      <c r="N3" s="215"/>
      <c r="O3" s="215"/>
      <c r="P3" s="215"/>
      <c r="Q3" s="215"/>
      <c r="R3" s="215"/>
      <c r="S3" s="215"/>
      <c r="T3" s="215"/>
      <c r="U3" s="215"/>
      <c r="V3" s="214" t="str">
        <f>表紙!V3</f>
        <v>マスタメンテナンス</v>
      </c>
      <c r="W3" s="215"/>
      <c r="X3" s="215"/>
      <c r="Y3" s="215"/>
      <c r="Z3" s="215"/>
      <c r="AA3" s="215"/>
      <c r="AB3" s="215"/>
      <c r="AC3" s="215"/>
      <c r="AD3" s="215"/>
      <c r="AE3" s="215"/>
      <c r="AF3" s="215"/>
      <c r="AG3" s="343" t="str">
        <f>表紙!AG3</f>
        <v>ログインユーザマスタ管理</v>
      </c>
      <c r="AH3" s="341"/>
      <c r="AI3" s="341"/>
      <c r="AJ3" s="341"/>
      <c r="AK3" s="341"/>
      <c r="AL3" s="341"/>
      <c r="AM3" s="341"/>
      <c r="AN3" s="341"/>
      <c r="AO3" s="341"/>
      <c r="AP3" s="341"/>
      <c r="AQ3" s="341"/>
      <c r="AR3" s="341"/>
      <c r="AS3" s="341"/>
      <c r="AT3" s="341"/>
      <c r="AU3" s="341"/>
      <c r="AV3" s="341"/>
      <c r="AW3" s="341"/>
      <c r="AX3" s="341"/>
      <c r="AY3" s="341"/>
      <c r="AZ3" s="342"/>
      <c r="BA3" s="8"/>
      <c r="BB3" s="8"/>
      <c r="BC3" s="8"/>
      <c r="BD3" s="328"/>
      <c r="BE3" s="328"/>
      <c r="BF3" s="328"/>
      <c r="BG3" s="328"/>
    </row>
    <row r="4" spans="1:59" ht="6" customHeight="1" x14ac:dyDescent="0.15">
      <c r="A4" s="86"/>
      <c r="B4" s="87"/>
      <c r="C4" s="87"/>
      <c r="D4" s="87"/>
      <c r="E4" s="87"/>
      <c r="F4" s="87"/>
      <c r="G4" s="87"/>
      <c r="H4" s="87"/>
      <c r="I4" s="87"/>
      <c r="J4" s="87"/>
      <c r="K4" s="87"/>
      <c r="L4" s="88"/>
      <c r="M4" s="88"/>
      <c r="N4" s="88"/>
      <c r="O4" s="88"/>
      <c r="P4" s="89"/>
      <c r="Q4" s="89"/>
      <c r="R4" s="89"/>
      <c r="S4" s="89"/>
      <c r="T4" s="89"/>
      <c r="U4" s="89"/>
      <c r="V4" s="89"/>
      <c r="W4" s="89"/>
      <c r="X4" s="89"/>
      <c r="Y4" s="89"/>
      <c r="Z4" s="89"/>
      <c r="AA4" s="88"/>
      <c r="AB4" s="88"/>
      <c r="AC4" s="88"/>
      <c r="AD4" s="88"/>
      <c r="AE4" s="88"/>
      <c r="AF4" s="88"/>
      <c r="AG4" s="88"/>
      <c r="AH4" s="88"/>
      <c r="AI4" s="88"/>
      <c r="AJ4" s="88"/>
      <c r="AK4" s="88"/>
      <c r="AL4" s="88"/>
      <c r="AM4" s="88"/>
      <c r="AN4" s="88"/>
      <c r="AO4" s="88"/>
      <c r="AP4" s="88"/>
      <c r="AQ4" s="88"/>
      <c r="AR4" s="88"/>
      <c r="AS4" s="90"/>
      <c r="AT4" s="27"/>
      <c r="AU4" s="27"/>
      <c r="AV4" s="27"/>
      <c r="AW4" s="27"/>
      <c r="AZ4" s="91"/>
      <c r="BA4" s="12"/>
      <c r="BB4" s="12"/>
      <c r="BC4" s="12"/>
      <c r="BD4" s="12"/>
      <c r="BE4" s="12"/>
      <c r="BF4" s="12"/>
      <c r="BG4" s="12"/>
    </row>
    <row r="5" spans="1:59" s="56" customFormat="1" ht="14.25" customHeight="1" x14ac:dyDescent="0.15">
      <c r="A5" s="54" t="s">
        <v>9</v>
      </c>
      <c r="B5" s="92"/>
      <c r="C5" s="54" t="s">
        <v>25</v>
      </c>
      <c r="D5" s="93"/>
      <c r="E5" s="93"/>
      <c r="F5" s="93"/>
      <c r="G5" s="93"/>
      <c r="H5" s="93"/>
      <c r="I5" s="93"/>
      <c r="J5" s="93"/>
      <c r="K5" s="93"/>
      <c r="L5" s="93"/>
      <c r="M5" s="54" t="s">
        <v>26</v>
      </c>
      <c r="N5" s="93"/>
      <c r="O5" s="93"/>
      <c r="P5" s="93"/>
      <c r="Q5" s="54" t="s">
        <v>10</v>
      </c>
      <c r="R5" s="92"/>
      <c r="S5" s="54" t="s">
        <v>54</v>
      </c>
      <c r="T5" s="92"/>
      <c r="U5" s="54" t="s">
        <v>27</v>
      </c>
      <c r="V5" s="92"/>
      <c r="W5" s="93" t="s">
        <v>12</v>
      </c>
      <c r="X5" s="92"/>
      <c r="Y5" s="54"/>
      <c r="Z5" s="93"/>
      <c r="AA5" s="93"/>
      <c r="AB5" s="93"/>
      <c r="AC5" s="92"/>
      <c r="AD5" s="93" t="s">
        <v>0</v>
      </c>
      <c r="AE5" s="92"/>
      <c r="AF5" s="54"/>
      <c r="AG5" s="93"/>
      <c r="AH5" s="93"/>
      <c r="AI5" s="93"/>
      <c r="AJ5" s="92"/>
      <c r="AK5" s="54" t="s">
        <v>11</v>
      </c>
      <c r="AL5" s="93"/>
      <c r="AM5" s="93"/>
      <c r="AN5" s="93"/>
      <c r="AO5" s="94"/>
      <c r="AP5" s="94"/>
      <c r="AQ5" s="94"/>
      <c r="AR5" s="94"/>
      <c r="AS5" s="94"/>
      <c r="AT5" s="94"/>
      <c r="AU5" s="94"/>
      <c r="AV5" s="94"/>
      <c r="AW5" s="94"/>
      <c r="AX5" s="94"/>
      <c r="AY5" s="94"/>
      <c r="AZ5" s="95"/>
      <c r="BA5" s="28" t="s">
        <v>31</v>
      </c>
      <c r="BB5" s="28" t="s">
        <v>67</v>
      </c>
      <c r="BC5" s="28" t="s">
        <v>32</v>
      </c>
      <c r="BD5" s="28" t="s">
        <v>68</v>
      </c>
      <c r="BE5" s="28" t="s">
        <v>69</v>
      </c>
      <c r="BF5" s="28" t="s">
        <v>70</v>
      </c>
      <c r="BG5" s="28" t="s">
        <v>71</v>
      </c>
    </row>
    <row r="6" spans="1:59" s="56" customFormat="1" ht="36" customHeight="1" x14ac:dyDescent="0.15">
      <c r="A6" s="309">
        <f>ROW()-5</f>
        <v>1</v>
      </c>
      <c r="B6" s="310"/>
      <c r="C6" s="311" t="str">
        <f>AG3&amp;"画面"</f>
        <v>ログインユーザマスタ管理画面</v>
      </c>
      <c r="D6" s="312"/>
      <c r="E6" s="312"/>
      <c r="F6" s="312"/>
      <c r="G6" s="312"/>
      <c r="H6" s="312"/>
      <c r="I6" s="312"/>
      <c r="J6" s="312"/>
      <c r="K6" s="312"/>
      <c r="L6" s="313"/>
      <c r="M6" s="314"/>
      <c r="N6" s="315"/>
      <c r="O6" s="315"/>
      <c r="P6" s="316"/>
      <c r="Q6" s="314"/>
      <c r="R6" s="316"/>
      <c r="S6" s="332"/>
      <c r="T6" s="333"/>
      <c r="U6" s="314" t="str">
        <f>IF(OR(M6="ラジオボタン",M6="ボタン",M6="スプレッド",M6="選択"),"-","")</f>
        <v/>
      </c>
      <c r="V6" s="316"/>
      <c r="W6" s="337" t="s">
        <v>1</v>
      </c>
      <c r="X6" s="338"/>
      <c r="Y6" s="338"/>
      <c r="Z6" s="338"/>
      <c r="AA6" s="338"/>
      <c r="AB6" s="338"/>
      <c r="AC6" s="339"/>
      <c r="AD6" s="334"/>
      <c r="AE6" s="335"/>
      <c r="AF6" s="335"/>
      <c r="AG6" s="335"/>
      <c r="AH6" s="335"/>
      <c r="AI6" s="335"/>
      <c r="AJ6" s="336"/>
      <c r="AK6" s="329"/>
      <c r="AL6" s="330"/>
      <c r="AM6" s="330"/>
      <c r="AN6" s="330"/>
      <c r="AO6" s="330"/>
      <c r="AP6" s="330"/>
      <c r="AQ6" s="330"/>
      <c r="AR6" s="330"/>
      <c r="AS6" s="330"/>
      <c r="AT6" s="330"/>
      <c r="AU6" s="330"/>
      <c r="AV6" s="330"/>
      <c r="AW6" s="330"/>
      <c r="AX6" s="330"/>
      <c r="AY6" s="330"/>
      <c r="AZ6" s="331"/>
      <c r="BA6" s="34" t="str">
        <f>IF(BB6&amp;BC6&lt;&gt;"",MAX(BA$5:BA5)+1,"")</f>
        <v/>
      </c>
      <c r="BB6" s="35"/>
      <c r="BC6" s="35"/>
      <c r="BD6" s="36"/>
      <c r="BE6" s="37"/>
      <c r="BF6" s="37"/>
      <c r="BG6" s="36"/>
    </row>
    <row r="7" spans="1:59" s="56" customFormat="1" ht="36" customHeight="1" x14ac:dyDescent="0.15">
      <c r="A7" s="200">
        <f>A6+1</f>
        <v>2</v>
      </c>
      <c r="B7" s="202"/>
      <c r="C7" s="269" t="s">
        <v>340</v>
      </c>
      <c r="D7" s="270"/>
      <c r="E7" s="270"/>
      <c r="F7" s="270"/>
      <c r="G7" s="270"/>
      <c r="H7" s="270"/>
      <c r="I7" s="270"/>
      <c r="J7" s="270"/>
      <c r="K7" s="270"/>
      <c r="L7" s="271"/>
      <c r="M7" s="362" t="s">
        <v>56</v>
      </c>
      <c r="N7" s="363"/>
      <c r="O7" s="363"/>
      <c r="P7" s="364"/>
      <c r="Q7" s="272" t="s">
        <v>119</v>
      </c>
      <c r="R7" s="274"/>
      <c r="S7" s="272"/>
      <c r="T7" s="274"/>
      <c r="U7" s="272" t="s">
        <v>114</v>
      </c>
      <c r="V7" s="274"/>
      <c r="W7" s="275" t="s">
        <v>136</v>
      </c>
      <c r="X7" s="276"/>
      <c r="Y7" s="276"/>
      <c r="Z7" s="276"/>
      <c r="AA7" s="276"/>
      <c r="AB7" s="276"/>
      <c r="AC7" s="277"/>
      <c r="AD7" s="278"/>
      <c r="AE7" s="276"/>
      <c r="AF7" s="276"/>
      <c r="AG7" s="276"/>
      <c r="AH7" s="276"/>
      <c r="AI7" s="276"/>
      <c r="AJ7" s="277"/>
      <c r="AK7" s="279" t="s">
        <v>341</v>
      </c>
      <c r="AL7" s="280"/>
      <c r="AM7" s="280"/>
      <c r="AN7" s="280"/>
      <c r="AO7" s="280"/>
      <c r="AP7" s="280"/>
      <c r="AQ7" s="280"/>
      <c r="AR7" s="280"/>
      <c r="AS7" s="280"/>
      <c r="AT7" s="280"/>
      <c r="AU7" s="280"/>
      <c r="AV7" s="280"/>
      <c r="AW7" s="280"/>
      <c r="AX7" s="280"/>
      <c r="AY7" s="280"/>
      <c r="AZ7" s="281"/>
      <c r="BA7" s="34"/>
      <c r="BB7" s="35"/>
      <c r="BC7" s="35"/>
      <c r="BD7" s="50"/>
      <c r="BE7" s="51"/>
      <c r="BF7" s="51"/>
      <c r="BG7" s="50"/>
    </row>
    <row r="8" spans="1:59" s="56" customFormat="1" ht="36" customHeight="1" x14ac:dyDescent="0.15">
      <c r="A8" s="200">
        <f>A7+1</f>
        <v>3</v>
      </c>
      <c r="B8" s="202"/>
      <c r="C8" s="287" t="s">
        <v>89</v>
      </c>
      <c r="D8" s="288"/>
      <c r="E8" s="288"/>
      <c r="F8" s="288"/>
      <c r="G8" s="288"/>
      <c r="H8" s="288"/>
      <c r="I8" s="288"/>
      <c r="J8" s="288"/>
      <c r="K8" s="288"/>
      <c r="L8" s="289"/>
      <c r="M8" s="285" t="s">
        <v>95</v>
      </c>
      <c r="N8" s="290"/>
      <c r="O8" s="290"/>
      <c r="P8" s="286"/>
      <c r="Q8" s="285" t="s">
        <v>59</v>
      </c>
      <c r="R8" s="286"/>
      <c r="S8" s="200"/>
      <c r="T8" s="202"/>
      <c r="U8" s="285" t="s">
        <v>325</v>
      </c>
      <c r="V8" s="286"/>
      <c r="W8" s="291" t="s">
        <v>74</v>
      </c>
      <c r="X8" s="292"/>
      <c r="Y8" s="292"/>
      <c r="Z8" s="292"/>
      <c r="AA8" s="292"/>
      <c r="AB8" s="292"/>
      <c r="AC8" s="293"/>
      <c r="AD8" s="294"/>
      <c r="AE8" s="292"/>
      <c r="AF8" s="292"/>
      <c r="AG8" s="292"/>
      <c r="AH8" s="292"/>
      <c r="AI8" s="292"/>
      <c r="AJ8" s="293"/>
      <c r="AK8" s="295" t="s">
        <v>129</v>
      </c>
      <c r="AL8" s="296"/>
      <c r="AM8" s="296"/>
      <c r="AN8" s="296"/>
      <c r="AO8" s="296"/>
      <c r="AP8" s="296"/>
      <c r="AQ8" s="296"/>
      <c r="AR8" s="296"/>
      <c r="AS8" s="296"/>
      <c r="AT8" s="296"/>
      <c r="AU8" s="296"/>
      <c r="AV8" s="296"/>
      <c r="AW8" s="296"/>
      <c r="AX8" s="296"/>
      <c r="AY8" s="296"/>
      <c r="AZ8" s="297"/>
      <c r="BA8" s="34" t="str">
        <f>IF(BB8&amp;BC8&lt;&gt;"",MAX(BA$5:BA6)+1,"")</f>
        <v/>
      </c>
      <c r="BB8" s="35"/>
      <c r="BC8" s="35"/>
      <c r="BD8" s="50"/>
      <c r="BE8" s="51"/>
      <c r="BF8" s="51"/>
      <c r="BG8" s="50"/>
    </row>
    <row r="9" spans="1:59" s="56" customFormat="1" ht="36" customHeight="1" x14ac:dyDescent="0.15">
      <c r="A9" s="200">
        <f t="shared" ref="A9" si="0">A8+1</f>
        <v>4</v>
      </c>
      <c r="B9" s="202"/>
      <c r="C9" s="324" t="s">
        <v>116</v>
      </c>
      <c r="D9" s="325"/>
      <c r="E9" s="325"/>
      <c r="F9" s="325"/>
      <c r="G9" s="325"/>
      <c r="H9" s="325"/>
      <c r="I9" s="325"/>
      <c r="J9" s="325"/>
      <c r="K9" s="325"/>
      <c r="L9" s="326"/>
      <c r="M9" s="285"/>
      <c r="N9" s="290"/>
      <c r="O9" s="290"/>
      <c r="P9" s="286"/>
      <c r="Q9" s="285"/>
      <c r="R9" s="286"/>
      <c r="S9" s="200"/>
      <c r="T9" s="202"/>
      <c r="U9" s="285"/>
      <c r="V9" s="286"/>
      <c r="W9" s="291"/>
      <c r="X9" s="292"/>
      <c r="Y9" s="292"/>
      <c r="Z9" s="292"/>
      <c r="AA9" s="292"/>
      <c r="AB9" s="292"/>
      <c r="AC9" s="293"/>
      <c r="AD9" s="294"/>
      <c r="AE9" s="292"/>
      <c r="AF9" s="292"/>
      <c r="AG9" s="292"/>
      <c r="AH9" s="292"/>
      <c r="AI9" s="292"/>
      <c r="AJ9" s="293"/>
      <c r="AK9" s="295"/>
      <c r="AL9" s="296"/>
      <c r="AM9" s="296"/>
      <c r="AN9" s="296"/>
      <c r="AO9" s="296"/>
      <c r="AP9" s="296"/>
      <c r="AQ9" s="296"/>
      <c r="AR9" s="296"/>
      <c r="AS9" s="296"/>
      <c r="AT9" s="296"/>
      <c r="AU9" s="296"/>
      <c r="AV9" s="296"/>
      <c r="AW9" s="296"/>
      <c r="AX9" s="296"/>
      <c r="AY9" s="296"/>
      <c r="AZ9" s="297"/>
      <c r="BA9" s="34" t="str">
        <f>IF(BB9&amp;BC9&lt;&gt;"",MAX(#REF!)+1,"")</f>
        <v/>
      </c>
      <c r="BB9" s="35"/>
      <c r="BC9" s="35"/>
      <c r="BD9" s="50"/>
      <c r="BE9" s="51"/>
      <c r="BF9" s="51"/>
      <c r="BG9" s="50"/>
    </row>
    <row r="10" spans="1:59" s="56" customFormat="1" ht="36" customHeight="1" x14ac:dyDescent="0.15">
      <c r="A10" s="200">
        <f t="shared" ref="A10:A27" si="1">A9+1</f>
        <v>5</v>
      </c>
      <c r="B10" s="202"/>
      <c r="C10" s="287" t="s">
        <v>81</v>
      </c>
      <c r="D10" s="288"/>
      <c r="E10" s="288"/>
      <c r="F10" s="288"/>
      <c r="G10" s="288"/>
      <c r="H10" s="288"/>
      <c r="I10" s="288"/>
      <c r="J10" s="288"/>
      <c r="K10" s="288"/>
      <c r="L10" s="289"/>
      <c r="M10" s="285" t="s">
        <v>76</v>
      </c>
      <c r="N10" s="290"/>
      <c r="O10" s="290"/>
      <c r="P10" s="286"/>
      <c r="Q10" s="285" t="s">
        <v>130</v>
      </c>
      <c r="R10" s="286"/>
      <c r="S10" s="200"/>
      <c r="T10" s="202"/>
      <c r="U10" s="285">
        <v>20</v>
      </c>
      <c r="V10" s="286"/>
      <c r="W10" s="291" t="s">
        <v>58</v>
      </c>
      <c r="X10" s="292"/>
      <c r="Y10" s="292"/>
      <c r="Z10" s="292"/>
      <c r="AA10" s="292"/>
      <c r="AB10" s="292"/>
      <c r="AC10" s="293"/>
      <c r="AD10" s="294" t="s">
        <v>118</v>
      </c>
      <c r="AE10" s="292"/>
      <c r="AF10" s="292"/>
      <c r="AG10" s="292"/>
      <c r="AH10" s="292"/>
      <c r="AI10" s="292"/>
      <c r="AJ10" s="293"/>
      <c r="AK10" s="298"/>
      <c r="AL10" s="296"/>
      <c r="AM10" s="296"/>
      <c r="AN10" s="296"/>
      <c r="AO10" s="296"/>
      <c r="AP10" s="296"/>
      <c r="AQ10" s="296"/>
      <c r="AR10" s="296"/>
      <c r="AS10" s="296"/>
      <c r="AT10" s="296"/>
      <c r="AU10" s="296"/>
      <c r="AV10" s="296"/>
      <c r="AW10" s="296"/>
      <c r="AX10" s="296"/>
      <c r="AY10" s="296"/>
      <c r="AZ10" s="297"/>
      <c r="BA10" s="34"/>
      <c r="BB10" s="35"/>
      <c r="BC10" s="35"/>
      <c r="BD10" s="50"/>
      <c r="BE10" s="51"/>
      <c r="BF10" s="51"/>
      <c r="BG10" s="50"/>
    </row>
    <row r="11" spans="1:59" s="56" customFormat="1" ht="36" customHeight="1" x14ac:dyDescent="0.15">
      <c r="A11" s="200">
        <f t="shared" si="1"/>
        <v>6</v>
      </c>
      <c r="B11" s="202"/>
      <c r="C11" s="287" t="s">
        <v>91</v>
      </c>
      <c r="D11" s="288"/>
      <c r="E11" s="288"/>
      <c r="F11" s="288"/>
      <c r="G11" s="288"/>
      <c r="H11" s="288"/>
      <c r="I11" s="288"/>
      <c r="J11" s="288"/>
      <c r="K11" s="288"/>
      <c r="L11" s="289"/>
      <c r="M11" s="285" t="s">
        <v>55</v>
      </c>
      <c r="N11" s="290"/>
      <c r="O11" s="290"/>
      <c r="P11" s="286"/>
      <c r="Q11" s="285" t="s">
        <v>130</v>
      </c>
      <c r="R11" s="286"/>
      <c r="S11" s="200"/>
      <c r="T11" s="202"/>
      <c r="U11" s="285">
        <v>40</v>
      </c>
      <c r="V11" s="286"/>
      <c r="W11" s="291" t="s">
        <v>58</v>
      </c>
      <c r="X11" s="292"/>
      <c r="Y11" s="292"/>
      <c r="Z11" s="292"/>
      <c r="AA11" s="292"/>
      <c r="AB11" s="292"/>
      <c r="AC11" s="293"/>
      <c r="AD11" s="294" t="s">
        <v>131</v>
      </c>
      <c r="AE11" s="292"/>
      <c r="AF11" s="292"/>
      <c r="AG11" s="292"/>
      <c r="AH11" s="292"/>
      <c r="AI11" s="292"/>
      <c r="AJ11" s="293"/>
      <c r="AK11" s="298"/>
      <c r="AL11" s="296"/>
      <c r="AM11" s="296"/>
      <c r="AN11" s="296"/>
      <c r="AO11" s="296"/>
      <c r="AP11" s="296"/>
      <c r="AQ11" s="296"/>
      <c r="AR11" s="296"/>
      <c r="AS11" s="296"/>
      <c r="AT11" s="296"/>
      <c r="AU11" s="296"/>
      <c r="AV11" s="296"/>
      <c r="AW11" s="296"/>
      <c r="AX11" s="296"/>
      <c r="AY11" s="296"/>
      <c r="AZ11" s="297"/>
      <c r="BA11" s="34"/>
      <c r="BB11" s="35"/>
      <c r="BC11" s="35"/>
      <c r="BD11" s="50"/>
      <c r="BE11" s="51"/>
      <c r="BF11" s="51"/>
      <c r="BG11" s="50"/>
    </row>
    <row r="12" spans="1:59" s="56" customFormat="1" ht="36" customHeight="1" x14ac:dyDescent="0.15">
      <c r="A12" s="200">
        <f t="shared" si="1"/>
        <v>7</v>
      </c>
      <c r="B12" s="202"/>
      <c r="C12" s="287" t="s">
        <v>92</v>
      </c>
      <c r="D12" s="288"/>
      <c r="E12" s="288"/>
      <c r="F12" s="288"/>
      <c r="G12" s="288"/>
      <c r="H12" s="288"/>
      <c r="I12" s="288"/>
      <c r="J12" s="288"/>
      <c r="K12" s="288"/>
      <c r="L12" s="289"/>
      <c r="M12" s="285" t="s">
        <v>76</v>
      </c>
      <c r="N12" s="290"/>
      <c r="O12" s="290"/>
      <c r="P12" s="286"/>
      <c r="Q12" s="285" t="s">
        <v>130</v>
      </c>
      <c r="R12" s="286"/>
      <c r="S12" s="200"/>
      <c r="T12" s="202"/>
      <c r="U12" s="285">
        <v>20</v>
      </c>
      <c r="V12" s="286"/>
      <c r="W12" s="291" t="s">
        <v>58</v>
      </c>
      <c r="X12" s="292"/>
      <c r="Y12" s="292"/>
      <c r="Z12" s="292"/>
      <c r="AA12" s="292"/>
      <c r="AB12" s="292"/>
      <c r="AC12" s="293"/>
      <c r="AD12" s="294" t="s">
        <v>336</v>
      </c>
      <c r="AE12" s="292"/>
      <c r="AF12" s="292"/>
      <c r="AG12" s="292"/>
      <c r="AH12" s="292"/>
      <c r="AI12" s="292"/>
      <c r="AJ12" s="293"/>
      <c r="AK12" s="295" t="s">
        <v>135</v>
      </c>
      <c r="AL12" s="296"/>
      <c r="AM12" s="296"/>
      <c r="AN12" s="296"/>
      <c r="AO12" s="296"/>
      <c r="AP12" s="296"/>
      <c r="AQ12" s="296"/>
      <c r="AR12" s="296"/>
      <c r="AS12" s="296"/>
      <c r="AT12" s="296"/>
      <c r="AU12" s="296"/>
      <c r="AV12" s="296"/>
      <c r="AW12" s="296"/>
      <c r="AX12" s="296"/>
      <c r="AY12" s="296"/>
      <c r="AZ12" s="297"/>
      <c r="BA12" s="34"/>
      <c r="BB12" s="35"/>
      <c r="BC12" s="35"/>
      <c r="BD12" s="50"/>
      <c r="BE12" s="51"/>
      <c r="BF12" s="51"/>
      <c r="BG12" s="50"/>
    </row>
    <row r="13" spans="1:59" s="56" customFormat="1" ht="36" customHeight="1" x14ac:dyDescent="0.15">
      <c r="A13" s="200">
        <f t="shared" si="1"/>
        <v>8</v>
      </c>
      <c r="B13" s="202"/>
      <c r="C13" s="287" t="s">
        <v>93</v>
      </c>
      <c r="D13" s="288"/>
      <c r="E13" s="288"/>
      <c r="F13" s="288"/>
      <c r="G13" s="288"/>
      <c r="H13" s="288"/>
      <c r="I13" s="288"/>
      <c r="J13" s="288"/>
      <c r="K13" s="288"/>
      <c r="L13" s="289"/>
      <c r="M13" s="285" t="s">
        <v>55</v>
      </c>
      <c r="N13" s="290"/>
      <c r="O13" s="290"/>
      <c r="P13" s="286"/>
      <c r="Q13" s="285" t="s">
        <v>130</v>
      </c>
      <c r="R13" s="286"/>
      <c r="S13" s="200"/>
      <c r="T13" s="202"/>
      <c r="U13" s="285">
        <v>20</v>
      </c>
      <c r="V13" s="286"/>
      <c r="W13" s="291" t="s">
        <v>58</v>
      </c>
      <c r="X13" s="292"/>
      <c r="Y13" s="292"/>
      <c r="Z13" s="292"/>
      <c r="AA13" s="292"/>
      <c r="AB13" s="292"/>
      <c r="AC13" s="293"/>
      <c r="AD13" s="294" t="s">
        <v>145</v>
      </c>
      <c r="AE13" s="292"/>
      <c r="AF13" s="292"/>
      <c r="AG13" s="292"/>
      <c r="AH13" s="292"/>
      <c r="AI13" s="292"/>
      <c r="AJ13" s="293"/>
      <c r="AK13" s="298"/>
      <c r="AL13" s="296"/>
      <c r="AM13" s="296"/>
      <c r="AN13" s="296"/>
      <c r="AO13" s="296"/>
      <c r="AP13" s="296"/>
      <c r="AQ13" s="296"/>
      <c r="AR13" s="296"/>
      <c r="AS13" s="296"/>
      <c r="AT13" s="296"/>
      <c r="AU13" s="296"/>
      <c r="AV13" s="296"/>
      <c r="AW13" s="296"/>
      <c r="AX13" s="296"/>
      <c r="AY13" s="296"/>
      <c r="AZ13" s="297"/>
      <c r="BA13" s="34"/>
      <c r="BB13" s="35"/>
      <c r="BC13" s="35"/>
      <c r="BD13" s="50"/>
      <c r="BE13" s="51"/>
      <c r="BF13" s="51"/>
      <c r="BG13" s="50"/>
    </row>
    <row r="14" spans="1:59" s="56" customFormat="1" ht="36" customHeight="1" x14ac:dyDescent="0.15">
      <c r="A14" s="285">
        <f>A13+1</f>
        <v>9</v>
      </c>
      <c r="B14" s="286"/>
      <c r="C14" s="287" t="s">
        <v>132</v>
      </c>
      <c r="D14" s="288"/>
      <c r="E14" s="288"/>
      <c r="F14" s="288"/>
      <c r="G14" s="288"/>
      <c r="H14" s="288"/>
      <c r="I14" s="288"/>
      <c r="J14" s="288"/>
      <c r="K14" s="288"/>
      <c r="L14" s="289"/>
      <c r="M14" s="285" t="s">
        <v>55</v>
      </c>
      <c r="N14" s="290"/>
      <c r="O14" s="290"/>
      <c r="P14" s="286"/>
      <c r="Q14" s="285" t="s">
        <v>130</v>
      </c>
      <c r="R14" s="286"/>
      <c r="S14" s="285"/>
      <c r="T14" s="286"/>
      <c r="U14" s="285">
        <v>20</v>
      </c>
      <c r="V14" s="286"/>
      <c r="W14" s="291" t="s">
        <v>324</v>
      </c>
      <c r="X14" s="292"/>
      <c r="Y14" s="292"/>
      <c r="Z14" s="292"/>
      <c r="AA14" s="292"/>
      <c r="AB14" s="292"/>
      <c r="AC14" s="293"/>
      <c r="AD14" s="294" t="s">
        <v>133</v>
      </c>
      <c r="AE14" s="292"/>
      <c r="AF14" s="292"/>
      <c r="AG14" s="292"/>
      <c r="AH14" s="292"/>
      <c r="AI14" s="292"/>
      <c r="AJ14" s="293"/>
      <c r="AK14" s="295"/>
      <c r="AL14" s="296"/>
      <c r="AM14" s="296"/>
      <c r="AN14" s="296"/>
      <c r="AO14" s="296"/>
      <c r="AP14" s="296"/>
      <c r="AQ14" s="296"/>
      <c r="AR14" s="296"/>
      <c r="AS14" s="296"/>
      <c r="AT14" s="296"/>
      <c r="AU14" s="296"/>
      <c r="AV14" s="296"/>
      <c r="AW14" s="296"/>
      <c r="AX14" s="296"/>
      <c r="AY14" s="296"/>
      <c r="AZ14" s="297"/>
      <c r="BA14" s="34"/>
      <c r="BB14" s="35"/>
      <c r="BC14" s="35"/>
      <c r="BD14" s="50"/>
      <c r="BE14" s="51"/>
      <c r="BF14" s="51"/>
      <c r="BG14" s="50"/>
    </row>
    <row r="15" spans="1:59" s="56" customFormat="1" ht="36" customHeight="1" x14ac:dyDescent="0.15">
      <c r="A15" s="200">
        <f t="shared" si="1"/>
        <v>10</v>
      </c>
      <c r="B15" s="202"/>
      <c r="C15" s="287" t="s">
        <v>94</v>
      </c>
      <c r="D15" s="288"/>
      <c r="E15" s="288"/>
      <c r="F15" s="288"/>
      <c r="G15" s="288"/>
      <c r="H15" s="288"/>
      <c r="I15" s="288"/>
      <c r="J15" s="288"/>
      <c r="K15" s="288"/>
      <c r="L15" s="289"/>
      <c r="M15" s="285" t="s">
        <v>75</v>
      </c>
      <c r="N15" s="290"/>
      <c r="O15" s="290"/>
      <c r="P15" s="286"/>
      <c r="Q15" s="285" t="s">
        <v>130</v>
      </c>
      <c r="R15" s="286"/>
      <c r="S15" s="200"/>
      <c r="T15" s="202"/>
      <c r="U15" s="285">
        <v>8</v>
      </c>
      <c r="V15" s="286"/>
      <c r="W15" s="291" t="s">
        <v>74</v>
      </c>
      <c r="X15" s="292"/>
      <c r="Y15" s="292"/>
      <c r="Z15" s="292"/>
      <c r="AA15" s="292"/>
      <c r="AB15" s="292"/>
      <c r="AC15" s="293"/>
      <c r="AD15" s="294" t="s">
        <v>134</v>
      </c>
      <c r="AE15" s="292"/>
      <c r="AF15" s="292"/>
      <c r="AG15" s="292"/>
      <c r="AH15" s="292"/>
      <c r="AI15" s="292"/>
      <c r="AJ15" s="293"/>
      <c r="AK15" s="298"/>
      <c r="AL15" s="296"/>
      <c r="AM15" s="296"/>
      <c r="AN15" s="296"/>
      <c r="AO15" s="296"/>
      <c r="AP15" s="296"/>
      <c r="AQ15" s="296"/>
      <c r="AR15" s="296"/>
      <c r="AS15" s="296"/>
      <c r="AT15" s="296"/>
      <c r="AU15" s="296"/>
      <c r="AV15" s="296"/>
      <c r="AW15" s="296"/>
      <c r="AX15" s="296"/>
      <c r="AY15" s="296"/>
      <c r="AZ15" s="297"/>
      <c r="BA15" s="34"/>
      <c r="BB15" s="35"/>
      <c r="BC15" s="35"/>
      <c r="BD15" s="50"/>
      <c r="BE15" s="51"/>
      <c r="BF15" s="51"/>
      <c r="BG15" s="50"/>
    </row>
    <row r="16" spans="1:59" s="56" customFormat="1" ht="36" customHeight="1" x14ac:dyDescent="0.15">
      <c r="A16" s="282">
        <f t="shared" si="1"/>
        <v>11</v>
      </c>
      <c r="B16" s="283"/>
      <c r="C16" s="269" t="s">
        <v>348</v>
      </c>
      <c r="D16" s="270"/>
      <c r="E16" s="270"/>
      <c r="F16" s="270"/>
      <c r="G16" s="270"/>
      <c r="H16" s="270"/>
      <c r="I16" s="270"/>
      <c r="J16" s="270"/>
      <c r="K16" s="270"/>
      <c r="L16" s="271"/>
      <c r="M16" s="272" t="s">
        <v>75</v>
      </c>
      <c r="N16" s="273"/>
      <c r="O16" s="273"/>
      <c r="P16" s="274"/>
      <c r="Q16" s="272" t="s">
        <v>130</v>
      </c>
      <c r="R16" s="274"/>
      <c r="S16" s="244"/>
      <c r="T16" s="246"/>
      <c r="U16" s="272">
        <v>8</v>
      </c>
      <c r="V16" s="274"/>
      <c r="W16" s="275" t="s">
        <v>74</v>
      </c>
      <c r="X16" s="276"/>
      <c r="Y16" s="276"/>
      <c r="Z16" s="276"/>
      <c r="AA16" s="276"/>
      <c r="AB16" s="276"/>
      <c r="AC16" s="277"/>
      <c r="AD16" s="278" t="s">
        <v>337</v>
      </c>
      <c r="AE16" s="276"/>
      <c r="AF16" s="276"/>
      <c r="AG16" s="276"/>
      <c r="AH16" s="276"/>
      <c r="AI16" s="276"/>
      <c r="AJ16" s="277"/>
      <c r="AK16" s="284" t="s">
        <v>399</v>
      </c>
      <c r="AL16" s="280"/>
      <c r="AM16" s="280"/>
      <c r="AN16" s="280"/>
      <c r="AO16" s="280"/>
      <c r="AP16" s="280"/>
      <c r="AQ16" s="280"/>
      <c r="AR16" s="280"/>
      <c r="AS16" s="280"/>
      <c r="AT16" s="280"/>
      <c r="AU16" s="280"/>
      <c r="AV16" s="280"/>
      <c r="AW16" s="280"/>
      <c r="AX16" s="280"/>
      <c r="AY16" s="280"/>
      <c r="AZ16" s="281"/>
      <c r="BA16" s="34"/>
      <c r="BB16" s="35"/>
      <c r="BC16" s="35"/>
      <c r="BD16" s="50"/>
      <c r="BE16" s="51"/>
      <c r="BF16" s="51"/>
      <c r="BG16" s="50"/>
    </row>
    <row r="17" spans="1:59" s="56" customFormat="1" ht="36" customHeight="1" x14ac:dyDescent="0.15">
      <c r="A17" s="200">
        <f t="shared" si="1"/>
        <v>12</v>
      </c>
      <c r="B17" s="202"/>
      <c r="C17" s="324" t="s">
        <v>90</v>
      </c>
      <c r="D17" s="325"/>
      <c r="E17" s="325"/>
      <c r="F17" s="325"/>
      <c r="G17" s="325"/>
      <c r="H17" s="325"/>
      <c r="I17" s="325"/>
      <c r="J17" s="325"/>
      <c r="K17" s="325"/>
      <c r="L17" s="326"/>
      <c r="M17" s="285"/>
      <c r="N17" s="290"/>
      <c r="O17" s="290"/>
      <c r="P17" s="286"/>
      <c r="Q17" s="285"/>
      <c r="R17" s="286"/>
      <c r="S17" s="200"/>
      <c r="T17" s="202"/>
      <c r="U17" s="285"/>
      <c r="V17" s="286"/>
      <c r="W17" s="291"/>
      <c r="X17" s="292"/>
      <c r="Y17" s="292"/>
      <c r="Z17" s="292"/>
      <c r="AA17" s="292"/>
      <c r="AB17" s="292"/>
      <c r="AC17" s="293"/>
      <c r="AD17" s="294"/>
      <c r="AE17" s="292"/>
      <c r="AF17" s="292"/>
      <c r="AG17" s="292"/>
      <c r="AH17" s="292"/>
      <c r="AI17" s="292"/>
      <c r="AJ17" s="293"/>
      <c r="AK17" s="295"/>
      <c r="AL17" s="296"/>
      <c r="AM17" s="296"/>
      <c r="AN17" s="296"/>
      <c r="AO17" s="296"/>
      <c r="AP17" s="296"/>
      <c r="AQ17" s="296"/>
      <c r="AR17" s="296"/>
      <c r="AS17" s="296"/>
      <c r="AT17" s="296"/>
      <c r="AU17" s="296"/>
      <c r="AV17" s="296"/>
      <c r="AW17" s="296"/>
      <c r="AX17" s="296"/>
      <c r="AY17" s="296"/>
      <c r="AZ17" s="297"/>
      <c r="BA17" s="34" t="str">
        <f>IF(BB17&amp;BC17&lt;&gt;"",MAX(BA$5:BA8)+1,"")</f>
        <v/>
      </c>
      <c r="BB17" s="35"/>
      <c r="BC17" s="35"/>
      <c r="BD17" s="50"/>
      <c r="BE17" s="51"/>
      <c r="BF17" s="51"/>
      <c r="BG17" s="50"/>
    </row>
    <row r="18" spans="1:59" s="56" customFormat="1" ht="36" customHeight="1" x14ac:dyDescent="0.15">
      <c r="A18" s="200">
        <f t="shared" si="1"/>
        <v>13</v>
      </c>
      <c r="B18" s="202"/>
      <c r="C18" s="287" t="s">
        <v>72</v>
      </c>
      <c r="D18" s="288"/>
      <c r="E18" s="288"/>
      <c r="F18" s="288"/>
      <c r="G18" s="288"/>
      <c r="H18" s="288"/>
      <c r="I18" s="288"/>
      <c r="J18" s="288"/>
      <c r="K18" s="288"/>
      <c r="L18" s="289"/>
      <c r="M18" s="285" t="s">
        <v>56</v>
      </c>
      <c r="N18" s="290"/>
      <c r="O18" s="290"/>
      <c r="P18" s="286"/>
      <c r="Q18" s="285" t="s">
        <v>119</v>
      </c>
      <c r="R18" s="286"/>
      <c r="S18" s="200"/>
      <c r="T18" s="202"/>
      <c r="U18" s="344" t="s">
        <v>114</v>
      </c>
      <c r="V18" s="286"/>
      <c r="W18" s="291" t="s">
        <v>136</v>
      </c>
      <c r="X18" s="292"/>
      <c r="Y18" s="292"/>
      <c r="Z18" s="292"/>
      <c r="AA18" s="292"/>
      <c r="AB18" s="292"/>
      <c r="AC18" s="293"/>
      <c r="AD18" s="294"/>
      <c r="AE18" s="292"/>
      <c r="AF18" s="292"/>
      <c r="AG18" s="292"/>
      <c r="AH18" s="292"/>
      <c r="AI18" s="292"/>
      <c r="AJ18" s="293"/>
      <c r="AK18" s="298" t="s">
        <v>115</v>
      </c>
      <c r="AL18" s="296"/>
      <c r="AM18" s="296"/>
      <c r="AN18" s="296"/>
      <c r="AO18" s="296"/>
      <c r="AP18" s="296"/>
      <c r="AQ18" s="296"/>
      <c r="AR18" s="296"/>
      <c r="AS18" s="296"/>
      <c r="AT18" s="296"/>
      <c r="AU18" s="296"/>
      <c r="AV18" s="296"/>
      <c r="AW18" s="296"/>
      <c r="AX18" s="296"/>
      <c r="AY18" s="296"/>
      <c r="AZ18" s="297"/>
      <c r="BA18" s="34"/>
      <c r="BB18" s="35"/>
      <c r="BC18" s="35"/>
      <c r="BD18" s="50"/>
      <c r="BE18" s="51"/>
      <c r="BF18" s="51"/>
      <c r="BG18" s="50"/>
    </row>
    <row r="19" spans="1:59" s="56" customFormat="1" ht="36" customHeight="1" x14ac:dyDescent="0.15">
      <c r="A19" s="200">
        <f t="shared" si="1"/>
        <v>14</v>
      </c>
      <c r="B19" s="202"/>
      <c r="C19" s="287" t="s">
        <v>81</v>
      </c>
      <c r="D19" s="288"/>
      <c r="E19" s="288"/>
      <c r="F19" s="288"/>
      <c r="G19" s="288"/>
      <c r="H19" s="288"/>
      <c r="I19" s="288"/>
      <c r="J19" s="288"/>
      <c r="K19" s="288"/>
      <c r="L19" s="289"/>
      <c r="M19" s="285" t="s">
        <v>76</v>
      </c>
      <c r="N19" s="290"/>
      <c r="O19" s="290"/>
      <c r="P19" s="286"/>
      <c r="Q19" s="285" t="s">
        <v>119</v>
      </c>
      <c r="R19" s="286"/>
      <c r="S19" s="200"/>
      <c r="T19" s="202"/>
      <c r="U19" s="285">
        <v>20</v>
      </c>
      <c r="V19" s="286"/>
      <c r="W19" s="291" t="s">
        <v>58</v>
      </c>
      <c r="X19" s="292"/>
      <c r="Y19" s="292"/>
      <c r="Z19" s="292"/>
      <c r="AA19" s="292"/>
      <c r="AB19" s="292"/>
      <c r="AC19" s="293"/>
      <c r="AD19" s="294" t="s">
        <v>118</v>
      </c>
      <c r="AE19" s="292"/>
      <c r="AF19" s="292"/>
      <c r="AG19" s="292"/>
      <c r="AH19" s="292"/>
      <c r="AI19" s="292"/>
      <c r="AJ19" s="293"/>
      <c r="AK19" s="295" t="s">
        <v>137</v>
      </c>
      <c r="AL19" s="296"/>
      <c r="AM19" s="296"/>
      <c r="AN19" s="296"/>
      <c r="AO19" s="296"/>
      <c r="AP19" s="296"/>
      <c r="AQ19" s="296"/>
      <c r="AR19" s="296"/>
      <c r="AS19" s="296"/>
      <c r="AT19" s="296"/>
      <c r="AU19" s="296"/>
      <c r="AV19" s="296"/>
      <c r="AW19" s="296"/>
      <c r="AX19" s="296"/>
      <c r="AY19" s="296"/>
      <c r="AZ19" s="297"/>
      <c r="BA19" s="34"/>
      <c r="BB19" s="35"/>
      <c r="BC19" s="35"/>
      <c r="BD19" s="50"/>
      <c r="BE19" s="51"/>
      <c r="BF19" s="51"/>
      <c r="BG19" s="50"/>
    </row>
    <row r="20" spans="1:59" s="56" customFormat="1" ht="36" customHeight="1" x14ac:dyDescent="0.15">
      <c r="A20" s="200">
        <f t="shared" si="1"/>
        <v>15</v>
      </c>
      <c r="B20" s="202"/>
      <c r="C20" s="287" t="s">
        <v>91</v>
      </c>
      <c r="D20" s="288"/>
      <c r="E20" s="288"/>
      <c r="F20" s="288"/>
      <c r="G20" s="288"/>
      <c r="H20" s="288"/>
      <c r="I20" s="288"/>
      <c r="J20" s="288"/>
      <c r="K20" s="288"/>
      <c r="L20" s="289"/>
      <c r="M20" s="285" t="s">
        <v>55</v>
      </c>
      <c r="N20" s="290"/>
      <c r="O20" s="290"/>
      <c r="P20" s="286"/>
      <c r="Q20" s="285" t="s">
        <v>119</v>
      </c>
      <c r="R20" s="286"/>
      <c r="S20" s="200"/>
      <c r="T20" s="202"/>
      <c r="U20" s="285">
        <v>40</v>
      </c>
      <c r="V20" s="286"/>
      <c r="W20" s="291" t="s">
        <v>58</v>
      </c>
      <c r="X20" s="292"/>
      <c r="Y20" s="292"/>
      <c r="Z20" s="292"/>
      <c r="AA20" s="292"/>
      <c r="AB20" s="292"/>
      <c r="AC20" s="293"/>
      <c r="AD20" s="294"/>
      <c r="AE20" s="292"/>
      <c r="AF20" s="292"/>
      <c r="AG20" s="292"/>
      <c r="AH20" s="292"/>
      <c r="AI20" s="292"/>
      <c r="AJ20" s="293"/>
      <c r="AK20" s="295" t="s">
        <v>138</v>
      </c>
      <c r="AL20" s="296"/>
      <c r="AM20" s="296"/>
      <c r="AN20" s="296"/>
      <c r="AO20" s="296"/>
      <c r="AP20" s="296"/>
      <c r="AQ20" s="296"/>
      <c r="AR20" s="296"/>
      <c r="AS20" s="296"/>
      <c r="AT20" s="296"/>
      <c r="AU20" s="296"/>
      <c r="AV20" s="296"/>
      <c r="AW20" s="296"/>
      <c r="AX20" s="296"/>
      <c r="AY20" s="296"/>
      <c r="AZ20" s="297"/>
      <c r="BA20" s="34"/>
      <c r="BB20" s="35"/>
      <c r="BC20" s="35"/>
      <c r="BD20" s="50"/>
      <c r="BE20" s="51"/>
      <c r="BF20" s="51"/>
      <c r="BG20" s="50"/>
    </row>
    <row r="21" spans="1:59" s="56" customFormat="1" ht="36" customHeight="1" x14ac:dyDescent="0.15">
      <c r="A21" s="200">
        <f t="shared" si="1"/>
        <v>16</v>
      </c>
      <c r="B21" s="202"/>
      <c r="C21" s="287" t="s">
        <v>92</v>
      </c>
      <c r="D21" s="288"/>
      <c r="E21" s="288"/>
      <c r="F21" s="288"/>
      <c r="G21" s="288"/>
      <c r="H21" s="288"/>
      <c r="I21" s="288"/>
      <c r="J21" s="288"/>
      <c r="K21" s="288"/>
      <c r="L21" s="289"/>
      <c r="M21" s="285" t="s">
        <v>76</v>
      </c>
      <c r="N21" s="290"/>
      <c r="O21" s="290"/>
      <c r="P21" s="286"/>
      <c r="Q21" s="285" t="s">
        <v>119</v>
      </c>
      <c r="R21" s="286"/>
      <c r="S21" s="200"/>
      <c r="T21" s="202"/>
      <c r="U21" s="285">
        <v>20</v>
      </c>
      <c r="V21" s="286"/>
      <c r="W21" s="291" t="s">
        <v>58</v>
      </c>
      <c r="X21" s="292"/>
      <c r="Y21" s="292"/>
      <c r="Z21" s="292"/>
      <c r="AA21" s="292"/>
      <c r="AB21" s="292"/>
      <c r="AC21" s="293"/>
      <c r="AD21" s="278" t="s">
        <v>337</v>
      </c>
      <c r="AE21" s="276"/>
      <c r="AF21" s="276"/>
      <c r="AG21" s="276"/>
      <c r="AH21" s="276"/>
      <c r="AI21" s="276"/>
      <c r="AJ21" s="277"/>
      <c r="AK21" s="295" t="s">
        <v>139</v>
      </c>
      <c r="AL21" s="296"/>
      <c r="AM21" s="296"/>
      <c r="AN21" s="296"/>
      <c r="AO21" s="296"/>
      <c r="AP21" s="296"/>
      <c r="AQ21" s="296"/>
      <c r="AR21" s="296"/>
      <c r="AS21" s="296"/>
      <c r="AT21" s="296"/>
      <c r="AU21" s="296"/>
      <c r="AV21" s="296"/>
      <c r="AW21" s="296"/>
      <c r="AX21" s="296"/>
      <c r="AY21" s="296"/>
      <c r="AZ21" s="297"/>
      <c r="BA21" s="34"/>
      <c r="BB21" s="35"/>
      <c r="BC21" s="35"/>
      <c r="BD21" s="50"/>
      <c r="BE21" s="51"/>
      <c r="BF21" s="51"/>
      <c r="BG21" s="50"/>
    </row>
    <row r="22" spans="1:59" s="56" customFormat="1" ht="36" customHeight="1" x14ac:dyDescent="0.15">
      <c r="A22" s="200">
        <f t="shared" si="1"/>
        <v>17</v>
      </c>
      <c r="B22" s="202"/>
      <c r="C22" s="287" t="s">
        <v>140</v>
      </c>
      <c r="D22" s="288"/>
      <c r="E22" s="288"/>
      <c r="F22" s="288"/>
      <c r="G22" s="288"/>
      <c r="H22" s="288"/>
      <c r="I22" s="288"/>
      <c r="J22" s="288"/>
      <c r="K22" s="288"/>
      <c r="L22" s="289"/>
      <c r="M22" s="285" t="s">
        <v>55</v>
      </c>
      <c r="N22" s="290"/>
      <c r="O22" s="290"/>
      <c r="P22" s="286"/>
      <c r="Q22" s="285" t="s">
        <v>119</v>
      </c>
      <c r="R22" s="286"/>
      <c r="S22" s="200"/>
      <c r="T22" s="202"/>
      <c r="U22" s="285">
        <v>20</v>
      </c>
      <c r="V22" s="286"/>
      <c r="W22" s="291" t="s">
        <v>58</v>
      </c>
      <c r="X22" s="292"/>
      <c r="Y22" s="292"/>
      <c r="Z22" s="292"/>
      <c r="AA22" s="292"/>
      <c r="AB22" s="292"/>
      <c r="AC22" s="293"/>
      <c r="AD22" s="294"/>
      <c r="AE22" s="292"/>
      <c r="AF22" s="292"/>
      <c r="AG22" s="292"/>
      <c r="AH22" s="292"/>
      <c r="AI22" s="292"/>
      <c r="AJ22" s="293"/>
      <c r="AK22" s="295" t="s">
        <v>141</v>
      </c>
      <c r="AL22" s="296"/>
      <c r="AM22" s="296"/>
      <c r="AN22" s="296"/>
      <c r="AO22" s="296"/>
      <c r="AP22" s="296"/>
      <c r="AQ22" s="296"/>
      <c r="AR22" s="296"/>
      <c r="AS22" s="296"/>
      <c r="AT22" s="296"/>
      <c r="AU22" s="296"/>
      <c r="AV22" s="296"/>
      <c r="AW22" s="296"/>
      <c r="AX22" s="296"/>
      <c r="AY22" s="296"/>
      <c r="AZ22" s="297"/>
      <c r="BA22" s="34"/>
      <c r="BB22" s="35"/>
      <c r="BC22" s="35"/>
      <c r="BD22" s="50"/>
      <c r="BE22" s="51"/>
      <c r="BF22" s="51"/>
      <c r="BG22" s="50"/>
    </row>
    <row r="23" spans="1:59" s="56" customFormat="1" ht="36" customHeight="1" x14ac:dyDescent="0.15">
      <c r="A23" s="200">
        <f t="shared" si="1"/>
        <v>18</v>
      </c>
      <c r="B23" s="202"/>
      <c r="C23" s="287" t="s">
        <v>132</v>
      </c>
      <c r="D23" s="288"/>
      <c r="E23" s="288"/>
      <c r="F23" s="288"/>
      <c r="G23" s="288"/>
      <c r="H23" s="288"/>
      <c r="I23" s="288"/>
      <c r="J23" s="288"/>
      <c r="K23" s="288"/>
      <c r="L23" s="289"/>
      <c r="M23" s="285" t="s">
        <v>55</v>
      </c>
      <c r="N23" s="290"/>
      <c r="O23" s="290"/>
      <c r="P23" s="286"/>
      <c r="Q23" s="285" t="s">
        <v>119</v>
      </c>
      <c r="R23" s="286"/>
      <c r="S23" s="200"/>
      <c r="T23" s="202"/>
      <c r="U23" s="285">
        <v>20</v>
      </c>
      <c r="V23" s="286"/>
      <c r="W23" s="291" t="s">
        <v>58</v>
      </c>
      <c r="X23" s="292"/>
      <c r="Y23" s="292"/>
      <c r="Z23" s="292"/>
      <c r="AA23" s="292"/>
      <c r="AB23" s="292"/>
      <c r="AC23" s="293"/>
      <c r="AD23" s="294"/>
      <c r="AE23" s="292"/>
      <c r="AF23" s="292"/>
      <c r="AG23" s="292"/>
      <c r="AH23" s="292"/>
      <c r="AI23" s="292"/>
      <c r="AJ23" s="293"/>
      <c r="AK23" s="295" t="s">
        <v>322</v>
      </c>
      <c r="AL23" s="296"/>
      <c r="AM23" s="296"/>
      <c r="AN23" s="296"/>
      <c r="AO23" s="296"/>
      <c r="AP23" s="296"/>
      <c r="AQ23" s="296"/>
      <c r="AR23" s="296"/>
      <c r="AS23" s="296"/>
      <c r="AT23" s="296"/>
      <c r="AU23" s="296"/>
      <c r="AV23" s="296"/>
      <c r="AW23" s="296"/>
      <c r="AX23" s="296"/>
      <c r="AY23" s="296"/>
      <c r="AZ23" s="297"/>
      <c r="BA23" s="34"/>
      <c r="BB23" s="35"/>
      <c r="BC23" s="35"/>
      <c r="BD23" s="50"/>
      <c r="BE23" s="51"/>
      <c r="BF23" s="51"/>
      <c r="BG23" s="50"/>
    </row>
    <row r="24" spans="1:59" s="56" customFormat="1" ht="36" customHeight="1" x14ac:dyDescent="0.15">
      <c r="A24" s="200">
        <f t="shared" si="1"/>
        <v>19</v>
      </c>
      <c r="B24" s="202"/>
      <c r="C24" s="287" t="s">
        <v>94</v>
      </c>
      <c r="D24" s="288"/>
      <c r="E24" s="288"/>
      <c r="F24" s="288"/>
      <c r="G24" s="288"/>
      <c r="H24" s="288"/>
      <c r="I24" s="288"/>
      <c r="J24" s="288"/>
      <c r="K24" s="288"/>
      <c r="L24" s="289"/>
      <c r="M24" s="285" t="s">
        <v>75</v>
      </c>
      <c r="N24" s="290"/>
      <c r="O24" s="290"/>
      <c r="P24" s="286"/>
      <c r="Q24" s="285" t="s">
        <v>119</v>
      </c>
      <c r="R24" s="286"/>
      <c r="S24" s="200"/>
      <c r="T24" s="202"/>
      <c r="U24" s="285">
        <v>8</v>
      </c>
      <c r="V24" s="286"/>
      <c r="W24" s="291" t="s">
        <v>136</v>
      </c>
      <c r="X24" s="292"/>
      <c r="Y24" s="292"/>
      <c r="Z24" s="292"/>
      <c r="AA24" s="292"/>
      <c r="AB24" s="292"/>
      <c r="AC24" s="293"/>
      <c r="AD24" s="294"/>
      <c r="AE24" s="292"/>
      <c r="AF24" s="292"/>
      <c r="AG24" s="292"/>
      <c r="AH24" s="292"/>
      <c r="AI24" s="292"/>
      <c r="AJ24" s="293"/>
      <c r="AK24" s="295" t="s">
        <v>142</v>
      </c>
      <c r="AL24" s="296"/>
      <c r="AM24" s="296"/>
      <c r="AN24" s="296"/>
      <c r="AO24" s="296"/>
      <c r="AP24" s="296"/>
      <c r="AQ24" s="296"/>
      <c r="AR24" s="296"/>
      <c r="AS24" s="296"/>
      <c r="AT24" s="296"/>
      <c r="AU24" s="296"/>
      <c r="AV24" s="296"/>
      <c r="AW24" s="296"/>
      <c r="AX24" s="296"/>
      <c r="AY24" s="296"/>
      <c r="AZ24" s="297"/>
      <c r="BA24" s="34"/>
      <c r="BB24" s="35"/>
      <c r="BC24" s="35"/>
      <c r="BD24" s="50"/>
      <c r="BE24" s="51"/>
      <c r="BF24" s="51"/>
      <c r="BG24" s="50"/>
    </row>
    <row r="25" spans="1:59" s="56" customFormat="1" ht="36" customHeight="1" x14ac:dyDescent="0.15">
      <c r="A25" s="282">
        <f t="shared" si="1"/>
        <v>20</v>
      </c>
      <c r="B25" s="283"/>
      <c r="C25" s="269" t="s">
        <v>348</v>
      </c>
      <c r="D25" s="270"/>
      <c r="E25" s="270"/>
      <c r="F25" s="270"/>
      <c r="G25" s="270"/>
      <c r="H25" s="270"/>
      <c r="I25" s="270"/>
      <c r="J25" s="270"/>
      <c r="K25" s="270"/>
      <c r="L25" s="271"/>
      <c r="M25" s="272" t="s">
        <v>75</v>
      </c>
      <c r="N25" s="273"/>
      <c r="O25" s="273"/>
      <c r="P25" s="274"/>
      <c r="Q25" s="272" t="s">
        <v>119</v>
      </c>
      <c r="R25" s="274"/>
      <c r="S25" s="244"/>
      <c r="T25" s="246"/>
      <c r="U25" s="272">
        <v>8</v>
      </c>
      <c r="V25" s="274"/>
      <c r="W25" s="275" t="s">
        <v>136</v>
      </c>
      <c r="X25" s="276"/>
      <c r="Y25" s="276"/>
      <c r="Z25" s="276"/>
      <c r="AA25" s="276"/>
      <c r="AB25" s="276"/>
      <c r="AC25" s="277"/>
      <c r="AD25" s="278"/>
      <c r="AE25" s="276"/>
      <c r="AF25" s="276"/>
      <c r="AG25" s="276"/>
      <c r="AH25" s="276"/>
      <c r="AI25" s="276"/>
      <c r="AJ25" s="277"/>
      <c r="AK25" s="279" t="s">
        <v>400</v>
      </c>
      <c r="AL25" s="280"/>
      <c r="AM25" s="280"/>
      <c r="AN25" s="280"/>
      <c r="AO25" s="280"/>
      <c r="AP25" s="280"/>
      <c r="AQ25" s="280"/>
      <c r="AR25" s="280"/>
      <c r="AS25" s="280"/>
      <c r="AT25" s="280"/>
      <c r="AU25" s="280"/>
      <c r="AV25" s="280"/>
      <c r="AW25" s="280"/>
      <c r="AX25" s="280"/>
      <c r="AY25" s="280"/>
      <c r="AZ25" s="281"/>
      <c r="BA25" s="34"/>
      <c r="BB25" s="35"/>
      <c r="BC25" s="35"/>
      <c r="BD25" s="50"/>
      <c r="BE25" s="51"/>
      <c r="BF25" s="51"/>
      <c r="BG25" s="50"/>
    </row>
    <row r="26" spans="1:59" s="56" customFormat="1" ht="36" customHeight="1" x14ac:dyDescent="0.15">
      <c r="A26" s="200">
        <f t="shared" si="1"/>
        <v>21</v>
      </c>
      <c r="B26" s="202"/>
      <c r="C26" s="287" t="s">
        <v>334</v>
      </c>
      <c r="D26" s="288"/>
      <c r="E26" s="288"/>
      <c r="F26" s="288"/>
      <c r="G26" s="288"/>
      <c r="H26" s="288"/>
      <c r="I26" s="288"/>
      <c r="J26" s="288"/>
      <c r="K26" s="288"/>
      <c r="L26" s="289"/>
      <c r="M26" s="285" t="s">
        <v>95</v>
      </c>
      <c r="N26" s="290"/>
      <c r="O26" s="290"/>
      <c r="P26" s="286"/>
      <c r="Q26" s="285" t="s">
        <v>119</v>
      </c>
      <c r="R26" s="286"/>
      <c r="S26" s="200"/>
      <c r="T26" s="202"/>
      <c r="U26" s="285">
        <v>1</v>
      </c>
      <c r="V26" s="286"/>
      <c r="W26" s="291" t="s">
        <v>136</v>
      </c>
      <c r="X26" s="292"/>
      <c r="Y26" s="292"/>
      <c r="Z26" s="292"/>
      <c r="AA26" s="292"/>
      <c r="AB26" s="292"/>
      <c r="AC26" s="293"/>
      <c r="AD26" s="294"/>
      <c r="AE26" s="292"/>
      <c r="AF26" s="292"/>
      <c r="AG26" s="292"/>
      <c r="AH26" s="292"/>
      <c r="AI26" s="292"/>
      <c r="AJ26" s="293"/>
      <c r="AK26" s="295" t="s">
        <v>143</v>
      </c>
      <c r="AL26" s="296"/>
      <c r="AM26" s="296"/>
      <c r="AN26" s="296"/>
      <c r="AO26" s="296"/>
      <c r="AP26" s="296"/>
      <c r="AQ26" s="296"/>
      <c r="AR26" s="296"/>
      <c r="AS26" s="296"/>
      <c r="AT26" s="296"/>
      <c r="AU26" s="296"/>
      <c r="AV26" s="296"/>
      <c r="AW26" s="296"/>
      <c r="AX26" s="296"/>
      <c r="AY26" s="296"/>
      <c r="AZ26" s="297"/>
      <c r="BA26" s="34"/>
      <c r="BB26" s="35"/>
      <c r="BC26" s="35"/>
      <c r="BD26" s="50"/>
      <c r="BE26" s="51"/>
      <c r="BF26" s="51"/>
      <c r="BG26" s="50"/>
    </row>
    <row r="27" spans="1:59" s="56" customFormat="1" ht="36" customHeight="1" x14ac:dyDescent="0.15">
      <c r="A27" s="200">
        <f t="shared" si="1"/>
        <v>22</v>
      </c>
      <c r="B27" s="202"/>
      <c r="C27" s="287" t="s">
        <v>77</v>
      </c>
      <c r="D27" s="288"/>
      <c r="E27" s="288"/>
      <c r="F27" s="288"/>
      <c r="G27" s="288"/>
      <c r="H27" s="288"/>
      <c r="I27" s="288"/>
      <c r="J27" s="288"/>
      <c r="K27" s="288"/>
      <c r="L27" s="289"/>
      <c r="M27" s="321"/>
      <c r="N27" s="322"/>
      <c r="O27" s="322"/>
      <c r="P27" s="323"/>
      <c r="Q27" s="321"/>
      <c r="R27" s="323"/>
      <c r="S27" s="200"/>
      <c r="T27" s="202"/>
      <c r="U27" s="285"/>
      <c r="V27" s="286"/>
      <c r="W27" s="291"/>
      <c r="X27" s="292"/>
      <c r="Y27" s="292"/>
      <c r="Z27" s="292"/>
      <c r="AA27" s="292"/>
      <c r="AB27" s="292"/>
      <c r="AC27" s="293"/>
      <c r="AD27" s="294"/>
      <c r="AE27" s="292"/>
      <c r="AF27" s="292"/>
      <c r="AG27" s="292"/>
      <c r="AH27" s="292"/>
      <c r="AI27" s="292"/>
      <c r="AJ27" s="293"/>
      <c r="AK27" s="298"/>
      <c r="AL27" s="296"/>
      <c r="AM27" s="296"/>
      <c r="AN27" s="296"/>
      <c r="AO27" s="296"/>
      <c r="AP27" s="296"/>
      <c r="AQ27" s="296"/>
      <c r="AR27" s="296"/>
      <c r="AS27" s="296"/>
      <c r="AT27" s="296"/>
      <c r="AU27" s="296"/>
      <c r="AV27" s="296"/>
      <c r="AW27" s="296"/>
      <c r="AX27" s="296"/>
      <c r="AY27" s="296"/>
      <c r="AZ27" s="297"/>
      <c r="BA27" s="34"/>
      <c r="BB27" s="35"/>
      <c r="BC27" s="35"/>
      <c r="BD27" s="50"/>
      <c r="BE27" s="51"/>
      <c r="BF27" s="51"/>
      <c r="BG27" s="50"/>
    </row>
    <row r="28" spans="1:59" s="56" customFormat="1" ht="36" customHeight="1" x14ac:dyDescent="0.15">
      <c r="A28" s="200"/>
      <c r="B28" s="202"/>
      <c r="C28" s="354" t="s">
        <v>342</v>
      </c>
      <c r="D28" s="355"/>
      <c r="E28" s="355"/>
      <c r="F28" s="355"/>
      <c r="G28" s="355"/>
      <c r="H28" s="355"/>
      <c r="I28" s="355"/>
      <c r="J28" s="355"/>
      <c r="K28" s="355"/>
      <c r="L28" s="356"/>
      <c r="M28" s="357" t="s">
        <v>56</v>
      </c>
      <c r="N28" s="358"/>
      <c r="O28" s="358"/>
      <c r="P28" s="359"/>
      <c r="Q28" s="360" t="s">
        <v>119</v>
      </c>
      <c r="R28" s="361"/>
      <c r="S28" s="360"/>
      <c r="T28" s="361"/>
      <c r="U28" s="360" t="s">
        <v>325</v>
      </c>
      <c r="V28" s="361"/>
      <c r="W28" s="348" t="s">
        <v>136</v>
      </c>
      <c r="X28" s="346"/>
      <c r="Y28" s="346"/>
      <c r="Z28" s="346"/>
      <c r="AA28" s="346"/>
      <c r="AB28" s="346"/>
      <c r="AC28" s="347"/>
      <c r="AD28" s="345"/>
      <c r="AE28" s="346"/>
      <c r="AF28" s="346"/>
      <c r="AG28" s="346"/>
      <c r="AH28" s="346"/>
      <c r="AI28" s="346"/>
      <c r="AJ28" s="347"/>
      <c r="AK28" s="349" t="s">
        <v>343</v>
      </c>
      <c r="AL28" s="350"/>
      <c r="AM28" s="350"/>
      <c r="AN28" s="350"/>
      <c r="AO28" s="350"/>
      <c r="AP28" s="350"/>
      <c r="AQ28" s="350"/>
      <c r="AR28" s="350"/>
      <c r="AS28" s="350"/>
      <c r="AT28" s="350"/>
      <c r="AU28" s="350"/>
      <c r="AV28" s="350"/>
      <c r="AW28" s="350"/>
      <c r="AX28" s="350"/>
      <c r="AY28" s="350"/>
      <c r="AZ28" s="351"/>
      <c r="BA28" s="34"/>
      <c r="BB28" s="35"/>
      <c r="BC28" s="35"/>
      <c r="BD28" s="50"/>
      <c r="BE28" s="51"/>
      <c r="BF28" s="51"/>
      <c r="BG28" s="50"/>
    </row>
    <row r="29" spans="1:59" s="56" customFormat="1" ht="64.5" customHeight="1" x14ac:dyDescent="0.15">
      <c r="A29" s="200">
        <f>A27+1</f>
        <v>23</v>
      </c>
      <c r="B29" s="202"/>
      <c r="C29" s="287" t="s">
        <v>360</v>
      </c>
      <c r="D29" s="288"/>
      <c r="E29" s="288"/>
      <c r="F29" s="288"/>
      <c r="G29" s="288"/>
      <c r="H29" s="288"/>
      <c r="I29" s="288"/>
      <c r="J29" s="288"/>
      <c r="K29" s="288"/>
      <c r="L29" s="289"/>
      <c r="M29" s="321" t="s">
        <v>56</v>
      </c>
      <c r="N29" s="322"/>
      <c r="O29" s="322"/>
      <c r="P29" s="323"/>
      <c r="Q29" s="285" t="s">
        <v>119</v>
      </c>
      <c r="R29" s="286"/>
      <c r="S29" s="200"/>
      <c r="T29" s="202"/>
      <c r="U29" s="285" t="s">
        <v>325</v>
      </c>
      <c r="V29" s="286"/>
      <c r="W29" s="291" t="s">
        <v>136</v>
      </c>
      <c r="X29" s="292"/>
      <c r="Y29" s="292"/>
      <c r="Z29" s="292"/>
      <c r="AA29" s="292"/>
      <c r="AB29" s="292"/>
      <c r="AC29" s="293"/>
      <c r="AD29" s="294"/>
      <c r="AE29" s="352"/>
      <c r="AF29" s="352"/>
      <c r="AG29" s="352"/>
      <c r="AH29" s="352"/>
      <c r="AI29" s="352"/>
      <c r="AJ29" s="353"/>
      <c r="AK29" s="295" t="s">
        <v>356</v>
      </c>
      <c r="AL29" s="296"/>
      <c r="AM29" s="296"/>
      <c r="AN29" s="296"/>
      <c r="AO29" s="296"/>
      <c r="AP29" s="296"/>
      <c r="AQ29" s="296"/>
      <c r="AR29" s="296"/>
      <c r="AS29" s="296"/>
      <c r="AT29" s="296"/>
      <c r="AU29" s="296"/>
      <c r="AV29" s="296"/>
      <c r="AW29" s="296"/>
      <c r="AX29" s="296"/>
      <c r="AY29" s="296"/>
      <c r="AZ29" s="297"/>
      <c r="BA29" s="34"/>
      <c r="BB29" s="35"/>
      <c r="BC29" s="35"/>
      <c r="BD29" s="50"/>
      <c r="BE29" s="51"/>
      <c r="BF29" s="51"/>
      <c r="BG29" s="50"/>
    </row>
    <row r="30" spans="1:59" s="56" customFormat="1" ht="36" customHeight="1" x14ac:dyDescent="0.15">
      <c r="A30" s="200"/>
      <c r="B30" s="202"/>
      <c r="C30" s="287"/>
      <c r="D30" s="288"/>
      <c r="E30" s="288"/>
      <c r="F30" s="288"/>
      <c r="G30" s="288"/>
      <c r="H30" s="288"/>
      <c r="I30" s="288"/>
      <c r="J30" s="288"/>
      <c r="K30" s="288"/>
      <c r="L30" s="289"/>
      <c r="M30" s="321"/>
      <c r="N30" s="322"/>
      <c r="O30" s="322"/>
      <c r="P30" s="323"/>
      <c r="Q30" s="321"/>
      <c r="R30" s="323"/>
      <c r="S30" s="200"/>
      <c r="T30" s="202"/>
      <c r="U30" s="285"/>
      <c r="V30" s="286"/>
      <c r="W30" s="291"/>
      <c r="X30" s="292"/>
      <c r="Y30" s="292"/>
      <c r="Z30" s="292"/>
      <c r="AA30" s="292"/>
      <c r="AB30" s="292"/>
      <c r="AC30" s="293"/>
      <c r="AD30" s="294"/>
      <c r="AE30" s="352"/>
      <c r="AF30" s="352"/>
      <c r="AG30" s="352"/>
      <c r="AH30" s="352"/>
      <c r="AI30" s="352"/>
      <c r="AJ30" s="353"/>
      <c r="AK30" s="298"/>
      <c r="AL30" s="296"/>
      <c r="AM30" s="296"/>
      <c r="AN30" s="296"/>
      <c r="AO30" s="296"/>
      <c r="AP30" s="296"/>
      <c r="AQ30" s="296"/>
      <c r="AR30" s="296"/>
      <c r="AS30" s="296"/>
      <c r="AT30" s="296"/>
      <c r="AU30" s="296"/>
      <c r="AV30" s="296"/>
      <c r="AW30" s="296"/>
      <c r="AX30" s="296"/>
      <c r="AY30" s="296"/>
      <c r="AZ30" s="297"/>
      <c r="BA30" s="34"/>
      <c r="BB30" s="35"/>
      <c r="BC30" s="35"/>
      <c r="BD30" s="50"/>
      <c r="BE30" s="51"/>
      <c r="BF30" s="51"/>
      <c r="BG30" s="50"/>
    </row>
    <row r="31" spans="1:59" s="56" customFormat="1" ht="36" customHeight="1" x14ac:dyDescent="0.15">
      <c r="A31" s="307"/>
      <c r="B31" s="308"/>
      <c r="C31" s="317"/>
      <c r="D31" s="318"/>
      <c r="E31" s="318"/>
      <c r="F31" s="318"/>
      <c r="G31" s="318"/>
      <c r="H31" s="318"/>
      <c r="I31" s="318"/>
      <c r="J31" s="318"/>
      <c r="K31" s="318"/>
      <c r="L31" s="319"/>
      <c r="M31" s="299"/>
      <c r="N31" s="320"/>
      <c r="O31" s="320"/>
      <c r="P31" s="300"/>
      <c r="Q31" s="299"/>
      <c r="R31" s="300"/>
      <c r="S31" s="307"/>
      <c r="T31" s="308"/>
      <c r="U31" s="299" t="str">
        <f t="shared" ref="U31" si="2">IF(OR(M31="ラジオボタン",M31="ボタン",M31="スプレッド",M31="選択"),"-","")</f>
        <v/>
      </c>
      <c r="V31" s="300"/>
      <c r="W31" s="301"/>
      <c r="X31" s="302"/>
      <c r="Y31" s="302"/>
      <c r="Z31" s="302"/>
      <c r="AA31" s="302"/>
      <c r="AB31" s="302"/>
      <c r="AC31" s="303"/>
      <c r="AD31" s="301"/>
      <c r="AE31" s="302"/>
      <c r="AF31" s="302"/>
      <c r="AG31" s="302"/>
      <c r="AH31" s="302"/>
      <c r="AI31" s="302"/>
      <c r="AJ31" s="303"/>
      <c r="AK31" s="304"/>
      <c r="AL31" s="305"/>
      <c r="AM31" s="305"/>
      <c r="AN31" s="305"/>
      <c r="AO31" s="305"/>
      <c r="AP31" s="305"/>
      <c r="AQ31" s="305"/>
      <c r="AR31" s="305"/>
      <c r="AS31" s="305"/>
      <c r="AT31" s="305"/>
      <c r="AU31" s="305"/>
      <c r="AV31" s="305"/>
      <c r="AW31" s="305"/>
      <c r="AX31" s="305"/>
      <c r="AY31" s="305"/>
      <c r="AZ31" s="306"/>
      <c r="BA31" s="96" t="str">
        <f>IF(BB31&amp;BC31&lt;&gt;"",MAX(BA$5:BA30)+1,"")</f>
        <v/>
      </c>
      <c r="BB31" s="97"/>
      <c r="BC31" s="97"/>
      <c r="BD31" s="98"/>
      <c r="BE31" s="99"/>
      <c r="BF31" s="99"/>
      <c r="BG31" s="98"/>
    </row>
    <row r="32" spans="1:59" x14ac:dyDescent="0.15">
      <c r="BB32" s="100"/>
      <c r="BC32" s="100"/>
      <c r="BD32" s="100"/>
    </row>
    <row r="33" spans="54:56" x14ac:dyDescent="0.15">
      <c r="BB33" s="100"/>
      <c r="BC33" s="100"/>
      <c r="BD33" s="100"/>
    </row>
    <row r="34" spans="54:56" x14ac:dyDescent="0.15">
      <c r="BB34" s="100"/>
      <c r="BC34" s="100"/>
      <c r="BD34" s="100"/>
    </row>
    <row r="35" spans="54:56" x14ac:dyDescent="0.15">
      <c r="BB35" s="100"/>
      <c r="BC35" s="100"/>
      <c r="BD35" s="100"/>
    </row>
  </sheetData>
  <mergeCells count="248">
    <mergeCell ref="C30:L30"/>
    <mergeCell ref="M30:P30"/>
    <mergeCell ref="Q30:R30"/>
    <mergeCell ref="S30:T30"/>
    <mergeCell ref="U30:V30"/>
    <mergeCell ref="W30:AC30"/>
    <mergeCell ref="AD30:AJ30"/>
    <mergeCell ref="AK30:AZ30"/>
    <mergeCell ref="A7:B7"/>
    <mergeCell ref="C7:L7"/>
    <mergeCell ref="M7:P7"/>
    <mergeCell ref="Q7:R7"/>
    <mergeCell ref="S7:T7"/>
    <mergeCell ref="U7:V7"/>
    <mergeCell ref="W7:AC7"/>
    <mergeCell ref="AD7:AJ7"/>
    <mergeCell ref="AK7:AZ7"/>
    <mergeCell ref="AK28:AZ28"/>
    <mergeCell ref="A29:B29"/>
    <mergeCell ref="C29:L29"/>
    <mergeCell ref="M29:P29"/>
    <mergeCell ref="Q29:R29"/>
    <mergeCell ref="S29:T29"/>
    <mergeCell ref="U29:V29"/>
    <mergeCell ref="W29:AC29"/>
    <mergeCell ref="AD29:AJ29"/>
    <mergeCell ref="AK29:AZ29"/>
    <mergeCell ref="A28:B28"/>
    <mergeCell ref="C28:L28"/>
    <mergeCell ref="M28:P28"/>
    <mergeCell ref="Q28:R28"/>
    <mergeCell ref="S28:T28"/>
    <mergeCell ref="U28:V28"/>
    <mergeCell ref="A18:B18"/>
    <mergeCell ref="C17:L17"/>
    <mergeCell ref="C22:L22"/>
    <mergeCell ref="A23:B23"/>
    <mergeCell ref="W17:AC17"/>
    <mergeCell ref="W22:AC22"/>
    <mergeCell ref="A25:B25"/>
    <mergeCell ref="AD28:AJ28"/>
    <mergeCell ref="U23:V23"/>
    <mergeCell ref="W28:AC28"/>
    <mergeCell ref="W24:AC24"/>
    <mergeCell ref="Q27:R27"/>
    <mergeCell ref="S27:T27"/>
    <mergeCell ref="U27:V27"/>
    <mergeCell ref="A26:B26"/>
    <mergeCell ref="C24:L24"/>
    <mergeCell ref="M24:P24"/>
    <mergeCell ref="Q24:R24"/>
    <mergeCell ref="S24:T24"/>
    <mergeCell ref="U24:V24"/>
    <mergeCell ref="A22:B22"/>
    <mergeCell ref="C21:L21"/>
    <mergeCell ref="M21:P21"/>
    <mergeCell ref="Q21:R21"/>
    <mergeCell ref="S21:T21"/>
    <mergeCell ref="U21:V21"/>
    <mergeCell ref="AK21:AZ21"/>
    <mergeCell ref="W21:AC21"/>
    <mergeCell ref="S26:T26"/>
    <mergeCell ref="U26:V26"/>
    <mergeCell ref="W26:AC26"/>
    <mergeCell ref="AD26:AJ26"/>
    <mergeCell ref="AK26:AZ26"/>
    <mergeCell ref="Q22:R22"/>
    <mergeCell ref="S22:T22"/>
    <mergeCell ref="U22:V22"/>
    <mergeCell ref="W23:AC23"/>
    <mergeCell ref="AD17:AJ17"/>
    <mergeCell ref="AK17:AZ17"/>
    <mergeCell ref="C18:L18"/>
    <mergeCell ref="M18:P18"/>
    <mergeCell ref="Q18:R18"/>
    <mergeCell ref="C19:L19"/>
    <mergeCell ref="M19:P19"/>
    <mergeCell ref="Q19:R19"/>
    <mergeCell ref="S19:T19"/>
    <mergeCell ref="U19:V19"/>
    <mergeCell ref="W19:AC19"/>
    <mergeCell ref="AD19:AJ19"/>
    <mergeCell ref="AK19:AZ19"/>
    <mergeCell ref="AD18:AJ18"/>
    <mergeCell ref="AK18:AZ18"/>
    <mergeCell ref="W18:AC18"/>
    <mergeCell ref="Q17:R17"/>
    <mergeCell ref="S18:T18"/>
    <mergeCell ref="U18:V18"/>
    <mergeCell ref="AG1:AZ1"/>
    <mergeCell ref="AG2:AZ2"/>
    <mergeCell ref="AG3:AZ3"/>
    <mergeCell ref="V3:AF3"/>
    <mergeCell ref="V1:AF1"/>
    <mergeCell ref="AD8:AJ8"/>
    <mergeCell ref="K1:U1"/>
    <mergeCell ref="K2:U2"/>
    <mergeCell ref="AK8:AZ8"/>
    <mergeCell ref="A9:B9"/>
    <mergeCell ref="C9:L9"/>
    <mergeCell ref="M9:P9"/>
    <mergeCell ref="A13:B13"/>
    <mergeCell ref="C13:L13"/>
    <mergeCell ref="M13:P13"/>
    <mergeCell ref="BF2:BF3"/>
    <mergeCell ref="BG2:BG3"/>
    <mergeCell ref="W8:AC8"/>
    <mergeCell ref="V2:AF2"/>
    <mergeCell ref="Q6:R6"/>
    <mergeCell ref="BD2:BD3"/>
    <mergeCell ref="BE2:BE3"/>
    <mergeCell ref="Q8:R8"/>
    <mergeCell ref="AK6:AZ6"/>
    <mergeCell ref="S6:T6"/>
    <mergeCell ref="U6:V6"/>
    <mergeCell ref="S8:T8"/>
    <mergeCell ref="U8:V8"/>
    <mergeCell ref="AD6:AJ6"/>
    <mergeCell ref="W6:AC6"/>
    <mergeCell ref="A1:J3"/>
    <mergeCell ref="K3:U3"/>
    <mergeCell ref="A6:B6"/>
    <mergeCell ref="C6:L6"/>
    <mergeCell ref="M6:P6"/>
    <mergeCell ref="A17:B17"/>
    <mergeCell ref="M8:P8"/>
    <mergeCell ref="A31:B31"/>
    <mergeCell ref="Q31:R31"/>
    <mergeCell ref="A21:B21"/>
    <mergeCell ref="C31:L31"/>
    <mergeCell ref="M31:P31"/>
    <mergeCell ref="S17:T17"/>
    <mergeCell ref="U17:V17"/>
    <mergeCell ref="Q26:R26"/>
    <mergeCell ref="A8:B8"/>
    <mergeCell ref="C8:L8"/>
    <mergeCell ref="C20:L20"/>
    <mergeCell ref="A24:B24"/>
    <mergeCell ref="A19:B19"/>
    <mergeCell ref="M17:P17"/>
    <mergeCell ref="A20:B20"/>
    <mergeCell ref="A27:B27"/>
    <mergeCell ref="C26:L26"/>
    <mergeCell ref="AD24:AJ24"/>
    <mergeCell ref="W27:AC27"/>
    <mergeCell ref="AD27:AJ27"/>
    <mergeCell ref="AD23:AJ23"/>
    <mergeCell ref="A30:B30"/>
    <mergeCell ref="AD20:AJ20"/>
    <mergeCell ref="U31:V31"/>
    <mergeCell ref="W31:AC31"/>
    <mergeCell ref="AK31:AZ31"/>
    <mergeCell ref="AD31:AJ31"/>
    <mergeCell ref="S31:T31"/>
    <mergeCell ref="AK27:AZ27"/>
    <mergeCell ref="W20:AC20"/>
    <mergeCell ref="M26:P26"/>
    <mergeCell ref="M22:P22"/>
    <mergeCell ref="M20:P20"/>
    <mergeCell ref="C27:L27"/>
    <mergeCell ref="M27:P27"/>
    <mergeCell ref="C23:L23"/>
    <mergeCell ref="M23:P23"/>
    <mergeCell ref="Q23:R23"/>
    <mergeCell ref="AK20:AZ20"/>
    <mergeCell ref="AK23:AZ23"/>
    <mergeCell ref="AD21:AJ21"/>
    <mergeCell ref="Q9:R9"/>
    <mergeCell ref="S9:T9"/>
    <mergeCell ref="U9:V9"/>
    <mergeCell ref="W9:AC9"/>
    <mergeCell ref="AD9:AJ9"/>
    <mergeCell ref="AK9:AZ9"/>
    <mergeCell ref="A11:B11"/>
    <mergeCell ref="C11:L11"/>
    <mergeCell ref="M11:P11"/>
    <mergeCell ref="Q11:R11"/>
    <mergeCell ref="S11:T11"/>
    <mergeCell ref="U11:V11"/>
    <mergeCell ref="W11:AC11"/>
    <mergeCell ref="AD11:AJ11"/>
    <mergeCell ref="AK11:AZ11"/>
    <mergeCell ref="A10:B10"/>
    <mergeCell ref="C10:L10"/>
    <mergeCell ref="M10:P10"/>
    <mergeCell ref="Q10:R10"/>
    <mergeCell ref="S10:T10"/>
    <mergeCell ref="U10:V10"/>
    <mergeCell ref="W10:AC10"/>
    <mergeCell ref="AD10:AJ10"/>
    <mergeCell ref="AK10:AZ10"/>
    <mergeCell ref="Q13:R13"/>
    <mergeCell ref="S13:T13"/>
    <mergeCell ref="U13:V13"/>
    <mergeCell ref="W13:AC13"/>
    <mergeCell ref="AD13:AJ13"/>
    <mergeCell ref="AK13:AZ13"/>
    <mergeCell ref="A12:B12"/>
    <mergeCell ref="C12:L12"/>
    <mergeCell ref="M12:P12"/>
    <mergeCell ref="Q12:R12"/>
    <mergeCell ref="S12:T12"/>
    <mergeCell ref="U12:V12"/>
    <mergeCell ref="W12:AC12"/>
    <mergeCell ref="AD12:AJ12"/>
    <mergeCell ref="AK12:AZ12"/>
    <mergeCell ref="A15:B15"/>
    <mergeCell ref="C15:L15"/>
    <mergeCell ref="M15:P15"/>
    <mergeCell ref="Q15:R15"/>
    <mergeCell ref="S15:T15"/>
    <mergeCell ref="U15:V15"/>
    <mergeCell ref="W15:AC15"/>
    <mergeCell ref="AD15:AJ15"/>
    <mergeCell ref="AK15:AZ15"/>
    <mergeCell ref="A14:B14"/>
    <mergeCell ref="C14:L14"/>
    <mergeCell ref="M14:P14"/>
    <mergeCell ref="Q14:R14"/>
    <mergeCell ref="S14:T14"/>
    <mergeCell ref="U14:V14"/>
    <mergeCell ref="W14:AC14"/>
    <mergeCell ref="AD14:AJ14"/>
    <mergeCell ref="AK14:AZ14"/>
    <mergeCell ref="C25:L25"/>
    <mergeCell ref="M25:P25"/>
    <mergeCell ref="Q25:R25"/>
    <mergeCell ref="S25:T25"/>
    <mergeCell ref="U25:V25"/>
    <mergeCell ref="W25:AC25"/>
    <mergeCell ref="AD25:AJ25"/>
    <mergeCell ref="AK25:AZ25"/>
    <mergeCell ref="A16:B16"/>
    <mergeCell ref="C16:L16"/>
    <mergeCell ref="M16:P16"/>
    <mergeCell ref="Q16:R16"/>
    <mergeCell ref="S16:T16"/>
    <mergeCell ref="U16:V16"/>
    <mergeCell ref="W16:AC16"/>
    <mergeCell ref="AD16:AJ16"/>
    <mergeCell ref="AK16:AZ16"/>
    <mergeCell ref="AD22:AJ22"/>
    <mergeCell ref="AK22:AZ22"/>
    <mergeCell ref="Q20:R20"/>
    <mergeCell ref="S20:T20"/>
    <mergeCell ref="S23:T23"/>
    <mergeCell ref="U20:V20"/>
    <mergeCell ref="AK24:AZ24"/>
  </mergeCells>
  <phoneticPr fontId="2"/>
  <dataValidations count="7">
    <dataValidation type="list" allowBlank="1" showInputMessage="1" showErrorMessage="1" sqref="Q6 Q7:R31" xr:uid="{00000000-0002-0000-0500-000000000000}">
      <formula1>"I,O,I/O"</formula1>
    </dataValidation>
    <dataValidation type="list" allowBlank="1" showInputMessage="1" showErrorMessage="1" sqref="S6 S7:T31" xr:uid="{00000000-0002-0000-0500-000001000000}">
      <formula1>"○"</formula1>
    </dataValidation>
    <dataValidation type="list" allowBlank="1" showInputMessage="1" showErrorMessage="1" sqref="M6" xr:uid="{00000000-0002-0000-0500-000002000000}">
      <formula1>"日付,数値,テキスト,ラベル,選択,チェック,ラジオボタン,ボタン,スプレッド"</formula1>
    </dataValidation>
    <dataValidation type="list" allowBlank="1" showInputMessage="1" showErrorMessage="1" sqref="BC6:BC31" xr:uid="{00000000-0002-0000-0500-000003000000}">
      <formula1>"有"</formula1>
    </dataValidation>
    <dataValidation type="list" allowBlank="1" showInputMessage="1" showErrorMessage="1" sqref="BF6:BF31" xr:uid="{00000000-0002-0000-0500-000004000000}">
      <formula1>"○,×,×→○"</formula1>
    </dataValidation>
    <dataValidation type="list" allowBlank="1" showInputMessage="1" showErrorMessage="1" sqref="BB6:BB31" xr:uid="{00000000-0002-0000-0500-000005000000}">
      <formula1>"正・単,正・複,異・単,異・複"</formula1>
    </dataValidation>
    <dataValidation type="list" allowBlank="1" showInputMessage="1" showErrorMessage="1" sqref="M7:M31" xr:uid="{00000000-0002-0000-0500-000006000000}">
      <formula1>"日付,数値,テキスト,ラベル,選択,チェック,ラジオボタン,ボタン"</formula1>
    </dataValidation>
  </dataValidations>
  <pageMargins left="0.59055118110236227" right="0.59055118110236227" top="0.78740157480314965" bottom="0.59055118110236227" header="0.51181102362204722" footer="0.31496062992125984"/>
  <pageSetup paperSize="9" orientation="landscape" useFirstPageNumber="1" r:id="rId1"/>
  <headerFooter alignWithMargins="0">
    <oddFooter>&amp;C項目仕様－&amp;P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EF64-3728-49E1-AAD1-8CC3BA2B2E3B}">
  <sheetPr>
    <pageSetUpPr fitToPage="1"/>
  </sheetPr>
  <dimension ref="A1:BL190"/>
  <sheetViews>
    <sheetView view="pageBreakPreview" zoomScaleNormal="85" zoomScaleSheetLayoutView="100" workbookViewId="0">
      <pane ySplit="5" topLeftCell="A6" activePane="bottomLeft" state="frozenSplit"/>
      <selection activeCell="A5" sqref="A5:B5"/>
      <selection pane="bottomLeft" activeCell="A6" sqref="A6:B6"/>
    </sheetView>
  </sheetViews>
  <sheetFormatPr defaultColWidth="2.625" defaultRowHeight="13.5" x14ac:dyDescent="0.15"/>
  <cols>
    <col min="1" max="1" width="9" style="8" customWidth="1"/>
    <col min="2" max="22" width="2.625" style="8"/>
    <col min="23" max="25" width="2.625" style="8" customWidth="1"/>
    <col min="26" max="52" width="2.625" style="8"/>
    <col min="53" max="53" width="3.75" style="38" bestFit="1" customWidth="1"/>
    <col min="54" max="54" width="7.75" style="38" bestFit="1" customWidth="1"/>
    <col min="55" max="55" width="5.75" style="38" bestFit="1" customWidth="1"/>
    <col min="56" max="57" width="11.875" style="38" bestFit="1" customWidth="1"/>
    <col min="58" max="58" width="14.125" style="38" bestFit="1" customWidth="1"/>
    <col min="59" max="59" width="14" style="38" customWidth="1"/>
    <col min="60" max="16384" width="2.625" style="8"/>
  </cols>
  <sheetData>
    <row r="1" spans="1:64" ht="14.25" customHeight="1" x14ac:dyDescent="0.15">
      <c r="A1" s="199" t="s">
        <v>146</v>
      </c>
      <c r="B1" s="199"/>
      <c r="C1" s="199"/>
      <c r="D1" s="199"/>
      <c r="E1" s="199"/>
      <c r="F1" s="199"/>
      <c r="G1" s="199"/>
      <c r="H1" s="199"/>
      <c r="I1" s="199"/>
      <c r="J1" s="199"/>
      <c r="K1" s="188" t="s">
        <v>22</v>
      </c>
      <c r="L1" s="188"/>
      <c r="M1" s="188"/>
      <c r="N1" s="188"/>
      <c r="O1" s="188"/>
      <c r="P1" s="188"/>
      <c r="Q1" s="188"/>
      <c r="R1" s="188"/>
      <c r="S1" s="188"/>
      <c r="T1" s="188"/>
      <c r="U1" s="188"/>
      <c r="V1" s="188" t="s">
        <v>23</v>
      </c>
      <c r="W1" s="188"/>
      <c r="X1" s="188"/>
      <c r="Y1" s="188"/>
      <c r="Z1" s="188"/>
      <c r="AA1" s="188"/>
      <c r="AB1" s="188"/>
      <c r="AC1" s="188"/>
      <c r="AD1" s="188"/>
      <c r="AE1" s="188"/>
      <c r="AF1" s="188"/>
      <c r="AG1" s="182" t="s">
        <v>24</v>
      </c>
      <c r="AH1" s="212"/>
      <c r="AI1" s="212"/>
      <c r="AJ1" s="212"/>
      <c r="AK1" s="212"/>
      <c r="AL1" s="212"/>
      <c r="AM1" s="212"/>
      <c r="AN1" s="212"/>
      <c r="AO1" s="212"/>
      <c r="AP1" s="212"/>
      <c r="AQ1" s="212"/>
      <c r="AR1" s="212"/>
      <c r="AS1" s="212"/>
      <c r="AT1" s="212"/>
      <c r="AU1" s="212"/>
      <c r="AV1" s="212"/>
      <c r="AW1" s="212"/>
      <c r="AX1" s="212"/>
      <c r="AY1" s="212"/>
      <c r="AZ1" s="213"/>
      <c r="BA1" s="8"/>
      <c r="BB1" s="8"/>
      <c r="BC1" s="8"/>
      <c r="BD1" s="21" t="s">
        <v>63</v>
      </c>
      <c r="BE1" s="21" t="s">
        <v>64</v>
      </c>
      <c r="BF1" s="21" t="s">
        <v>65</v>
      </c>
      <c r="BG1" s="21" t="s">
        <v>66</v>
      </c>
    </row>
    <row r="2" spans="1:64" ht="14.25" customHeight="1" x14ac:dyDescent="0.15">
      <c r="A2" s="199"/>
      <c r="B2" s="199"/>
      <c r="C2" s="199"/>
      <c r="D2" s="199"/>
      <c r="E2" s="199"/>
      <c r="F2" s="199"/>
      <c r="G2" s="199"/>
      <c r="H2" s="199"/>
      <c r="I2" s="199"/>
      <c r="J2" s="199"/>
      <c r="K2" s="214" t="str">
        <f>表紙!K2</f>
        <v>BQ</v>
      </c>
      <c r="L2" s="215"/>
      <c r="M2" s="215"/>
      <c r="N2" s="215"/>
      <c r="O2" s="215"/>
      <c r="P2" s="215"/>
      <c r="Q2" s="215"/>
      <c r="R2" s="215"/>
      <c r="S2" s="215"/>
      <c r="T2" s="215"/>
      <c r="U2" s="215"/>
      <c r="V2" s="214" t="str">
        <f>表紙!V2</f>
        <v>受講管理システム</v>
      </c>
      <c r="W2" s="215"/>
      <c r="X2" s="215"/>
      <c r="Y2" s="215"/>
      <c r="Z2" s="215"/>
      <c r="AA2" s="215"/>
      <c r="AB2" s="215"/>
      <c r="AC2" s="215"/>
      <c r="AD2" s="215"/>
      <c r="AE2" s="215"/>
      <c r="AF2" s="215"/>
      <c r="AG2" s="185" t="str">
        <f>表紙!AG2</f>
        <v>BJ990100E</v>
      </c>
      <c r="AH2" s="377"/>
      <c r="AI2" s="377"/>
      <c r="AJ2" s="377"/>
      <c r="AK2" s="377"/>
      <c r="AL2" s="377"/>
      <c r="AM2" s="377"/>
      <c r="AN2" s="377"/>
      <c r="AO2" s="377"/>
      <c r="AP2" s="377"/>
      <c r="AQ2" s="377"/>
      <c r="AR2" s="377"/>
      <c r="AS2" s="377"/>
      <c r="AT2" s="377"/>
      <c r="AU2" s="377"/>
      <c r="AV2" s="377"/>
      <c r="AW2" s="377"/>
      <c r="AX2" s="377"/>
      <c r="AY2" s="377"/>
      <c r="AZ2" s="378"/>
      <c r="BA2" s="8"/>
      <c r="BB2" s="8"/>
      <c r="BC2" s="8"/>
      <c r="BD2" s="327">
        <f xml:space="preserve"> COUNTA(BB6:BB183)</f>
        <v>49</v>
      </c>
      <c r="BE2" s="327">
        <f xml:space="preserve"> COUNTIF(BF6:BF183,"○")</f>
        <v>0</v>
      </c>
      <c r="BF2" s="327">
        <f xml:space="preserve"> COUNTIF(BF6:BF183,"×*")</f>
        <v>0</v>
      </c>
      <c r="BG2" s="327">
        <f xml:space="preserve"> BD2 - COUNTIF(BG6:BG183,"&gt;=1900/1/1")</f>
        <v>49</v>
      </c>
    </row>
    <row r="3" spans="1:64" ht="14.25" customHeight="1" x14ac:dyDescent="0.15">
      <c r="A3" s="199"/>
      <c r="B3" s="199"/>
      <c r="C3" s="199"/>
      <c r="D3" s="199"/>
      <c r="E3" s="199"/>
      <c r="F3" s="199"/>
      <c r="G3" s="199"/>
      <c r="H3" s="199"/>
      <c r="I3" s="199"/>
      <c r="J3" s="199"/>
      <c r="K3" s="215" t="str">
        <f>表紙!K3</f>
        <v>BJ</v>
      </c>
      <c r="L3" s="215"/>
      <c r="M3" s="215"/>
      <c r="N3" s="215"/>
      <c r="O3" s="215"/>
      <c r="P3" s="215"/>
      <c r="Q3" s="215"/>
      <c r="R3" s="215"/>
      <c r="S3" s="215"/>
      <c r="T3" s="215"/>
      <c r="U3" s="215"/>
      <c r="V3" s="214" t="str">
        <f>表紙!V3</f>
        <v>マスタメンテナンス</v>
      </c>
      <c r="W3" s="215"/>
      <c r="X3" s="215"/>
      <c r="Y3" s="215"/>
      <c r="Z3" s="215"/>
      <c r="AA3" s="215"/>
      <c r="AB3" s="215"/>
      <c r="AC3" s="215"/>
      <c r="AD3" s="215"/>
      <c r="AE3" s="215"/>
      <c r="AF3" s="215"/>
      <c r="AG3" s="185" t="str">
        <f>表紙!AG3</f>
        <v>ログインユーザマスタ管理</v>
      </c>
      <c r="AH3" s="377"/>
      <c r="AI3" s="377"/>
      <c r="AJ3" s="377"/>
      <c r="AK3" s="377"/>
      <c r="AL3" s="377"/>
      <c r="AM3" s="377"/>
      <c r="AN3" s="377"/>
      <c r="AO3" s="377"/>
      <c r="AP3" s="377"/>
      <c r="AQ3" s="377"/>
      <c r="AR3" s="377"/>
      <c r="AS3" s="377"/>
      <c r="AT3" s="377"/>
      <c r="AU3" s="377"/>
      <c r="AV3" s="377"/>
      <c r="AW3" s="377"/>
      <c r="AX3" s="377"/>
      <c r="AY3" s="377"/>
      <c r="AZ3" s="378"/>
      <c r="BA3" s="8"/>
      <c r="BB3" s="8"/>
      <c r="BC3" s="8"/>
      <c r="BD3" s="328"/>
      <c r="BE3" s="328"/>
      <c r="BF3" s="328"/>
      <c r="BG3" s="328"/>
    </row>
    <row r="4" spans="1:64" ht="6" customHeight="1" x14ac:dyDescent="0.15">
      <c r="A4" s="22"/>
      <c r="B4" s="23"/>
      <c r="C4" s="23"/>
      <c r="D4" s="23"/>
      <c r="E4" s="23"/>
      <c r="F4" s="23"/>
      <c r="G4" s="23"/>
      <c r="H4" s="23"/>
      <c r="I4" s="23"/>
      <c r="J4" s="23"/>
      <c r="K4" s="23"/>
      <c r="L4" s="24"/>
      <c r="M4" s="24"/>
      <c r="N4" s="24"/>
      <c r="O4" s="24"/>
      <c r="P4" s="24"/>
      <c r="Q4" s="24"/>
      <c r="R4" s="24"/>
      <c r="S4" s="24"/>
      <c r="T4" s="24"/>
      <c r="U4" s="24"/>
      <c r="V4" s="25"/>
      <c r="W4" s="25"/>
      <c r="X4" s="25"/>
      <c r="Y4" s="25"/>
      <c r="Z4" s="25"/>
      <c r="AA4" s="25"/>
      <c r="AB4" s="25"/>
      <c r="AC4" s="25"/>
      <c r="AD4" s="25"/>
      <c r="AE4" s="25"/>
      <c r="AF4" s="25"/>
      <c r="AG4" s="24"/>
      <c r="AH4" s="24"/>
      <c r="AI4" s="24"/>
      <c r="AJ4" s="24"/>
      <c r="AK4" s="24"/>
      <c r="AL4" s="24"/>
      <c r="AM4" s="24"/>
      <c r="AN4" s="24"/>
      <c r="AO4" s="24"/>
      <c r="AP4" s="24"/>
      <c r="AQ4" s="24"/>
      <c r="AR4" s="24"/>
      <c r="AS4" s="24"/>
      <c r="AT4" s="24"/>
      <c r="AU4" s="24"/>
      <c r="AV4" s="24"/>
      <c r="AW4" s="24"/>
      <c r="AX4" s="24"/>
      <c r="AY4" s="24"/>
      <c r="AZ4" s="26"/>
      <c r="BA4" s="12"/>
      <c r="BB4" s="12"/>
      <c r="BC4" s="12"/>
      <c r="BD4" s="12"/>
      <c r="BE4" s="12"/>
      <c r="BF4" s="12"/>
      <c r="BG4" s="12"/>
      <c r="BH4" s="27"/>
      <c r="BI4" s="27"/>
      <c r="BJ4" s="27"/>
      <c r="BK4" s="27"/>
      <c r="BL4" s="27"/>
    </row>
    <row r="5" spans="1:64" s="56" customFormat="1" ht="14.25" customHeight="1" x14ac:dyDescent="0.15">
      <c r="A5" s="54" t="s">
        <v>9</v>
      </c>
      <c r="B5" s="55"/>
      <c r="C5" s="374" t="s">
        <v>147</v>
      </c>
      <c r="D5" s="375"/>
      <c r="E5" s="375"/>
      <c r="F5" s="375"/>
      <c r="G5" s="375"/>
      <c r="H5" s="375"/>
      <c r="I5" s="375"/>
      <c r="J5" s="375"/>
      <c r="K5" s="376"/>
      <c r="L5" s="374" t="s">
        <v>148</v>
      </c>
      <c r="M5" s="375"/>
      <c r="N5" s="375"/>
      <c r="O5" s="375"/>
      <c r="P5" s="375"/>
      <c r="Q5" s="375"/>
      <c r="R5" s="375"/>
      <c r="S5" s="375"/>
      <c r="T5" s="376"/>
      <c r="U5" s="374" t="s">
        <v>28</v>
      </c>
      <c r="V5" s="375"/>
      <c r="W5" s="375"/>
      <c r="X5" s="375"/>
      <c r="Y5" s="375"/>
      <c r="Z5" s="375"/>
      <c r="AA5" s="375"/>
      <c r="AB5" s="375"/>
      <c r="AC5" s="375"/>
      <c r="AD5" s="375"/>
      <c r="AE5" s="375"/>
      <c r="AF5" s="375"/>
      <c r="AG5" s="375"/>
      <c r="AH5" s="375"/>
      <c r="AI5" s="375"/>
      <c r="AJ5" s="375"/>
      <c r="AK5" s="375"/>
      <c r="AL5" s="375"/>
      <c r="AM5" s="375"/>
      <c r="AN5" s="375"/>
      <c r="AO5" s="375"/>
      <c r="AP5" s="375"/>
      <c r="AQ5" s="375"/>
      <c r="AR5" s="375"/>
      <c r="AS5" s="375"/>
      <c r="AT5" s="375"/>
      <c r="AU5" s="375"/>
      <c r="AV5" s="375"/>
      <c r="AW5" s="375"/>
      <c r="AX5" s="375"/>
      <c r="AY5" s="375"/>
      <c r="AZ5" s="376"/>
      <c r="BA5" s="28" t="s">
        <v>31</v>
      </c>
      <c r="BB5" s="28" t="s">
        <v>67</v>
      </c>
      <c r="BC5" s="28" t="s">
        <v>32</v>
      </c>
      <c r="BD5" s="28" t="s">
        <v>68</v>
      </c>
      <c r="BE5" s="28" t="s">
        <v>69</v>
      </c>
      <c r="BF5" s="28" t="s">
        <v>70</v>
      </c>
      <c r="BG5" s="28" t="s">
        <v>71</v>
      </c>
      <c r="BH5" s="64"/>
      <c r="BI5" s="64"/>
      <c r="BJ5" s="64"/>
      <c r="BK5" s="64"/>
      <c r="BL5" s="64"/>
    </row>
    <row r="6" spans="1:64" s="56" customFormat="1" ht="14.25" customHeight="1" x14ac:dyDescent="0.15">
      <c r="A6" s="314">
        <v>1</v>
      </c>
      <c r="B6" s="316"/>
      <c r="C6" s="365" t="str">
        <f>IF(A6&lt;&gt;"",VLOOKUP(A6,項目仕様!$A$6:$L$129,3),"")</f>
        <v>ログインユーザマスタ管理画面</v>
      </c>
      <c r="D6" s="366"/>
      <c r="E6" s="366"/>
      <c r="F6" s="366"/>
      <c r="G6" s="366"/>
      <c r="H6" s="366"/>
      <c r="I6" s="366"/>
      <c r="J6" s="366"/>
      <c r="K6" s="367"/>
      <c r="L6" s="287" t="s">
        <v>149</v>
      </c>
      <c r="M6" s="288"/>
      <c r="N6" s="288"/>
      <c r="O6" s="288"/>
      <c r="P6" s="288"/>
      <c r="Q6" s="288"/>
      <c r="R6" s="288"/>
      <c r="S6" s="288"/>
      <c r="T6" s="289"/>
      <c r="U6" s="65" t="s">
        <v>150</v>
      </c>
      <c r="V6" s="66"/>
      <c r="W6" s="66" t="s">
        <v>151</v>
      </c>
      <c r="X6" s="66"/>
      <c r="Y6" s="66"/>
      <c r="Z6" s="66"/>
      <c r="AA6" s="66"/>
      <c r="AB6" s="66"/>
      <c r="AC6" s="66"/>
      <c r="AD6" s="66"/>
      <c r="AE6" s="67"/>
      <c r="AF6" s="67"/>
      <c r="AG6" s="67"/>
      <c r="AH6" s="67"/>
      <c r="AI6" s="67"/>
      <c r="AJ6" s="66"/>
      <c r="AK6" s="66"/>
      <c r="AL6" s="66"/>
      <c r="AM6" s="66"/>
      <c r="AN6" s="66"/>
      <c r="AO6" s="66"/>
      <c r="AP6" s="66"/>
      <c r="AQ6" s="66"/>
      <c r="AR6" s="66"/>
      <c r="AS6" s="66"/>
      <c r="AT6" s="66"/>
      <c r="AU6" s="66"/>
      <c r="AV6" s="66"/>
      <c r="AW6" s="66"/>
      <c r="AX6" s="66"/>
      <c r="AY6" s="66"/>
      <c r="AZ6" s="68"/>
      <c r="BA6" s="69" t="str">
        <f>IF(BB6&amp;BC6&lt;&gt;"",MAX(BA$5:BA5)+1,"")</f>
        <v/>
      </c>
      <c r="BB6" s="35"/>
      <c r="BC6" s="42"/>
      <c r="BD6" s="50"/>
      <c r="BE6" s="51"/>
      <c r="BF6" s="51"/>
      <c r="BG6" s="50"/>
      <c r="BH6" s="64"/>
      <c r="BI6" s="64"/>
      <c r="BJ6" s="64"/>
      <c r="BK6" s="64"/>
      <c r="BL6" s="64"/>
    </row>
    <row r="7" spans="1:64" s="56" customFormat="1" ht="14.25" customHeight="1" x14ac:dyDescent="0.15">
      <c r="A7" s="200"/>
      <c r="B7" s="202"/>
      <c r="C7" s="365" t="str">
        <f>IF(A7&lt;&gt;"",VLOOKUP(A7,項目仕様!$A$6:$L$129,3),"")</f>
        <v/>
      </c>
      <c r="D7" s="366"/>
      <c r="E7" s="366"/>
      <c r="F7" s="366"/>
      <c r="G7" s="366"/>
      <c r="H7" s="366"/>
      <c r="I7" s="366"/>
      <c r="J7" s="366"/>
      <c r="K7" s="367"/>
      <c r="L7" s="287"/>
      <c r="M7" s="288"/>
      <c r="N7" s="288"/>
      <c r="O7" s="288"/>
      <c r="P7" s="288"/>
      <c r="Q7" s="288"/>
      <c r="R7" s="288"/>
      <c r="S7" s="288"/>
      <c r="T7" s="289"/>
      <c r="U7" s="58"/>
      <c r="V7" s="70" t="s">
        <v>152</v>
      </c>
      <c r="W7" s="57"/>
      <c r="X7" s="71" t="s">
        <v>153</v>
      </c>
      <c r="Y7" s="57"/>
      <c r="Z7" s="57"/>
      <c r="AA7" s="57"/>
      <c r="AB7" s="57"/>
      <c r="AC7" s="57"/>
      <c r="AD7" s="60"/>
      <c r="AE7" s="60" t="s">
        <v>154</v>
      </c>
      <c r="AF7" s="60"/>
      <c r="AG7" s="60"/>
      <c r="AH7" s="60"/>
      <c r="AI7" s="57"/>
      <c r="AJ7" s="57"/>
      <c r="AK7" s="57"/>
      <c r="AL7" s="57"/>
      <c r="AM7" s="57"/>
      <c r="AN7" s="57"/>
      <c r="AO7" s="57"/>
      <c r="AP7" s="57"/>
      <c r="AQ7" s="57"/>
      <c r="AR7" s="57"/>
      <c r="AS7" s="57"/>
      <c r="AT7" s="57"/>
      <c r="AU7" s="57"/>
      <c r="AV7" s="57"/>
      <c r="AW7" s="57"/>
      <c r="AX7" s="57"/>
      <c r="AY7" s="57"/>
      <c r="AZ7" s="59"/>
      <c r="BA7" s="34" t="str">
        <f>IF(BB7&amp;BC7&lt;&gt;"",MAX(BA$5:BA6)+1,"")</f>
        <v/>
      </c>
      <c r="BB7" s="35"/>
      <c r="BC7" s="35"/>
      <c r="BD7" s="36"/>
      <c r="BE7" s="37"/>
      <c r="BF7" s="51"/>
      <c r="BG7" s="36"/>
      <c r="BH7" s="64"/>
      <c r="BI7" s="64"/>
      <c r="BJ7" s="64"/>
      <c r="BK7" s="64"/>
      <c r="BL7" s="64"/>
    </row>
    <row r="8" spans="1:64" s="56" customFormat="1" ht="14.25" customHeight="1" x14ac:dyDescent="0.15">
      <c r="A8" s="200"/>
      <c r="B8" s="202"/>
      <c r="C8" s="365" t="str">
        <f>IF(A8&lt;&gt;"",VLOOKUP(A8,項目仕様!$A$6:$L$129,3),"")</f>
        <v/>
      </c>
      <c r="D8" s="366"/>
      <c r="E8" s="366"/>
      <c r="F8" s="366"/>
      <c r="G8" s="366"/>
      <c r="H8" s="366"/>
      <c r="I8" s="366"/>
      <c r="J8" s="366"/>
      <c r="K8" s="367"/>
      <c r="L8" s="287"/>
      <c r="M8" s="288"/>
      <c r="N8" s="288"/>
      <c r="O8" s="288"/>
      <c r="P8" s="288"/>
      <c r="Q8" s="288"/>
      <c r="R8" s="288"/>
      <c r="S8" s="288"/>
      <c r="T8" s="289"/>
      <c r="U8" s="57"/>
      <c r="V8" s="57"/>
      <c r="W8" s="57"/>
      <c r="X8" s="72"/>
      <c r="Y8" s="71"/>
      <c r="Z8" s="71"/>
      <c r="AA8" s="73"/>
      <c r="AB8" s="73"/>
      <c r="AC8" s="73"/>
      <c r="AD8" s="74"/>
      <c r="AE8" s="74"/>
      <c r="AF8" s="74" t="s">
        <v>155</v>
      </c>
      <c r="AG8" s="74"/>
      <c r="AH8" s="74"/>
      <c r="AI8" s="74"/>
      <c r="AJ8" s="74"/>
      <c r="AK8" s="74"/>
      <c r="AL8" s="74"/>
      <c r="AM8" s="74"/>
      <c r="AN8" s="74"/>
      <c r="AO8" s="57"/>
      <c r="AP8" s="57"/>
      <c r="AQ8" s="57"/>
      <c r="AR8" s="57"/>
      <c r="AS8" s="57"/>
      <c r="AT8" s="57"/>
      <c r="AU8" s="57"/>
      <c r="AV8" s="57"/>
      <c r="AW8" s="57"/>
      <c r="AX8" s="57"/>
      <c r="AY8" s="57"/>
      <c r="AZ8" s="59"/>
      <c r="BA8" s="34" t="str">
        <f>IF(BB8&amp;BC8&lt;&gt;"",MAX(BA$5:BA7)+1,"")</f>
        <v/>
      </c>
      <c r="BB8" s="35"/>
      <c r="BC8" s="35"/>
      <c r="BD8" s="36"/>
      <c r="BE8" s="37"/>
      <c r="BF8" s="51"/>
      <c r="BG8" s="36"/>
      <c r="BH8" s="64"/>
      <c r="BI8" s="64"/>
      <c r="BJ8" s="64"/>
      <c r="BK8" s="64"/>
      <c r="BL8" s="64"/>
    </row>
    <row r="9" spans="1:64" s="56" customFormat="1" ht="14.25" customHeight="1" x14ac:dyDescent="0.15">
      <c r="A9" s="200"/>
      <c r="B9" s="202"/>
      <c r="C9" s="365" t="str">
        <f>IF(A9&lt;&gt;"",VLOOKUP(A9,項目仕様!$A$6:$L$129,3),"")</f>
        <v/>
      </c>
      <c r="D9" s="366"/>
      <c r="E9" s="366"/>
      <c r="F9" s="366"/>
      <c r="G9" s="366"/>
      <c r="H9" s="366"/>
      <c r="I9" s="366"/>
      <c r="J9" s="366"/>
      <c r="K9" s="367"/>
      <c r="L9" s="287"/>
      <c r="M9" s="288"/>
      <c r="N9" s="288"/>
      <c r="O9" s="288"/>
      <c r="P9" s="288"/>
      <c r="Q9" s="288"/>
      <c r="R9" s="288"/>
      <c r="S9" s="288"/>
      <c r="T9" s="289"/>
      <c r="U9" s="57"/>
      <c r="V9" s="57"/>
      <c r="W9" s="57"/>
      <c r="X9" s="72" t="s">
        <v>156</v>
      </c>
      <c r="Y9" s="71"/>
      <c r="Z9" s="71"/>
      <c r="AA9" s="73"/>
      <c r="AB9" s="73"/>
      <c r="AC9" s="73"/>
      <c r="AD9" s="74"/>
      <c r="AE9" s="74"/>
      <c r="AF9" s="74"/>
      <c r="AG9" s="74"/>
      <c r="AH9" s="74"/>
      <c r="AI9" s="74"/>
      <c r="AJ9" s="74"/>
      <c r="AK9" s="74"/>
      <c r="AL9" s="74"/>
      <c r="AM9" s="74"/>
      <c r="AN9" s="74"/>
      <c r="AO9" s="57"/>
      <c r="AP9" s="57"/>
      <c r="AQ9" s="57"/>
      <c r="AR9" s="57"/>
      <c r="AS9" s="57"/>
      <c r="AT9" s="57"/>
      <c r="AU9" s="57"/>
      <c r="AV9" s="57"/>
      <c r="AW9" s="57"/>
      <c r="AX9" s="57"/>
      <c r="AY9" s="57"/>
      <c r="AZ9" s="59"/>
      <c r="BA9" s="34" t="str">
        <f>IF(BB9&amp;BC9&lt;&gt;"",MAX(BA$5:BA8)+1,"")</f>
        <v/>
      </c>
      <c r="BB9" s="35"/>
      <c r="BC9" s="35"/>
      <c r="BD9" s="36"/>
      <c r="BE9" s="37"/>
      <c r="BF9" s="51"/>
      <c r="BG9" s="36"/>
      <c r="BH9" s="64"/>
      <c r="BI9" s="64"/>
      <c r="BJ9" s="64"/>
      <c r="BK9" s="64"/>
      <c r="BL9" s="64"/>
    </row>
    <row r="10" spans="1:64" s="56" customFormat="1" ht="14.25" customHeight="1" thickBot="1" x14ac:dyDescent="0.2">
      <c r="A10" s="200"/>
      <c r="B10" s="202"/>
      <c r="C10" s="365" t="str">
        <f>IF(A10&lt;&gt;"",VLOOKUP(A10,項目仕様!$A$6:$L$129,3),"")</f>
        <v/>
      </c>
      <c r="D10" s="366"/>
      <c r="E10" s="366"/>
      <c r="F10" s="366"/>
      <c r="G10" s="366"/>
      <c r="H10" s="366"/>
      <c r="I10" s="366"/>
      <c r="J10" s="366"/>
      <c r="K10" s="367"/>
      <c r="L10" s="287"/>
      <c r="M10" s="288"/>
      <c r="N10" s="288"/>
      <c r="O10" s="288"/>
      <c r="P10" s="288"/>
      <c r="Q10" s="288"/>
      <c r="R10" s="288"/>
      <c r="S10" s="288"/>
      <c r="T10" s="289"/>
      <c r="U10" s="57"/>
      <c r="V10" s="57"/>
      <c r="W10" s="57"/>
      <c r="X10" s="71"/>
      <c r="Y10" s="75" t="s">
        <v>157</v>
      </c>
      <c r="Z10" s="75"/>
      <c r="AA10" s="75"/>
      <c r="AB10" s="75"/>
      <c r="AC10" s="75"/>
      <c r="AD10" s="75"/>
      <c r="AE10" s="75"/>
      <c r="AF10" s="75" t="s">
        <v>338</v>
      </c>
      <c r="AG10" s="75"/>
      <c r="AH10" s="76"/>
      <c r="AI10" s="76"/>
      <c r="AJ10" s="74"/>
      <c r="AK10" s="74"/>
      <c r="AL10" s="74"/>
      <c r="AM10" s="74"/>
      <c r="AN10" s="74"/>
      <c r="AO10" s="57"/>
      <c r="AP10" s="57"/>
      <c r="AQ10" s="57"/>
      <c r="AR10" s="57"/>
      <c r="AS10" s="57"/>
      <c r="AT10" s="57"/>
      <c r="AU10" s="57"/>
      <c r="AV10" s="57"/>
      <c r="AW10" s="57"/>
      <c r="AX10" s="57"/>
      <c r="AY10" s="57"/>
      <c r="AZ10" s="59"/>
      <c r="BA10" s="34">
        <f>IF(BB10&amp;BC10&lt;&gt;"",MAX(BA$5:BA9)+1,"")</f>
        <v>1</v>
      </c>
      <c r="BB10" s="35" t="s">
        <v>158</v>
      </c>
      <c r="BC10" s="35"/>
      <c r="BD10" s="36"/>
      <c r="BE10" s="37"/>
      <c r="BF10" s="51"/>
      <c r="BG10" s="36"/>
      <c r="BH10" s="64"/>
      <c r="BI10" s="64"/>
      <c r="BJ10" s="64"/>
      <c r="BK10" s="64"/>
      <c r="BL10" s="64"/>
    </row>
    <row r="11" spans="1:64" s="56" customFormat="1" ht="14.25" customHeight="1" x14ac:dyDescent="0.15">
      <c r="A11" s="200"/>
      <c r="B11" s="202"/>
      <c r="C11" s="365" t="str">
        <f>IF(A11&lt;&gt;"",VLOOKUP(A11,項目仕様!$A$6:$L$129,3),"")</f>
        <v/>
      </c>
      <c r="D11" s="366"/>
      <c r="E11" s="366"/>
      <c r="F11" s="366"/>
      <c r="G11" s="366"/>
      <c r="H11" s="366"/>
      <c r="I11" s="366"/>
      <c r="J11" s="366"/>
      <c r="K11" s="367"/>
      <c r="L11" s="287"/>
      <c r="M11" s="288"/>
      <c r="N11" s="288"/>
      <c r="O11" s="288"/>
      <c r="P11" s="288"/>
      <c r="Q11" s="288"/>
      <c r="R11" s="288"/>
      <c r="S11" s="288"/>
      <c r="T11" s="289"/>
      <c r="U11" s="57"/>
      <c r="V11" s="57"/>
      <c r="X11" s="71"/>
      <c r="Y11" s="77" t="s">
        <v>81</v>
      </c>
      <c r="Z11" s="78"/>
      <c r="AA11" s="78"/>
      <c r="AB11" s="78"/>
      <c r="AC11" s="79" t="s">
        <v>160</v>
      </c>
      <c r="AD11" s="80"/>
      <c r="AE11" s="80"/>
      <c r="AF11" s="80" t="s">
        <v>161</v>
      </c>
      <c r="AG11" s="80"/>
      <c r="AH11" s="80"/>
      <c r="AI11" s="80"/>
      <c r="AJ11" s="74"/>
      <c r="AK11" s="74"/>
      <c r="AL11" s="74"/>
      <c r="AM11" s="74"/>
      <c r="AN11" s="74"/>
      <c r="AO11" s="57"/>
      <c r="AP11" s="57"/>
      <c r="AQ11" s="57"/>
      <c r="AR11" s="57"/>
      <c r="AS11" s="57"/>
      <c r="AT11" s="57"/>
      <c r="AU11" s="57"/>
      <c r="AV11" s="57"/>
      <c r="AW11" s="57"/>
      <c r="AX11" s="57"/>
      <c r="AY11" s="57"/>
      <c r="AZ11" s="59"/>
      <c r="BA11" s="34" t="str">
        <f>IF(BB11&amp;BC11&lt;&gt;"",MAX(BA$5:BA10)+1,"")</f>
        <v/>
      </c>
      <c r="BB11" s="35"/>
      <c r="BC11" s="35"/>
      <c r="BD11" s="36"/>
      <c r="BE11" s="37"/>
      <c r="BF11" s="51"/>
      <c r="BG11" s="36"/>
      <c r="BH11" s="64"/>
      <c r="BI11" s="64"/>
      <c r="BJ11" s="64"/>
      <c r="BK11" s="64"/>
      <c r="BL11" s="64"/>
    </row>
    <row r="12" spans="1:64" s="56" customFormat="1" ht="14.25" customHeight="1" thickBot="1" x14ac:dyDescent="0.2">
      <c r="A12" s="200"/>
      <c r="B12" s="202"/>
      <c r="C12" s="365" t="str">
        <f>IF(A12&lt;&gt;"",VLOOKUP(A12,項目仕様!$A$6:$L$129,3),"")</f>
        <v/>
      </c>
      <c r="D12" s="366"/>
      <c r="E12" s="366"/>
      <c r="F12" s="366"/>
      <c r="G12" s="366"/>
      <c r="H12" s="366"/>
      <c r="I12" s="366"/>
      <c r="J12" s="366"/>
      <c r="K12" s="367"/>
      <c r="L12" s="287"/>
      <c r="M12" s="288"/>
      <c r="N12" s="288"/>
      <c r="O12" s="288"/>
      <c r="P12" s="288"/>
      <c r="Q12" s="288"/>
      <c r="R12" s="288"/>
      <c r="S12" s="288"/>
      <c r="T12" s="289"/>
      <c r="U12" s="57"/>
      <c r="V12" s="57"/>
      <c r="W12" s="57"/>
      <c r="X12" s="72"/>
      <c r="Y12" s="81" t="s">
        <v>162</v>
      </c>
      <c r="Z12" s="82"/>
      <c r="AA12" s="82"/>
      <c r="AB12" s="82"/>
      <c r="AC12" s="83"/>
      <c r="AD12" s="80"/>
      <c r="AE12" s="80"/>
      <c r="AF12" s="80" t="s">
        <v>163</v>
      </c>
      <c r="AG12" s="80"/>
      <c r="AH12" s="80"/>
      <c r="AI12" s="80"/>
      <c r="AJ12" s="74"/>
      <c r="AK12" s="74"/>
      <c r="AL12" s="74"/>
      <c r="AM12" s="74"/>
      <c r="AN12" s="74"/>
      <c r="AO12" s="57"/>
      <c r="AP12" s="57"/>
      <c r="AQ12" s="57"/>
      <c r="AR12" s="57"/>
      <c r="AS12" s="57"/>
      <c r="AT12" s="57"/>
      <c r="AU12" s="57"/>
      <c r="AV12" s="57"/>
      <c r="AW12" s="57"/>
      <c r="AX12" s="57"/>
      <c r="AY12" s="57"/>
      <c r="AZ12" s="59"/>
      <c r="BA12" s="34" t="str">
        <f>IF(BB12&amp;BC12&lt;&gt;"",MAX(BA$5:BA11)+1,"")</f>
        <v/>
      </c>
      <c r="BB12" s="35"/>
      <c r="BC12" s="35"/>
      <c r="BD12" s="36"/>
      <c r="BE12" s="37"/>
      <c r="BF12" s="51"/>
      <c r="BG12" s="36"/>
      <c r="BH12" s="64"/>
      <c r="BI12" s="64"/>
      <c r="BJ12" s="64"/>
      <c r="BK12" s="64"/>
      <c r="BL12" s="64"/>
    </row>
    <row r="13" spans="1:64" s="56" customFormat="1" ht="14.25" customHeight="1" x14ac:dyDescent="0.15">
      <c r="A13" s="200"/>
      <c r="B13" s="202"/>
      <c r="C13" s="365" t="str">
        <f>IF(A13&lt;&gt;"",VLOOKUP(A13,項目仕様!$A$6:$L$129,3),"")</f>
        <v/>
      </c>
      <c r="D13" s="366"/>
      <c r="E13" s="366"/>
      <c r="F13" s="366"/>
      <c r="G13" s="366"/>
      <c r="H13" s="366"/>
      <c r="I13" s="366"/>
      <c r="J13" s="366"/>
      <c r="K13" s="367"/>
      <c r="L13" s="287"/>
      <c r="M13" s="288"/>
      <c r="N13" s="288"/>
      <c r="O13" s="288"/>
      <c r="P13" s="288"/>
      <c r="Q13" s="288"/>
      <c r="R13" s="288"/>
      <c r="S13" s="288"/>
      <c r="T13" s="289"/>
      <c r="U13" s="57"/>
      <c r="V13" s="57"/>
      <c r="X13" s="57"/>
      <c r="Y13" s="57"/>
      <c r="Z13" s="57"/>
      <c r="AA13" s="57"/>
      <c r="AB13" s="57"/>
      <c r="AC13" s="57"/>
      <c r="AD13" s="60"/>
      <c r="AE13" s="60"/>
      <c r="AF13" s="60"/>
      <c r="AG13" s="60"/>
      <c r="AH13" s="60"/>
      <c r="AI13" s="57"/>
      <c r="AJ13" s="57"/>
      <c r="AK13" s="57"/>
      <c r="AL13" s="57"/>
      <c r="AM13" s="57"/>
      <c r="AN13" s="57"/>
      <c r="AO13" s="57"/>
      <c r="AP13" s="57"/>
      <c r="AQ13" s="57"/>
      <c r="AR13" s="57"/>
      <c r="AS13" s="57"/>
      <c r="AT13" s="57"/>
      <c r="AU13" s="57"/>
      <c r="AV13" s="57"/>
      <c r="AW13" s="57"/>
      <c r="AX13" s="57"/>
      <c r="AY13" s="57"/>
      <c r="AZ13" s="59"/>
      <c r="BA13" s="34" t="str">
        <f>IF(BB13&amp;BC13&lt;&gt;"",MAX(BA$5:BA12)+1,"")</f>
        <v/>
      </c>
      <c r="BB13" s="35"/>
      <c r="BC13" s="35"/>
      <c r="BD13" s="36"/>
      <c r="BE13" s="37"/>
      <c r="BF13" s="51"/>
      <c r="BG13" s="36"/>
      <c r="BH13" s="64"/>
      <c r="BI13" s="64"/>
      <c r="BJ13" s="64"/>
      <c r="BK13" s="64"/>
      <c r="BL13" s="64"/>
    </row>
    <row r="14" spans="1:64" s="56" customFormat="1" ht="14.25" customHeight="1" x14ac:dyDescent="0.15">
      <c r="A14" s="200"/>
      <c r="B14" s="202"/>
      <c r="C14" s="365" t="str">
        <f>IF(A14&lt;&gt;"",VLOOKUP(A14,項目仕様!$A$6:$L$129,3),"")</f>
        <v/>
      </c>
      <c r="D14" s="366"/>
      <c r="E14" s="366"/>
      <c r="F14" s="366"/>
      <c r="G14" s="366"/>
      <c r="H14" s="366"/>
      <c r="I14" s="366"/>
      <c r="J14" s="366"/>
      <c r="K14" s="367"/>
      <c r="L14" s="287"/>
      <c r="M14" s="288"/>
      <c r="N14" s="288"/>
      <c r="O14" s="288"/>
      <c r="P14" s="288"/>
      <c r="Q14" s="288"/>
      <c r="R14" s="288"/>
      <c r="S14" s="288"/>
      <c r="T14" s="289"/>
      <c r="U14" s="57"/>
      <c r="V14" s="57"/>
      <c r="W14" s="57"/>
      <c r="X14" s="72" t="s">
        <v>164</v>
      </c>
      <c r="Y14" s="71"/>
      <c r="Z14" s="71"/>
      <c r="AA14" s="73"/>
      <c r="AB14" s="73"/>
      <c r="AC14" s="73"/>
      <c r="AD14" s="74"/>
      <c r="AE14" s="74"/>
      <c r="AF14" s="74"/>
      <c r="AG14" s="74"/>
      <c r="AH14" s="74"/>
      <c r="AI14" s="74"/>
      <c r="AJ14" s="74"/>
      <c r="AK14" s="74"/>
      <c r="AL14" s="74"/>
      <c r="AM14" s="74"/>
      <c r="AN14" s="57"/>
      <c r="AO14" s="57"/>
      <c r="AP14" s="57"/>
      <c r="AQ14" s="57"/>
      <c r="AR14" s="57"/>
      <c r="AS14" s="57"/>
      <c r="AT14" s="57"/>
      <c r="AU14" s="57"/>
      <c r="AV14" s="57"/>
      <c r="AW14" s="57"/>
      <c r="AX14" s="57"/>
      <c r="AY14" s="57"/>
      <c r="AZ14" s="59"/>
      <c r="BA14" s="34" t="str">
        <f>IF(BB14&amp;BC14&lt;&gt;"",MAX(BA$5:BA13)+1,"")</f>
        <v/>
      </c>
      <c r="BB14" s="35"/>
      <c r="BC14" s="35"/>
      <c r="BD14" s="36"/>
      <c r="BE14" s="37"/>
      <c r="BF14" s="51"/>
      <c r="BG14" s="36"/>
      <c r="BH14" s="64"/>
      <c r="BI14" s="64"/>
      <c r="BJ14" s="64"/>
      <c r="BK14" s="64"/>
      <c r="BL14" s="64"/>
    </row>
    <row r="15" spans="1:64" s="56" customFormat="1" ht="14.25" customHeight="1" thickBot="1" x14ac:dyDescent="0.2">
      <c r="A15" s="200"/>
      <c r="B15" s="202"/>
      <c r="C15" s="365" t="str">
        <f>IF(A15&lt;&gt;"",VLOOKUP(A15,項目仕様!$A$6:$L$129,3),"")</f>
        <v/>
      </c>
      <c r="D15" s="366"/>
      <c r="E15" s="366"/>
      <c r="F15" s="366"/>
      <c r="G15" s="366"/>
      <c r="H15" s="366"/>
      <c r="I15" s="366"/>
      <c r="J15" s="366"/>
      <c r="K15" s="367"/>
      <c r="L15" s="287"/>
      <c r="M15" s="288"/>
      <c r="N15" s="288"/>
      <c r="O15" s="288"/>
      <c r="P15" s="288"/>
      <c r="Q15" s="288"/>
      <c r="R15" s="288"/>
      <c r="S15" s="288"/>
      <c r="T15" s="289"/>
      <c r="U15" s="57"/>
      <c r="V15" s="57"/>
      <c r="W15" s="57"/>
      <c r="X15" s="71"/>
      <c r="Y15" s="75" t="s">
        <v>157</v>
      </c>
      <c r="Z15" s="75"/>
      <c r="AA15" s="75"/>
      <c r="AB15" s="75"/>
      <c r="AC15" s="75"/>
      <c r="AD15" s="75"/>
      <c r="AE15" s="75"/>
      <c r="AF15" s="160" t="s">
        <v>339</v>
      </c>
      <c r="AG15" s="75"/>
      <c r="AH15" s="76"/>
      <c r="AI15" s="76"/>
      <c r="AJ15" s="74"/>
      <c r="AK15" s="74"/>
      <c r="AL15" s="74"/>
      <c r="AM15" s="74"/>
      <c r="AN15" s="57"/>
      <c r="AO15" s="57"/>
      <c r="AP15" s="57"/>
      <c r="AQ15" s="57"/>
      <c r="AR15" s="57"/>
      <c r="AS15" s="57"/>
      <c r="AT15" s="57"/>
      <c r="AU15" s="57"/>
      <c r="AV15" s="57"/>
      <c r="AW15" s="57"/>
      <c r="AX15" s="57"/>
      <c r="AY15" s="57"/>
      <c r="AZ15" s="59"/>
      <c r="BA15" s="34">
        <f>IF(BB15&amp;BC15&lt;&gt;"",MAX(BA$5:BA14)+1,"")</f>
        <v>2</v>
      </c>
      <c r="BB15" s="35" t="s">
        <v>158</v>
      </c>
      <c r="BC15" s="35"/>
      <c r="BD15" s="36"/>
      <c r="BE15" s="37"/>
      <c r="BF15" s="51"/>
      <c r="BG15" s="36"/>
      <c r="BH15" s="64"/>
      <c r="BI15" s="64"/>
      <c r="BJ15" s="64"/>
      <c r="BK15" s="64"/>
      <c r="BL15" s="64"/>
    </row>
    <row r="16" spans="1:64" s="56" customFormat="1" ht="14.25" customHeight="1" x14ac:dyDescent="0.15">
      <c r="A16" s="200"/>
      <c r="B16" s="202"/>
      <c r="C16" s="365" t="str">
        <f>IF(A16&lt;&gt;"",VLOOKUP(A16,項目仕様!$A$6:$L$129,3),"")</f>
        <v/>
      </c>
      <c r="D16" s="366"/>
      <c r="E16" s="366"/>
      <c r="F16" s="366"/>
      <c r="G16" s="366"/>
      <c r="H16" s="366"/>
      <c r="I16" s="366"/>
      <c r="J16" s="366"/>
      <c r="K16" s="367"/>
      <c r="L16" s="287"/>
      <c r="M16" s="288"/>
      <c r="N16" s="288"/>
      <c r="O16" s="288"/>
      <c r="P16" s="288"/>
      <c r="Q16" s="288"/>
      <c r="R16" s="288"/>
      <c r="S16" s="288"/>
      <c r="T16" s="289"/>
      <c r="U16" s="57"/>
      <c r="V16" s="57"/>
      <c r="W16" s="57"/>
      <c r="X16" s="71"/>
      <c r="Y16" s="77" t="s">
        <v>92</v>
      </c>
      <c r="Z16" s="78"/>
      <c r="AA16" s="78"/>
      <c r="AB16" s="78"/>
      <c r="AC16" s="79" t="s">
        <v>160</v>
      </c>
      <c r="AD16" s="80"/>
      <c r="AE16" s="80"/>
      <c r="AF16" s="80" t="s">
        <v>161</v>
      </c>
      <c r="AG16" s="80"/>
      <c r="AH16" s="80"/>
      <c r="AI16" s="80"/>
      <c r="AJ16" s="74"/>
      <c r="AK16" s="74"/>
      <c r="AL16" s="74"/>
      <c r="AM16" s="74"/>
      <c r="AN16" s="57"/>
      <c r="AO16" s="57"/>
      <c r="AP16" s="57"/>
      <c r="AQ16" s="57"/>
      <c r="AR16" s="57"/>
      <c r="AS16" s="57"/>
      <c r="AT16" s="57"/>
      <c r="AU16" s="57"/>
      <c r="AV16" s="57"/>
      <c r="AW16" s="57"/>
      <c r="AX16" s="57"/>
      <c r="AY16" s="57"/>
      <c r="AZ16" s="59"/>
      <c r="BA16" s="34" t="str">
        <f>IF(BB16&amp;BC16&lt;&gt;"",MAX(BA$5:BA15)+1,"")</f>
        <v/>
      </c>
      <c r="BB16" s="35"/>
      <c r="BC16" s="35"/>
      <c r="BD16" s="36"/>
      <c r="BE16" s="37"/>
      <c r="BF16" s="51"/>
      <c r="BG16" s="36"/>
      <c r="BH16" s="64"/>
      <c r="BI16" s="64"/>
      <c r="BJ16" s="64"/>
      <c r="BK16" s="64"/>
      <c r="BL16" s="64"/>
    </row>
    <row r="17" spans="1:64" s="56" customFormat="1" ht="14.25" customHeight="1" thickBot="1" x14ac:dyDescent="0.2">
      <c r="A17" s="200"/>
      <c r="B17" s="202"/>
      <c r="C17" s="365" t="str">
        <f>IF(A17&lt;&gt;"",VLOOKUP(A17,項目仕様!$A$6:$L$129,3),"")</f>
        <v/>
      </c>
      <c r="D17" s="366"/>
      <c r="E17" s="366"/>
      <c r="F17" s="366"/>
      <c r="G17" s="366"/>
      <c r="H17" s="366"/>
      <c r="I17" s="366"/>
      <c r="J17" s="366"/>
      <c r="K17" s="367"/>
      <c r="L17" s="287"/>
      <c r="M17" s="288"/>
      <c r="N17" s="288"/>
      <c r="O17" s="288"/>
      <c r="P17" s="288"/>
      <c r="Q17" s="288"/>
      <c r="R17" s="288"/>
      <c r="S17" s="288"/>
      <c r="T17" s="289"/>
      <c r="U17" s="57"/>
      <c r="V17" s="57"/>
      <c r="W17" s="57"/>
      <c r="X17" s="72"/>
      <c r="Y17" s="81" t="s">
        <v>165</v>
      </c>
      <c r="Z17" s="82"/>
      <c r="AA17" s="82"/>
      <c r="AB17" s="82"/>
      <c r="AC17" s="83"/>
      <c r="AD17" s="80"/>
      <c r="AE17" s="80"/>
      <c r="AF17" s="80" t="s">
        <v>166</v>
      </c>
      <c r="AG17" s="80"/>
      <c r="AH17" s="80"/>
      <c r="AI17" s="80"/>
      <c r="AJ17" s="74"/>
      <c r="AK17" s="74"/>
      <c r="AL17" s="74"/>
      <c r="AM17" s="74"/>
      <c r="AN17" s="57"/>
      <c r="AO17" s="57"/>
      <c r="AP17" s="57"/>
      <c r="AQ17" s="57"/>
      <c r="AR17" s="57"/>
      <c r="AS17" s="57"/>
      <c r="AT17" s="57"/>
      <c r="AU17" s="57"/>
      <c r="AV17" s="57"/>
      <c r="AW17" s="57"/>
      <c r="AX17" s="57"/>
      <c r="AY17" s="57"/>
      <c r="AZ17" s="59"/>
      <c r="BA17" s="34" t="str">
        <f>IF(BB17&amp;BC17&lt;&gt;"",MAX(BA$5:BA16)+1,"")</f>
        <v/>
      </c>
      <c r="BB17" s="35"/>
      <c r="BC17" s="35"/>
      <c r="BD17" s="36"/>
      <c r="BE17" s="37"/>
      <c r="BF17" s="51"/>
      <c r="BG17" s="36"/>
      <c r="BH17" s="64"/>
      <c r="BI17" s="64"/>
      <c r="BJ17" s="64"/>
      <c r="BK17" s="64"/>
      <c r="BL17" s="64"/>
    </row>
    <row r="18" spans="1:64" s="56" customFormat="1" ht="14.25" customHeight="1" x14ac:dyDescent="0.15">
      <c r="A18" s="200"/>
      <c r="B18" s="202"/>
      <c r="C18" s="365" t="str">
        <f>IF(A18&lt;&gt;"",VLOOKUP(A18,項目仕様!$A$6:$L$129,3),"")</f>
        <v/>
      </c>
      <c r="D18" s="366"/>
      <c r="E18" s="366"/>
      <c r="F18" s="366"/>
      <c r="G18" s="366"/>
      <c r="H18" s="366"/>
      <c r="I18" s="366"/>
      <c r="J18" s="366"/>
      <c r="K18" s="367"/>
      <c r="L18" s="287"/>
      <c r="M18" s="288"/>
      <c r="N18" s="288"/>
      <c r="O18" s="288"/>
      <c r="P18" s="288"/>
      <c r="Q18" s="288"/>
      <c r="R18" s="288"/>
      <c r="S18" s="288"/>
      <c r="T18" s="289"/>
      <c r="U18" s="57"/>
      <c r="V18" s="57"/>
      <c r="W18" s="57"/>
      <c r="X18" s="57"/>
      <c r="Y18" s="57"/>
      <c r="Z18" s="57"/>
      <c r="AA18" s="57"/>
      <c r="AB18" s="57"/>
      <c r="AC18" s="57"/>
      <c r="AD18" s="60"/>
      <c r="AE18" s="60"/>
      <c r="AF18" s="60"/>
      <c r="AG18" s="60"/>
      <c r="AH18" s="60"/>
      <c r="AI18" s="57"/>
      <c r="AJ18" s="57"/>
      <c r="AK18" s="57"/>
      <c r="AL18" s="57"/>
      <c r="AM18" s="57"/>
      <c r="AN18" s="57"/>
      <c r="AO18" s="57"/>
      <c r="AP18" s="57"/>
      <c r="AQ18" s="57"/>
      <c r="AR18" s="57"/>
      <c r="AS18" s="57"/>
      <c r="AT18" s="57"/>
      <c r="AU18" s="57"/>
      <c r="AV18" s="57"/>
      <c r="AW18" s="57"/>
      <c r="AX18" s="57"/>
      <c r="AY18" s="57"/>
      <c r="AZ18" s="59"/>
      <c r="BA18" s="34" t="str">
        <f>IF(BB18&amp;BC18&lt;&gt;"",MAX(BA$5:BA17)+1,"")</f>
        <v/>
      </c>
      <c r="BB18" s="35"/>
      <c r="BC18" s="35"/>
      <c r="BD18" s="36"/>
      <c r="BE18" s="37"/>
      <c r="BF18" s="51"/>
      <c r="BG18" s="36"/>
      <c r="BH18" s="64"/>
      <c r="BI18" s="64"/>
      <c r="BJ18" s="64"/>
      <c r="BK18" s="64"/>
      <c r="BL18" s="64"/>
    </row>
    <row r="19" spans="1:64" s="56" customFormat="1" ht="14.25" customHeight="1" x14ac:dyDescent="0.15">
      <c r="A19" s="200"/>
      <c r="B19" s="202"/>
      <c r="C19" s="365" t="str">
        <f>IF(A19&lt;&gt;"",VLOOKUP(A19,項目仕様!$A$6:$L$129,3),"")</f>
        <v/>
      </c>
      <c r="D19" s="366"/>
      <c r="E19" s="366"/>
      <c r="F19" s="366"/>
      <c r="G19" s="366"/>
      <c r="H19" s="366"/>
      <c r="I19" s="366"/>
      <c r="J19" s="366"/>
      <c r="K19" s="367"/>
      <c r="L19" s="287"/>
      <c r="M19" s="288"/>
      <c r="N19" s="288"/>
      <c r="O19" s="288"/>
      <c r="P19" s="288"/>
      <c r="Q19" s="288"/>
      <c r="R19" s="288"/>
      <c r="S19" s="288"/>
      <c r="T19" s="289"/>
      <c r="U19" s="57"/>
      <c r="V19" s="70" t="s">
        <v>167</v>
      </c>
      <c r="W19" s="57"/>
      <c r="X19" s="71" t="s">
        <v>398</v>
      </c>
      <c r="Y19" s="57"/>
      <c r="Z19" s="57"/>
      <c r="AA19" s="57"/>
      <c r="AB19" s="57"/>
      <c r="AC19" s="57"/>
      <c r="AD19" s="60"/>
      <c r="AE19" s="60"/>
      <c r="AF19" s="60"/>
      <c r="AG19" s="60"/>
      <c r="AH19" s="60"/>
      <c r="AI19" s="57"/>
      <c r="AJ19" s="57"/>
      <c r="AK19" s="57"/>
      <c r="AL19" s="57"/>
      <c r="AM19" s="57"/>
      <c r="AN19" s="57"/>
      <c r="AO19" s="57"/>
      <c r="AP19" s="57"/>
      <c r="AQ19" s="57"/>
      <c r="AR19" s="57"/>
      <c r="AS19" s="57"/>
      <c r="AT19" s="57"/>
      <c r="AU19" s="57"/>
      <c r="AV19" s="57"/>
      <c r="AW19" s="57"/>
      <c r="AX19" s="57"/>
      <c r="AY19" s="57"/>
      <c r="AZ19" s="59"/>
      <c r="BA19" s="34">
        <f>IF(BB19&amp;BC19&lt;&gt;"",MAX(BA$5:BA18)+1,"")</f>
        <v>3</v>
      </c>
      <c r="BB19" s="35" t="s">
        <v>158</v>
      </c>
      <c r="BC19" s="35"/>
      <c r="BD19" s="36"/>
      <c r="BE19" s="37"/>
      <c r="BF19" s="51"/>
      <c r="BG19" s="36"/>
      <c r="BH19" s="64"/>
      <c r="BI19" s="64"/>
      <c r="BJ19" s="64"/>
      <c r="BK19" s="64"/>
      <c r="BL19" s="64"/>
    </row>
    <row r="20" spans="1:64" s="56" customFormat="1" ht="14.25" customHeight="1" x14ac:dyDescent="0.15">
      <c r="A20" s="200"/>
      <c r="B20" s="202"/>
      <c r="C20" s="365" t="str">
        <f>IF(A20&lt;&gt;"",VLOOKUP(A20,項目仕様!$A$6:$L$129,3),"")</f>
        <v/>
      </c>
      <c r="D20" s="366"/>
      <c r="E20" s="366"/>
      <c r="F20" s="366"/>
      <c r="G20" s="366"/>
      <c r="H20" s="366"/>
      <c r="I20" s="366"/>
      <c r="J20" s="366"/>
      <c r="K20" s="367"/>
      <c r="L20" s="287"/>
      <c r="M20" s="288"/>
      <c r="N20" s="288"/>
      <c r="O20" s="288"/>
      <c r="P20" s="288"/>
      <c r="Q20" s="288"/>
      <c r="R20" s="288"/>
      <c r="S20" s="288"/>
      <c r="T20" s="289"/>
      <c r="U20" s="57"/>
      <c r="V20" s="57"/>
      <c r="W20" s="57"/>
      <c r="X20" s="57"/>
      <c r="Y20" s="57"/>
      <c r="Z20" s="57"/>
      <c r="AA20" s="57"/>
      <c r="AB20" s="57"/>
      <c r="AC20" s="57"/>
      <c r="AD20" s="60"/>
      <c r="AE20" s="60"/>
      <c r="AF20" s="60"/>
      <c r="AG20" s="60"/>
      <c r="AH20" s="60"/>
      <c r="AI20" s="57"/>
      <c r="AJ20" s="57"/>
      <c r="AK20" s="57"/>
      <c r="AL20" s="57"/>
      <c r="AM20" s="57"/>
      <c r="AN20" s="57"/>
      <c r="AO20" s="57"/>
      <c r="AP20" s="57"/>
      <c r="AQ20" s="57"/>
      <c r="AR20" s="57"/>
      <c r="AS20" s="57"/>
      <c r="AT20" s="57"/>
      <c r="AU20" s="57"/>
      <c r="AV20" s="57"/>
      <c r="AW20" s="57"/>
      <c r="AX20" s="57"/>
      <c r="AY20" s="57"/>
      <c r="AZ20" s="59"/>
      <c r="BA20" s="34" t="str">
        <f>IF(BB20&amp;BC20&lt;&gt;"",MAX(BA$5:BA19)+1,"")</f>
        <v/>
      </c>
      <c r="BB20" s="35"/>
      <c r="BC20" s="35"/>
      <c r="BD20" s="36"/>
      <c r="BE20" s="37"/>
      <c r="BF20" s="51"/>
      <c r="BG20" s="36"/>
      <c r="BH20" s="64"/>
      <c r="BI20" s="64"/>
      <c r="BJ20" s="64"/>
      <c r="BK20" s="64"/>
      <c r="BL20" s="64"/>
    </row>
    <row r="21" spans="1:64" s="56" customFormat="1" ht="14.25" customHeight="1" x14ac:dyDescent="0.15">
      <c r="A21" s="200"/>
      <c r="B21" s="202"/>
      <c r="C21" s="365" t="str">
        <f>IF(A21&lt;&gt;"",VLOOKUP(A21,項目仕様!$A$6:$L$129,3),"")</f>
        <v/>
      </c>
      <c r="D21" s="366"/>
      <c r="E21" s="366"/>
      <c r="F21" s="366"/>
      <c r="G21" s="366"/>
      <c r="H21" s="366"/>
      <c r="I21" s="366"/>
      <c r="J21" s="366"/>
      <c r="K21" s="367"/>
      <c r="L21" s="287"/>
      <c r="M21" s="288"/>
      <c r="N21" s="288"/>
      <c r="O21" s="288"/>
      <c r="P21" s="288"/>
      <c r="Q21" s="288"/>
      <c r="R21" s="288"/>
      <c r="S21" s="288"/>
      <c r="T21" s="289"/>
      <c r="U21" s="57"/>
      <c r="V21" s="57"/>
      <c r="W21" s="57"/>
      <c r="X21" s="57"/>
      <c r="Y21" s="57"/>
      <c r="Z21" s="57"/>
      <c r="AA21" s="57"/>
      <c r="AB21" s="57"/>
      <c r="AC21" s="57"/>
      <c r="AD21" s="60"/>
      <c r="AE21" s="60"/>
      <c r="AF21" s="60"/>
      <c r="AG21" s="60"/>
      <c r="AH21" s="60"/>
      <c r="AI21" s="57"/>
      <c r="AJ21" s="57"/>
      <c r="AK21" s="57"/>
      <c r="AL21" s="57"/>
      <c r="AM21" s="57"/>
      <c r="AN21" s="57"/>
      <c r="AO21" s="57"/>
      <c r="AP21" s="57"/>
      <c r="AQ21" s="57"/>
      <c r="AR21" s="57"/>
      <c r="AS21" s="57"/>
      <c r="AT21" s="57"/>
      <c r="AU21" s="57"/>
      <c r="AV21" s="57"/>
      <c r="AW21" s="57"/>
      <c r="AX21" s="57"/>
      <c r="AY21" s="57"/>
      <c r="AZ21" s="59"/>
      <c r="BA21" s="34" t="str">
        <f>IF(BB21&amp;BC21&lt;&gt;"",MAX(BA$5:BA20)+1,"")</f>
        <v/>
      </c>
      <c r="BB21" s="35"/>
      <c r="BC21" s="35"/>
      <c r="BD21" s="36"/>
      <c r="BE21" s="37"/>
      <c r="BF21" s="51"/>
      <c r="BG21" s="36"/>
      <c r="BH21" s="64"/>
      <c r="BI21" s="64"/>
      <c r="BJ21" s="64"/>
      <c r="BK21" s="64"/>
      <c r="BL21" s="64"/>
    </row>
    <row r="22" spans="1:64" s="56" customFormat="1" ht="14.25" customHeight="1" x14ac:dyDescent="0.15">
      <c r="A22" s="200"/>
      <c r="B22" s="202"/>
      <c r="C22" s="365" t="str">
        <f>IF(A22&lt;&gt;"",VLOOKUP(A22,項目仕様!$A$6:$L$129,3),"")</f>
        <v/>
      </c>
      <c r="D22" s="366"/>
      <c r="E22" s="366"/>
      <c r="F22" s="366"/>
      <c r="G22" s="366"/>
      <c r="H22" s="366"/>
      <c r="I22" s="366"/>
      <c r="J22" s="366"/>
      <c r="K22" s="367"/>
      <c r="L22" s="287"/>
      <c r="M22" s="288"/>
      <c r="N22" s="288"/>
      <c r="O22" s="288"/>
      <c r="P22" s="288"/>
      <c r="Q22" s="288"/>
      <c r="R22" s="288"/>
      <c r="S22" s="288"/>
      <c r="T22" s="289"/>
      <c r="U22" s="70" t="s">
        <v>168</v>
      </c>
      <c r="V22" s="57"/>
      <c r="W22" s="57" t="s">
        <v>169</v>
      </c>
      <c r="X22" s="57"/>
      <c r="Y22" s="57"/>
      <c r="Z22" s="57"/>
      <c r="AA22" s="57"/>
      <c r="AB22" s="57"/>
      <c r="AC22" s="57"/>
      <c r="AD22" s="60"/>
      <c r="AE22" s="60"/>
      <c r="AF22" s="60"/>
      <c r="AG22" s="60"/>
      <c r="AH22" s="60"/>
      <c r="AI22" s="57"/>
      <c r="AJ22" s="57"/>
      <c r="AK22" s="57"/>
      <c r="AL22" s="57"/>
      <c r="AM22" s="57"/>
      <c r="AN22" s="57"/>
      <c r="AO22" s="57"/>
      <c r="AP22" s="57"/>
      <c r="AQ22" s="57"/>
      <c r="AR22" s="57"/>
      <c r="AS22" s="57"/>
      <c r="AT22" s="57"/>
      <c r="AU22" s="57"/>
      <c r="AV22" s="57"/>
      <c r="AW22" s="57"/>
      <c r="AX22" s="57"/>
      <c r="AY22" s="57"/>
      <c r="AZ22" s="59"/>
      <c r="BA22" s="34" t="str">
        <f>IF(BB22&amp;BC22&lt;&gt;"",MAX(BA$5:BA21)+1,"")</f>
        <v/>
      </c>
      <c r="BB22" s="35"/>
      <c r="BC22" s="35"/>
      <c r="BD22" s="36"/>
      <c r="BE22" s="37"/>
      <c r="BF22" s="51"/>
      <c r="BG22" s="36"/>
      <c r="BH22" s="64"/>
      <c r="BI22" s="64"/>
      <c r="BJ22" s="64"/>
      <c r="BK22" s="64"/>
      <c r="BL22" s="64"/>
    </row>
    <row r="23" spans="1:64" s="56" customFormat="1" ht="14.25" customHeight="1" x14ac:dyDescent="0.15">
      <c r="A23" s="200"/>
      <c r="B23" s="202"/>
      <c r="C23" s="365" t="str">
        <f>IF(A23&lt;&gt;"",VLOOKUP(A23,項目仕様!$A$6:$L$129,3),"")</f>
        <v/>
      </c>
      <c r="D23" s="366"/>
      <c r="E23" s="366"/>
      <c r="F23" s="366"/>
      <c r="G23" s="366"/>
      <c r="H23" s="366"/>
      <c r="I23" s="366"/>
      <c r="J23" s="366"/>
      <c r="K23" s="367"/>
      <c r="L23" s="287"/>
      <c r="M23" s="288"/>
      <c r="N23" s="288"/>
      <c r="O23" s="288"/>
      <c r="P23" s="288"/>
      <c r="Q23" s="288"/>
      <c r="R23" s="288"/>
      <c r="S23" s="288"/>
      <c r="T23" s="289"/>
      <c r="U23" s="57"/>
      <c r="V23" s="70" t="s">
        <v>170</v>
      </c>
      <c r="W23" s="57"/>
      <c r="X23" s="57" t="s">
        <v>171</v>
      </c>
      <c r="Y23" s="57"/>
      <c r="Z23" s="57"/>
      <c r="AA23" s="57"/>
      <c r="AB23" s="57"/>
      <c r="AC23" s="60"/>
      <c r="AD23" s="60"/>
      <c r="AE23" s="60"/>
      <c r="AF23" s="60"/>
      <c r="AG23" s="60"/>
      <c r="AH23" s="57"/>
      <c r="AI23" s="57"/>
      <c r="AJ23" s="57"/>
      <c r="AK23" s="57"/>
      <c r="AL23" s="57"/>
      <c r="AM23" s="57"/>
      <c r="AN23" s="57"/>
      <c r="AO23" s="57"/>
      <c r="AP23" s="57"/>
      <c r="AQ23" s="57"/>
      <c r="AR23" s="57"/>
      <c r="AS23" s="57"/>
      <c r="AT23" s="57"/>
      <c r="AU23" s="57"/>
      <c r="AV23" s="57"/>
      <c r="AX23" s="84" t="s">
        <v>172</v>
      </c>
      <c r="AY23" s="57" t="s">
        <v>173</v>
      </c>
      <c r="AZ23" s="59"/>
      <c r="BA23" s="34">
        <f>IF(BB23&amp;BC23&lt;&gt;"",MAX(BA$5:BA22)+1,"")</f>
        <v>4</v>
      </c>
      <c r="BB23" s="35" t="s">
        <v>158</v>
      </c>
      <c r="BC23" s="35"/>
      <c r="BD23" s="36"/>
      <c r="BE23" s="37"/>
      <c r="BF23" s="51"/>
      <c r="BG23" s="36"/>
      <c r="BH23" s="64"/>
      <c r="BI23" s="64"/>
      <c r="BJ23" s="64"/>
      <c r="BK23" s="64"/>
      <c r="BL23" s="64"/>
    </row>
    <row r="24" spans="1:64" s="56" customFormat="1" ht="14.25" customHeight="1" x14ac:dyDescent="0.15">
      <c r="A24" s="200"/>
      <c r="B24" s="202"/>
      <c r="C24" s="365" t="str">
        <f>IF(A24&lt;&gt;"",VLOOKUP(A24,項目仕様!$A$6:$L$129,3),"")</f>
        <v/>
      </c>
      <c r="D24" s="366"/>
      <c r="E24" s="366"/>
      <c r="F24" s="366"/>
      <c r="G24" s="366"/>
      <c r="H24" s="366"/>
      <c r="I24" s="366"/>
      <c r="J24" s="366"/>
      <c r="K24" s="367"/>
      <c r="L24" s="287"/>
      <c r="M24" s="288"/>
      <c r="N24" s="288"/>
      <c r="O24" s="288"/>
      <c r="P24" s="288"/>
      <c r="Q24" s="288"/>
      <c r="R24" s="288"/>
      <c r="S24" s="288"/>
      <c r="T24" s="289"/>
      <c r="U24" s="57"/>
      <c r="V24" s="57"/>
      <c r="W24" s="57"/>
      <c r="X24" s="57"/>
      <c r="Y24" s="57" t="s">
        <v>174</v>
      </c>
      <c r="Z24" s="57"/>
      <c r="AA24" s="57"/>
      <c r="AB24" s="57"/>
      <c r="AC24" s="57"/>
      <c r="AD24" s="60"/>
      <c r="AE24" s="60"/>
      <c r="AF24" s="60"/>
      <c r="AG24" s="60"/>
      <c r="AH24" s="60"/>
      <c r="AI24" s="57"/>
      <c r="AJ24" s="57"/>
      <c r="AK24" s="57"/>
      <c r="AL24" s="57"/>
      <c r="AM24" s="57"/>
      <c r="AN24" s="57"/>
      <c r="AO24" s="57"/>
      <c r="AP24" s="57"/>
      <c r="AQ24" s="57"/>
      <c r="AR24" s="57"/>
      <c r="AS24" s="57"/>
      <c r="AT24" s="57"/>
      <c r="AU24" s="57"/>
      <c r="AV24" s="57"/>
      <c r="AW24" s="57"/>
      <c r="AX24" s="57"/>
      <c r="AY24" s="57"/>
      <c r="AZ24" s="59"/>
      <c r="BA24" s="34" t="str">
        <f>IF(BB24&amp;BC24&lt;&gt;"",MAX(BA$5:BA23)+1,"")</f>
        <v/>
      </c>
      <c r="BB24" s="35"/>
      <c r="BC24" s="35"/>
      <c r="BD24" s="36"/>
      <c r="BE24" s="37"/>
      <c r="BF24" s="51"/>
      <c r="BG24" s="36"/>
      <c r="BH24" s="64"/>
      <c r="BI24" s="64"/>
      <c r="BJ24" s="64"/>
      <c r="BK24" s="64"/>
      <c r="BL24" s="64"/>
    </row>
    <row r="25" spans="1:64" s="56" customFormat="1" ht="14.25" customHeight="1" x14ac:dyDescent="0.15">
      <c r="A25" s="200"/>
      <c r="B25" s="202"/>
      <c r="C25" s="365" t="str">
        <f>IF(A25&lt;&gt;"",VLOOKUP(A25,項目仕様!$A$6:$L$129,3),"")</f>
        <v/>
      </c>
      <c r="D25" s="366"/>
      <c r="E25" s="366"/>
      <c r="F25" s="366"/>
      <c r="G25" s="366"/>
      <c r="H25" s="366"/>
      <c r="I25" s="366"/>
      <c r="J25" s="366"/>
      <c r="K25" s="367"/>
      <c r="L25" s="287"/>
      <c r="M25" s="288"/>
      <c r="N25" s="288"/>
      <c r="O25" s="288"/>
      <c r="P25" s="288"/>
      <c r="Q25" s="288"/>
      <c r="R25" s="288"/>
      <c r="S25" s="288"/>
      <c r="T25" s="289"/>
      <c r="U25" s="57"/>
      <c r="V25" s="57"/>
      <c r="W25" s="57"/>
      <c r="X25" s="57"/>
      <c r="Y25" s="57"/>
      <c r="Z25" s="57"/>
      <c r="AA25" s="57"/>
      <c r="AB25" s="57"/>
      <c r="AC25" s="57"/>
      <c r="AD25" s="60"/>
      <c r="AE25" s="60"/>
      <c r="AF25" s="60"/>
      <c r="AG25" s="60"/>
      <c r="AH25" s="60"/>
      <c r="AI25" s="57"/>
      <c r="AJ25" s="57"/>
      <c r="AK25" s="57"/>
      <c r="AL25" s="57"/>
      <c r="AM25" s="57"/>
      <c r="AN25" s="57"/>
      <c r="AO25" s="57"/>
      <c r="AP25" s="57"/>
      <c r="AQ25" s="57"/>
      <c r="AR25" s="57"/>
      <c r="AS25" s="57"/>
      <c r="AT25" s="57"/>
      <c r="AU25" s="57"/>
      <c r="AV25" s="57"/>
      <c r="AW25" s="57"/>
      <c r="AX25" s="57"/>
      <c r="AY25" s="57"/>
      <c r="AZ25" s="59"/>
      <c r="BA25" s="34" t="str">
        <f>IF(BB25&amp;BC25&lt;&gt;"",MAX(BA$5:BA24)+1,"")</f>
        <v/>
      </c>
      <c r="BB25" s="35"/>
      <c r="BC25" s="35"/>
      <c r="BD25" s="36"/>
      <c r="BE25" s="37"/>
      <c r="BF25" s="51"/>
      <c r="BG25" s="36"/>
      <c r="BH25" s="64"/>
      <c r="BI25" s="64"/>
      <c r="BJ25" s="64"/>
      <c r="BK25" s="64"/>
      <c r="BL25" s="64"/>
    </row>
    <row r="26" spans="1:64" s="56" customFormat="1" ht="14.25" customHeight="1" x14ac:dyDescent="0.15">
      <c r="A26" s="200"/>
      <c r="B26" s="202"/>
      <c r="C26" s="365" t="str">
        <f>IF(A26&lt;&gt;"",VLOOKUP(A26,項目仕様!$A$6:$L$129,3),"")</f>
        <v/>
      </c>
      <c r="D26" s="366"/>
      <c r="E26" s="366"/>
      <c r="F26" s="366"/>
      <c r="G26" s="366"/>
      <c r="H26" s="366"/>
      <c r="I26" s="366"/>
      <c r="J26" s="366"/>
      <c r="K26" s="367"/>
      <c r="L26" s="287"/>
      <c r="M26" s="288"/>
      <c r="N26" s="288"/>
      <c r="O26" s="288"/>
      <c r="P26" s="288"/>
      <c r="Q26" s="288"/>
      <c r="R26" s="288"/>
      <c r="S26" s="288"/>
      <c r="T26" s="289"/>
      <c r="U26" s="57"/>
      <c r="V26" s="163" t="s">
        <v>175</v>
      </c>
      <c r="W26" s="164"/>
      <c r="X26" s="164" t="s">
        <v>176</v>
      </c>
      <c r="Y26" s="164"/>
      <c r="Z26" s="57"/>
      <c r="AA26" s="57"/>
      <c r="AB26" s="57"/>
      <c r="AC26" s="57"/>
      <c r="AD26" s="60"/>
      <c r="AE26" s="60"/>
      <c r="AF26" s="60"/>
      <c r="AG26" s="60"/>
      <c r="AH26" s="60"/>
      <c r="AI26" s="57"/>
      <c r="AJ26" s="57"/>
      <c r="AK26" s="57"/>
      <c r="AL26" s="57"/>
      <c r="AM26" s="57"/>
      <c r="AN26" s="57"/>
      <c r="AO26" s="57"/>
      <c r="AP26" s="57"/>
      <c r="AQ26" s="57"/>
      <c r="AR26" s="57"/>
      <c r="AS26" s="57"/>
      <c r="AT26" s="57"/>
      <c r="AU26" s="57"/>
      <c r="AV26" s="57"/>
      <c r="AW26" s="57"/>
      <c r="AX26" s="57"/>
      <c r="AY26" s="57"/>
      <c r="AZ26" s="59"/>
      <c r="BA26" s="34">
        <f>IF(BB26&amp;BC26&lt;&gt;"",MAX(BA$5:BA25)+1,"")</f>
        <v>5</v>
      </c>
      <c r="BB26" s="35" t="s">
        <v>158</v>
      </c>
      <c r="BC26" s="35"/>
      <c r="BD26" s="36"/>
      <c r="BE26" s="37"/>
      <c r="BF26" s="51"/>
      <c r="BG26" s="36"/>
      <c r="BH26" s="64"/>
      <c r="BI26" s="64"/>
      <c r="BJ26" s="64"/>
      <c r="BK26" s="64"/>
      <c r="BL26" s="64"/>
    </row>
    <row r="27" spans="1:64" s="56" customFormat="1" ht="14.25" customHeight="1" x14ac:dyDescent="0.15">
      <c r="A27" s="200"/>
      <c r="B27" s="202"/>
      <c r="C27" s="365" t="str">
        <f>IF(A27&lt;&gt;"",VLOOKUP(A27,項目仕様!$A$6:$L$129,3),"")</f>
        <v/>
      </c>
      <c r="D27" s="366"/>
      <c r="E27" s="366"/>
      <c r="F27" s="366"/>
      <c r="G27" s="366"/>
      <c r="H27" s="366"/>
      <c r="I27" s="366"/>
      <c r="J27" s="366"/>
      <c r="K27" s="367"/>
      <c r="L27" s="287"/>
      <c r="M27" s="288"/>
      <c r="N27" s="288"/>
      <c r="O27" s="288"/>
      <c r="P27" s="288"/>
      <c r="Q27" s="288"/>
      <c r="R27" s="288"/>
      <c r="S27" s="288"/>
      <c r="T27" s="289"/>
      <c r="U27" s="57"/>
      <c r="V27" s="57"/>
      <c r="W27" s="57"/>
      <c r="X27" s="57"/>
      <c r="Y27" s="57"/>
      <c r="Z27" s="57"/>
      <c r="AA27" s="57"/>
      <c r="AB27" s="57"/>
      <c r="AC27" s="57"/>
      <c r="AD27" s="60"/>
      <c r="AE27" s="60"/>
      <c r="AF27" s="60"/>
      <c r="AG27" s="60"/>
      <c r="AH27" s="60"/>
      <c r="AI27" s="57"/>
      <c r="AJ27" s="57"/>
      <c r="AK27" s="57"/>
      <c r="AL27" s="57"/>
      <c r="AM27" s="57"/>
      <c r="AN27" s="57"/>
      <c r="AO27" s="57"/>
      <c r="AP27" s="57"/>
      <c r="AQ27" s="57"/>
      <c r="AR27" s="57"/>
      <c r="AS27" s="57"/>
      <c r="AT27" s="57"/>
      <c r="AU27" s="57"/>
      <c r="AV27" s="57"/>
      <c r="AW27" s="57"/>
      <c r="AX27" s="57"/>
      <c r="AY27" s="57"/>
      <c r="AZ27" s="59"/>
      <c r="BA27" s="34" t="str">
        <f>IF(BB27&amp;BC27&lt;&gt;"",MAX(BA$5:BA26)+1,"")</f>
        <v/>
      </c>
      <c r="BB27" s="35"/>
      <c r="BC27" s="35"/>
      <c r="BD27" s="36"/>
      <c r="BE27" s="37"/>
      <c r="BF27" s="51"/>
      <c r="BG27" s="36"/>
      <c r="BH27" s="64"/>
      <c r="BI27" s="64"/>
      <c r="BJ27" s="64"/>
      <c r="BK27" s="64"/>
      <c r="BL27" s="64"/>
    </row>
    <row r="28" spans="1:64" s="56" customFormat="1" ht="14.25" customHeight="1" x14ac:dyDescent="0.15">
      <c r="A28" s="200">
        <v>3</v>
      </c>
      <c r="B28" s="202"/>
      <c r="C28" s="365" t="str">
        <f>IF(A28&lt;&gt;"",VLOOKUP(A28,項目仕様!$A$6:$L$129,3),"")</f>
        <v>無効を含む</v>
      </c>
      <c r="D28" s="366"/>
      <c r="E28" s="366"/>
      <c r="F28" s="366"/>
      <c r="G28" s="366"/>
      <c r="H28" s="366"/>
      <c r="I28" s="366"/>
      <c r="J28" s="366"/>
      <c r="K28" s="367"/>
      <c r="L28" s="269" t="s">
        <v>344</v>
      </c>
      <c r="M28" s="270"/>
      <c r="N28" s="270"/>
      <c r="O28" s="270"/>
      <c r="P28" s="270"/>
      <c r="Q28" s="270"/>
      <c r="R28" s="270"/>
      <c r="S28" s="270"/>
      <c r="T28" s="271"/>
      <c r="U28" s="70" t="s">
        <v>150</v>
      </c>
      <c r="V28" s="57"/>
      <c r="W28" s="57" t="s">
        <v>177</v>
      </c>
      <c r="X28" s="57"/>
      <c r="Y28" s="57"/>
      <c r="Z28" s="57"/>
      <c r="AA28" s="57"/>
      <c r="AB28" s="57"/>
      <c r="AC28" s="57"/>
      <c r="AD28" s="60"/>
      <c r="AE28" s="60"/>
      <c r="AF28" s="60"/>
      <c r="AG28" s="60"/>
      <c r="AH28" s="60"/>
      <c r="AI28" s="57"/>
      <c r="AJ28" s="57"/>
      <c r="AK28" s="57"/>
      <c r="AL28" s="57"/>
      <c r="AM28" s="57"/>
      <c r="AN28" s="57"/>
      <c r="AO28" s="57"/>
      <c r="AP28" s="57"/>
      <c r="AQ28" s="57"/>
      <c r="AR28" s="57"/>
      <c r="AS28" s="57"/>
      <c r="AT28" s="57"/>
      <c r="AU28" s="57"/>
      <c r="AV28" s="57"/>
      <c r="AW28" s="57"/>
      <c r="AX28" s="57"/>
      <c r="AY28" s="57"/>
      <c r="AZ28" s="59"/>
      <c r="BA28" s="34" t="str">
        <f>IF(BB28&amp;BC28&lt;&gt;"",MAX(BA$5:BA27)+1,"")</f>
        <v/>
      </c>
      <c r="BB28" s="35"/>
      <c r="BC28" s="35"/>
      <c r="BD28" s="36"/>
      <c r="BE28" s="37"/>
      <c r="BF28" s="51"/>
      <c r="BG28" s="36"/>
      <c r="BH28" s="64"/>
      <c r="BI28" s="64"/>
      <c r="BJ28" s="64"/>
      <c r="BK28" s="64"/>
      <c r="BL28" s="64"/>
    </row>
    <row r="29" spans="1:64" s="56" customFormat="1" ht="14.25" customHeight="1" x14ac:dyDescent="0.15">
      <c r="A29" s="200"/>
      <c r="B29" s="202"/>
      <c r="C29" s="365" t="str">
        <f>IF(A29&lt;&gt;"",VLOOKUP(A29,項目仕様!$A$6:$L$129,3),"")</f>
        <v/>
      </c>
      <c r="D29" s="366"/>
      <c r="E29" s="366"/>
      <c r="F29" s="366"/>
      <c r="G29" s="366"/>
      <c r="H29" s="366"/>
      <c r="I29" s="366"/>
      <c r="J29" s="366"/>
      <c r="K29" s="367"/>
      <c r="L29" s="287"/>
      <c r="M29" s="288"/>
      <c r="N29" s="288"/>
      <c r="O29" s="288"/>
      <c r="P29" s="288"/>
      <c r="Q29" s="288"/>
      <c r="R29" s="288"/>
      <c r="S29" s="288"/>
      <c r="T29" s="289"/>
      <c r="U29" s="57"/>
      <c r="V29" s="70" t="s">
        <v>152</v>
      </c>
      <c r="W29" s="57"/>
      <c r="X29" s="57" t="s">
        <v>171</v>
      </c>
      <c r="Y29" s="57"/>
      <c r="Z29" s="57"/>
      <c r="AA29" s="57"/>
      <c r="AB29" s="57"/>
      <c r="AC29" s="57"/>
      <c r="AD29" s="60"/>
      <c r="AE29" s="60"/>
      <c r="AF29" s="60"/>
      <c r="AG29" s="60"/>
      <c r="AH29" s="60"/>
      <c r="AI29" s="57"/>
      <c r="AJ29" s="57"/>
      <c r="AK29" s="57"/>
      <c r="AL29" s="57"/>
      <c r="AM29" s="57"/>
      <c r="AN29" s="57"/>
      <c r="AO29" s="57"/>
      <c r="AP29" s="57"/>
      <c r="AQ29" s="57"/>
      <c r="AR29" s="57"/>
      <c r="AS29" s="57"/>
      <c r="AT29" s="57"/>
      <c r="AU29" s="57"/>
      <c r="AV29" s="57"/>
      <c r="AX29" s="84" t="s">
        <v>172</v>
      </c>
      <c r="AY29" s="57" t="s">
        <v>173</v>
      </c>
      <c r="AZ29" s="59"/>
      <c r="BA29" s="34">
        <f>IF(BB29&amp;BC29&lt;&gt;"",MAX(BA$5:BA28)+1,"")</f>
        <v>6</v>
      </c>
      <c r="BB29" s="35" t="s">
        <v>158</v>
      </c>
      <c r="BC29" s="35"/>
      <c r="BD29" s="36"/>
      <c r="BE29" s="37"/>
      <c r="BF29" s="51"/>
      <c r="BG29" s="36"/>
      <c r="BH29" s="64"/>
      <c r="BI29" s="64"/>
      <c r="BJ29" s="64"/>
      <c r="BK29" s="64"/>
      <c r="BL29" s="64"/>
    </row>
    <row r="30" spans="1:64" s="56" customFormat="1" ht="14.25" customHeight="1" x14ac:dyDescent="0.15">
      <c r="A30" s="200"/>
      <c r="B30" s="202"/>
      <c r="C30" s="365" t="str">
        <f>IF(A30&lt;&gt;"",VLOOKUP(A30,項目仕様!$A$6:$L$129,3),"")</f>
        <v/>
      </c>
      <c r="D30" s="366"/>
      <c r="E30" s="366"/>
      <c r="F30" s="366"/>
      <c r="G30" s="366"/>
      <c r="H30" s="366"/>
      <c r="I30" s="366"/>
      <c r="J30" s="366"/>
      <c r="K30" s="367"/>
      <c r="L30" s="287"/>
      <c r="M30" s="288"/>
      <c r="N30" s="288"/>
      <c r="O30" s="288"/>
      <c r="P30" s="288"/>
      <c r="Q30" s="288"/>
      <c r="R30" s="288"/>
      <c r="S30" s="288"/>
      <c r="T30" s="289"/>
      <c r="U30" s="57"/>
      <c r="V30" s="57"/>
      <c r="W30" s="57"/>
      <c r="X30" s="57"/>
      <c r="Y30" s="57" t="s">
        <v>178</v>
      </c>
      <c r="Z30" s="57"/>
      <c r="AA30" s="57"/>
      <c r="AB30" s="57"/>
      <c r="AC30" s="57"/>
      <c r="AD30" s="60"/>
      <c r="AE30" s="60"/>
      <c r="AF30" s="60"/>
      <c r="AG30" s="60"/>
      <c r="AH30" s="60"/>
      <c r="AI30" s="57"/>
      <c r="AJ30" s="57"/>
      <c r="AK30" s="57"/>
      <c r="AL30" s="57"/>
      <c r="AM30" s="57"/>
      <c r="AN30" s="57"/>
      <c r="AO30" s="57"/>
      <c r="AP30" s="57"/>
      <c r="AQ30" s="57"/>
      <c r="AR30" s="57"/>
      <c r="AS30" s="57"/>
      <c r="AT30" s="57"/>
      <c r="AU30" s="57"/>
      <c r="AV30" s="57"/>
      <c r="AW30" s="57"/>
      <c r="AX30" s="57"/>
      <c r="AY30" s="57"/>
      <c r="AZ30" s="59"/>
      <c r="BA30" s="34" t="str">
        <f>IF(BB30&amp;BC30&lt;&gt;"",MAX(BA$5:BA29)+1,"")</f>
        <v/>
      </c>
      <c r="BB30" s="35"/>
      <c r="BC30" s="35"/>
      <c r="BD30" s="36"/>
      <c r="BE30" s="37"/>
      <c r="BF30" s="51"/>
      <c r="BG30" s="36"/>
      <c r="BH30" s="64"/>
      <c r="BI30" s="64"/>
      <c r="BJ30" s="64"/>
      <c r="BK30" s="64"/>
      <c r="BL30" s="64"/>
    </row>
    <row r="31" spans="1:64" s="56" customFormat="1" ht="14.25" customHeight="1" x14ac:dyDescent="0.15">
      <c r="A31" s="200"/>
      <c r="B31" s="202"/>
      <c r="C31" s="365" t="str">
        <f>IF(A31&lt;&gt;"",VLOOKUP(A31,項目仕様!$A$6:$L$129,3),"")</f>
        <v/>
      </c>
      <c r="D31" s="366"/>
      <c r="E31" s="366"/>
      <c r="F31" s="366"/>
      <c r="G31" s="366"/>
      <c r="H31" s="366"/>
      <c r="I31" s="366"/>
      <c r="J31" s="366"/>
      <c r="K31" s="367"/>
      <c r="L31" s="287"/>
      <c r="M31" s="288"/>
      <c r="N31" s="288"/>
      <c r="O31" s="288"/>
      <c r="P31" s="288"/>
      <c r="Q31" s="288"/>
      <c r="R31" s="288"/>
      <c r="S31" s="288"/>
      <c r="T31" s="289"/>
      <c r="U31" s="57"/>
      <c r="V31" s="57"/>
      <c r="W31" s="57"/>
      <c r="X31" s="57"/>
      <c r="Y31" s="57"/>
      <c r="Z31" s="57"/>
      <c r="AA31" s="57"/>
      <c r="AB31" s="57"/>
      <c r="AC31" s="57"/>
      <c r="AD31" s="60"/>
      <c r="AE31" s="60"/>
      <c r="AF31" s="60"/>
      <c r="AG31" s="60"/>
      <c r="AH31" s="60"/>
      <c r="AI31" s="57"/>
      <c r="AJ31" s="57"/>
      <c r="AK31" s="57"/>
      <c r="AL31" s="57"/>
      <c r="AM31" s="57"/>
      <c r="AN31" s="57"/>
      <c r="AO31" s="57"/>
      <c r="AP31" s="57"/>
      <c r="AQ31" s="57"/>
      <c r="AR31" s="57"/>
      <c r="AS31" s="57"/>
      <c r="AT31" s="57"/>
      <c r="AU31" s="57"/>
      <c r="AV31" s="57"/>
      <c r="AW31" s="57"/>
      <c r="AX31" s="57"/>
      <c r="AY31" s="57"/>
      <c r="AZ31" s="59"/>
      <c r="BA31" s="34" t="str">
        <f>IF(BB31&amp;BC31&lt;&gt;"",MAX(BA$5:BA30)+1,"")</f>
        <v/>
      </c>
      <c r="BB31" s="35"/>
      <c r="BC31" s="35"/>
      <c r="BD31" s="36"/>
      <c r="BE31" s="37"/>
      <c r="BF31" s="51"/>
      <c r="BG31" s="36"/>
      <c r="BH31" s="64"/>
      <c r="BI31" s="64"/>
      <c r="BJ31" s="64"/>
      <c r="BK31" s="64"/>
      <c r="BL31" s="64"/>
    </row>
    <row r="32" spans="1:64" s="56" customFormat="1" ht="14.25" customHeight="1" x14ac:dyDescent="0.15">
      <c r="A32" s="200"/>
      <c r="B32" s="202"/>
      <c r="C32" s="365" t="str">
        <f>IF(A32&lt;&gt;"",VLOOKUP(A32,項目仕様!$A$6:$L$129,3),"")</f>
        <v/>
      </c>
      <c r="D32" s="366"/>
      <c r="E32" s="366"/>
      <c r="F32" s="366"/>
      <c r="G32" s="366"/>
      <c r="H32" s="366"/>
      <c r="I32" s="366"/>
      <c r="J32" s="366"/>
      <c r="K32" s="367"/>
      <c r="L32" s="287"/>
      <c r="M32" s="288"/>
      <c r="N32" s="288"/>
      <c r="O32" s="288"/>
      <c r="P32" s="288"/>
      <c r="Q32" s="288"/>
      <c r="R32" s="288"/>
      <c r="S32" s="288"/>
      <c r="T32" s="289"/>
      <c r="U32" s="70" t="s">
        <v>168</v>
      </c>
      <c r="V32" s="57"/>
      <c r="W32" s="57" t="s">
        <v>179</v>
      </c>
      <c r="X32" s="57"/>
      <c r="Y32" s="57"/>
      <c r="Z32" s="57"/>
      <c r="AA32" s="57"/>
      <c r="AB32" s="57"/>
      <c r="AC32" s="57"/>
      <c r="AD32" s="60"/>
      <c r="AE32" s="60"/>
      <c r="AF32" s="60"/>
      <c r="AG32" s="60"/>
      <c r="AH32" s="60"/>
      <c r="AI32" s="57"/>
      <c r="AJ32" s="57"/>
      <c r="AK32" s="57"/>
      <c r="AL32" s="57"/>
      <c r="AM32" s="57"/>
      <c r="AN32" s="57"/>
      <c r="AO32" s="57"/>
      <c r="AP32" s="57"/>
      <c r="AQ32" s="57"/>
      <c r="AR32" s="57"/>
      <c r="AS32" s="57"/>
      <c r="AT32" s="57"/>
      <c r="AU32" s="57"/>
      <c r="AV32" s="57"/>
      <c r="AW32" s="57"/>
      <c r="AX32" s="57"/>
      <c r="AY32" s="57"/>
      <c r="AZ32" s="59"/>
      <c r="BA32" s="34" t="str">
        <f>IF(BB32&amp;BC32&lt;&gt;"",MAX(BA$5:BA31)+1,"")</f>
        <v/>
      </c>
      <c r="BB32" s="35"/>
      <c r="BC32" s="35"/>
      <c r="BD32" s="36"/>
      <c r="BE32" s="37"/>
      <c r="BF32" s="51"/>
      <c r="BG32" s="36"/>
      <c r="BH32" s="64"/>
      <c r="BI32" s="64"/>
      <c r="BJ32" s="64"/>
      <c r="BK32" s="64"/>
      <c r="BL32" s="64"/>
    </row>
    <row r="33" spans="1:64" s="56" customFormat="1" ht="14.25" customHeight="1" x14ac:dyDescent="0.15">
      <c r="A33" s="200"/>
      <c r="B33" s="202"/>
      <c r="C33" s="365" t="str">
        <f>IF(A33&lt;&gt;"",VLOOKUP(A33,項目仕様!$A$6:$L$129,3),"")</f>
        <v/>
      </c>
      <c r="D33" s="366"/>
      <c r="E33" s="366"/>
      <c r="F33" s="366"/>
      <c r="G33" s="366"/>
      <c r="H33" s="366"/>
      <c r="I33" s="366"/>
      <c r="J33" s="366"/>
      <c r="K33" s="367"/>
      <c r="L33" s="287"/>
      <c r="M33" s="288"/>
      <c r="N33" s="288"/>
      <c r="O33" s="288"/>
      <c r="P33" s="288"/>
      <c r="Q33" s="288"/>
      <c r="R33" s="288"/>
      <c r="S33" s="288"/>
      <c r="T33" s="289"/>
      <c r="U33" s="57"/>
      <c r="V33" s="70" t="s">
        <v>170</v>
      </c>
      <c r="W33" s="57"/>
      <c r="X33" s="57" t="s">
        <v>171</v>
      </c>
      <c r="Y33" s="57"/>
      <c r="Z33" s="57"/>
      <c r="AA33" s="57"/>
      <c r="AB33" s="57"/>
      <c r="AC33" s="57"/>
      <c r="AD33" s="60"/>
      <c r="AE33" s="60"/>
      <c r="AF33" s="60"/>
      <c r="AG33" s="60"/>
      <c r="AH33" s="60"/>
      <c r="AI33" s="57"/>
      <c r="AJ33" s="57"/>
      <c r="AK33" s="57"/>
      <c r="AL33" s="57"/>
      <c r="AM33" s="57"/>
      <c r="AN33" s="57"/>
      <c r="AO33" s="57"/>
      <c r="AP33" s="57"/>
      <c r="AQ33" s="57"/>
      <c r="AR33" s="57"/>
      <c r="AS33" s="57"/>
      <c r="AT33" s="57"/>
      <c r="AU33" s="57"/>
      <c r="AV33" s="57"/>
      <c r="AX33" s="84" t="s">
        <v>172</v>
      </c>
      <c r="AY33" s="57" t="s">
        <v>173</v>
      </c>
      <c r="AZ33" s="59"/>
      <c r="BA33" s="34">
        <f>IF(BB33&amp;BC33&lt;&gt;"",MAX(BA$5:BA32)+1,"")</f>
        <v>7</v>
      </c>
      <c r="BB33" s="35" t="s">
        <v>158</v>
      </c>
      <c r="BC33" s="35"/>
      <c r="BD33" s="36"/>
      <c r="BE33" s="37"/>
      <c r="BF33" s="51"/>
      <c r="BG33" s="36"/>
      <c r="BH33" s="64"/>
      <c r="BI33" s="64"/>
      <c r="BJ33" s="64"/>
      <c r="BK33" s="64"/>
      <c r="BL33" s="64"/>
    </row>
    <row r="34" spans="1:64" s="56" customFormat="1" ht="14.25" customHeight="1" x14ac:dyDescent="0.15">
      <c r="A34" s="200"/>
      <c r="B34" s="202"/>
      <c r="C34" s="365" t="str">
        <f>IF(A34&lt;&gt;"",VLOOKUP(A34,項目仕様!$A$6:$L$129,3),"")</f>
        <v/>
      </c>
      <c r="D34" s="366"/>
      <c r="E34" s="366"/>
      <c r="F34" s="366"/>
      <c r="G34" s="366"/>
      <c r="H34" s="366"/>
      <c r="I34" s="366"/>
      <c r="J34" s="366"/>
      <c r="K34" s="367"/>
      <c r="L34" s="287"/>
      <c r="M34" s="288"/>
      <c r="N34" s="288"/>
      <c r="O34" s="288"/>
      <c r="P34" s="288"/>
      <c r="Q34" s="288"/>
      <c r="R34" s="288"/>
      <c r="S34" s="288"/>
      <c r="T34" s="289"/>
      <c r="U34" s="57"/>
      <c r="V34" s="57"/>
      <c r="W34" s="57"/>
      <c r="X34" s="57"/>
      <c r="Y34" s="57" t="s">
        <v>174</v>
      </c>
      <c r="Z34" s="57"/>
      <c r="AA34" s="57"/>
      <c r="AB34" s="57"/>
      <c r="AC34" s="57"/>
      <c r="AD34" s="60"/>
      <c r="AE34" s="60"/>
      <c r="AF34" s="60"/>
      <c r="AG34" s="60"/>
      <c r="AH34" s="60"/>
      <c r="AI34" s="57"/>
      <c r="AJ34" s="57"/>
      <c r="AK34" s="57"/>
      <c r="AL34" s="57"/>
      <c r="AM34" s="57"/>
      <c r="AN34" s="57"/>
      <c r="AO34" s="57"/>
      <c r="AP34" s="57"/>
      <c r="AQ34" s="57"/>
      <c r="AR34" s="57"/>
      <c r="AS34" s="57"/>
      <c r="AT34" s="57"/>
      <c r="AU34" s="57"/>
      <c r="AV34" s="57"/>
      <c r="AW34" s="57"/>
      <c r="AX34" s="57"/>
      <c r="AY34" s="57"/>
      <c r="AZ34" s="59"/>
      <c r="BA34" s="34" t="str">
        <f>IF(BB34&amp;BC34&lt;&gt;"",MAX(BA$5:BA33)+1,"")</f>
        <v/>
      </c>
      <c r="BB34" s="35"/>
      <c r="BC34" s="35"/>
      <c r="BD34" s="36"/>
      <c r="BE34" s="37"/>
      <c r="BF34" s="51"/>
      <c r="BG34" s="36"/>
      <c r="BH34" s="64"/>
      <c r="BI34" s="64"/>
      <c r="BJ34" s="64"/>
      <c r="BK34" s="64"/>
      <c r="BL34" s="64"/>
    </row>
    <row r="35" spans="1:64" s="56" customFormat="1" ht="14.25" customHeight="1" x14ac:dyDescent="0.15">
      <c r="A35" s="200"/>
      <c r="B35" s="202"/>
      <c r="C35" s="365" t="str">
        <f>IF(A35&lt;&gt;"",VLOOKUP(A35,項目仕様!$A$6:$L$129,3),"")</f>
        <v/>
      </c>
      <c r="D35" s="366"/>
      <c r="E35" s="366"/>
      <c r="F35" s="366"/>
      <c r="G35" s="366"/>
      <c r="H35" s="366"/>
      <c r="I35" s="366"/>
      <c r="J35" s="366"/>
      <c r="K35" s="367"/>
      <c r="L35" s="287"/>
      <c r="M35" s="288"/>
      <c r="N35" s="288"/>
      <c r="O35" s="288"/>
      <c r="P35" s="288"/>
      <c r="Q35" s="288"/>
      <c r="R35" s="288"/>
      <c r="S35" s="288"/>
      <c r="T35" s="289"/>
      <c r="U35" s="57"/>
      <c r="V35" s="57"/>
      <c r="W35" s="57"/>
      <c r="X35" s="57"/>
      <c r="Y35" s="57"/>
      <c r="Z35" s="57"/>
      <c r="AA35" s="57"/>
      <c r="AB35" s="57"/>
      <c r="AC35" s="57"/>
      <c r="AD35" s="60"/>
      <c r="AE35" s="60"/>
      <c r="AF35" s="60"/>
      <c r="AG35" s="60"/>
      <c r="AH35" s="60"/>
      <c r="AI35" s="57"/>
      <c r="AJ35" s="57"/>
      <c r="AK35" s="57"/>
      <c r="AL35" s="57"/>
      <c r="AM35" s="57"/>
      <c r="AN35" s="57"/>
      <c r="AO35" s="57"/>
      <c r="AP35" s="57"/>
      <c r="AQ35" s="57"/>
      <c r="AR35" s="57"/>
      <c r="AS35" s="57"/>
      <c r="AT35" s="57"/>
      <c r="AU35" s="57"/>
      <c r="AV35" s="57"/>
      <c r="AW35" s="57"/>
      <c r="AX35" s="57"/>
      <c r="AY35" s="57"/>
      <c r="AZ35" s="59"/>
      <c r="BA35" s="34" t="str">
        <f>IF(BB35&amp;BC35&lt;&gt;"",MAX(BA$5:BA34)+1,"")</f>
        <v/>
      </c>
      <c r="BB35" s="35"/>
      <c r="BC35" s="35"/>
      <c r="BD35" s="36"/>
      <c r="BE35" s="37"/>
      <c r="BF35" s="51"/>
      <c r="BG35" s="36"/>
      <c r="BH35" s="64"/>
      <c r="BI35" s="64"/>
      <c r="BJ35" s="64"/>
      <c r="BK35" s="64"/>
      <c r="BL35" s="64"/>
    </row>
    <row r="36" spans="1:64" s="56" customFormat="1" ht="14.25" customHeight="1" x14ac:dyDescent="0.15">
      <c r="A36" s="200"/>
      <c r="B36" s="202"/>
      <c r="C36" s="365" t="str">
        <f>IF(A36&lt;&gt;"",VLOOKUP(A36,項目仕様!$A$6:$L$129,3),"")</f>
        <v/>
      </c>
      <c r="D36" s="366"/>
      <c r="E36" s="366"/>
      <c r="F36" s="366"/>
      <c r="G36" s="366"/>
      <c r="H36" s="366"/>
      <c r="I36" s="366"/>
      <c r="J36" s="366"/>
      <c r="K36" s="367"/>
      <c r="L36" s="287"/>
      <c r="M36" s="288"/>
      <c r="N36" s="288"/>
      <c r="O36" s="288"/>
      <c r="P36" s="288"/>
      <c r="Q36" s="288"/>
      <c r="R36" s="288"/>
      <c r="S36" s="288"/>
      <c r="T36" s="289"/>
      <c r="U36" s="163" t="s">
        <v>180</v>
      </c>
      <c r="V36" s="164"/>
      <c r="W36" s="164" t="s">
        <v>176</v>
      </c>
      <c r="X36" s="164"/>
      <c r="Y36" s="164"/>
      <c r="Z36" s="57"/>
      <c r="AA36" s="57"/>
      <c r="AB36" s="57"/>
      <c r="AC36" s="57"/>
      <c r="AD36" s="60"/>
      <c r="AE36" s="60"/>
      <c r="AF36" s="60"/>
      <c r="AG36" s="60"/>
      <c r="AH36" s="60"/>
      <c r="AI36" s="57"/>
      <c r="AJ36" s="57"/>
      <c r="AK36" s="57"/>
      <c r="AL36" s="57"/>
      <c r="AM36" s="57"/>
      <c r="AN36" s="57"/>
      <c r="AO36" s="57"/>
      <c r="AP36" s="57"/>
      <c r="AQ36" s="57"/>
      <c r="AR36" s="57"/>
      <c r="AS36" s="57"/>
      <c r="AT36" s="57"/>
      <c r="AU36" s="57"/>
      <c r="AV36" s="57"/>
      <c r="AW36" s="57"/>
      <c r="AX36" s="57"/>
      <c r="AY36" s="57"/>
      <c r="AZ36" s="59"/>
      <c r="BA36" s="34">
        <f>IF(BB36&amp;BC36&lt;&gt;"",MAX(BA$5:BA35)+1,"")</f>
        <v>8</v>
      </c>
      <c r="BB36" s="35" t="s">
        <v>158</v>
      </c>
      <c r="BC36" s="35"/>
      <c r="BD36" s="36"/>
      <c r="BE36" s="37"/>
      <c r="BF36" s="51"/>
      <c r="BG36" s="36"/>
      <c r="BH36" s="64"/>
      <c r="BI36" s="64"/>
      <c r="BJ36" s="64"/>
      <c r="BK36" s="64"/>
      <c r="BL36" s="64"/>
    </row>
    <row r="37" spans="1:64" s="56" customFormat="1" ht="14.25" customHeight="1" x14ac:dyDescent="0.15">
      <c r="A37" s="200"/>
      <c r="B37" s="202"/>
      <c r="C37" s="365" t="str">
        <f>IF(A37&lt;&gt;"",VLOOKUP(A37,項目仕様!$A$6:$L$129,3),"")</f>
        <v/>
      </c>
      <c r="D37" s="366"/>
      <c r="E37" s="366"/>
      <c r="F37" s="366"/>
      <c r="G37" s="366"/>
      <c r="H37" s="366"/>
      <c r="I37" s="366"/>
      <c r="J37" s="366"/>
      <c r="K37" s="367"/>
      <c r="L37" s="287"/>
      <c r="M37" s="288"/>
      <c r="N37" s="288"/>
      <c r="O37" s="288"/>
      <c r="P37" s="288"/>
      <c r="Q37" s="288"/>
      <c r="R37" s="288"/>
      <c r="S37" s="288"/>
      <c r="T37" s="289"/>
      <c r="U37" s="57"/>
      <c r="V37" s="57"/>
      <c r="W37" s="57"/>
      <c r="X37" s="57"/>
      <c r="Y37" s="57"/>
      <c r="Z37" s="57"/>
      <c r="AA37" s="57"/>
      <c r="AB37" s="57"/>
      <c r="AC37" s="57"/>
      <c r="AD37" s="60"/>
      <c r="AE37" s="60"/>
      <c r="AF37" s="60"/>
      <c r="AG37" s="60"/>
      <c r="AH37" s="60"/>
      <c r="AI37" s="57"/>
      <c r="AJ37" s="57"/>
      <c r="AK37" s="57"/>
      <c r="AL37" s="57"/>
      <c r="AM37" s="57"/>
      <c r="AN37" s="57"/>
      <c r="AO37" s="57"/>
      <c r="AP37" s="57"/>
      <c r="AQ37" s="57"/>
      <c r="AR37" s="57"/>
      <c r="AS37" s="57"/>
      <c r="AT37" s="57"/>
      <c r="AU37" s="57"/>
      <c r="AV37" s="57"/>
      <c r="AW37" s="57"/>
      <c r="AX37" s="57"/>
      <c r="AY37" s="57"/>
      <c r="AZ37" s="59"/>
      <c r="BA37" s="34" t="str">
        <f>IF(BB37&amp;BC37&lt;&gt;"",MAX(BA$5:BA36)+1,"")</f>
        <v/>
      </c>
      <c r="BB37" s="35"/>
      <c r="BC37" s="35"/>
      <c r="BD37" s="36"/>
      <c r="BE37" s="37"/>
      <c r="BF37" s="51"/>
      <c r="BG37" s="36"/>
      <c r="BH37" s="64"/>
      <c r="BI37" s="64"/>
      <c r="BJ37" s="64"/>
      <c r="BK37" s="64"/>
      <c r="BL37" s="64"/>
    </row>
    <row r="38" spans="1:64" s="56" customFormat="1" ht="14.25" customHeight="1" x14ac:dyDescent="0.15">
      <c r="A38" s="200">
        <v>4</v>
      </c>
      <c r="B38" s="202"/>
      <c r="C38" s="365" t="str">
        <f>IF(A38&lt;&gt;"",VLOOKUP(A38,項目仕様!$A$6:$L$129,3),"")</f>
        <v>【ログイン情報一覧】</v>
      </c>
      <c r="D38" s="366"/>
      <c r="E38" s="366"/>
      <c r="F38" s="366"/>
      <c r="G38" s="366"/>
      <c r="H38" s="366"/>
      <c r="I38" s="366"/>
      <c r="J38" s="366"/>
      <c r="K38" s="367"/>
      <c r="L38" s="269" t="s">
        <v>345</v>
      </c>
      <c r="M38" s="270"/>
      <c r="N38" s="270"/>
      <c r="O38" s="270"/>
      <c r="P38" s="270"/>
      <c r="Q38" s="270"/>
      <c r="R38" s="270"/>
      <c r="S38" s="270"/>
      <c r="T38" s="271"/>
      <c r="U38" s="70" t="s">
        <v>150</v>
      </c>
      <c r="V38" s="57"/>
      <c r="W38" s="57" t="s">
        <v>181</v>
      </c>
      <c r="X38" s="57"/>
      <c r="Y38" s="57"/>
      <c r="Z38" s="57"/>
      <c r="AA38" s="57"/>
      <c r="AB38" s="57"/>
      <c r="AC38" s="57"/>
      <c r="AD38" s="60"/>
      <c r="AE38" s="60"/>
      <c r="AF38" s="60"/>
      <c r="AG38" s="60"/>
      <c r="AH38" s="60"/>
      <c r="AI38" s="57"/>
      <c r="AJ38" s="57"/>
      <c r="AK38" s="57"/>
      <c r="AL38" s="57"/>
      <c r="AM38" s="57"/>
      <c r="AN38" s="57"/>
      <c r="AO38" s="57"/>
      <c r="AP38" s="57"/>
      <c r="AQ38" s="57"/>
      <c r="AR38" s="57"/>
      <c r="AS38" s="57"/>
      <c r="AT38" s="57"/>
      <c r="AU38" s="57"/>
      <c r="AV38" s="57"/>
      <c r="AW38" s="57"/>
      <c r="AX38" s="57"/>
      <c r="AY38" s="57"/>
      <c r="AZ38" s="59"/>
      <c r="BA38" s="34" t="str">
        <f>IF(BB38&amp;BC38&lt;&gt;"",MAX(BA$5:BA37)+1,"")</f>
        <v/>
      </c>
      <c r="BB38" s="35"/>
      <c r="BC38" s="35"/>
      <c r="BD38" s="36"/>
      <c r="BE38" s="37"/>
      <c r="BF38" s="51"/>
      <c r="BG38" s="36"/>
      <c r="BH38" s="64"/>
      <c r="BI38" s="64"/>
      <c r="BJ38" s="64"/>
      <c r="BK38" s="64"/>
      <c r="BL38" s="64"/>
    </row>
    <row r="39" spans="1:64" s="56" customFormat="1" ht="14.25" customHeight="1" x14ac:dyDescent="0.15">
      <c r="A39" s="200"/>
      <c r="B39" s="202"/>
      <c r="C39" s="365" t="str">
        <f>IF(A39&lt;&gt;"",VLOOKUP(A39,項目仕様!$A$6:$L$129,3),"")</f>
        <v/>
      </c>
      <c r="D39" s="366"/>
      <c r="E39" s="366"/>
      <c r="F39" s="366"/>
      <c r="G39" s="366"/>
      <c r="H39" s="366"/>
      <c r="I39" s="366"/>
      <c r="J39" s="366"/>
      <c r="K39" s="367"/>
      <c r="L39" s="269" t="s">
        <v>346</v>
      </c>
      <c r="M39" s="270"/>
      <c r="N39" s="270"/>
      <c r="O39" s="270"/>
      <c r="P39" s="270"/>
      <c r="Q39" s="270"/>
      <c r="R39" s="270"/>
      <c r="S39" s="270"/>
      <c r="T39" s="271"/>
      <c r="U39" s="57"/>
      <c r="V39" s="70" t="s">
        <v>152</v>
      </c>
      <c r="W39" s="57"/>
      <c r="X39" s="57" t="s">
        <v>182</v>
      </c>
      <c r="Y39" s="57"/>
      <c r="Z39" s="57"/>
      <c r="AA39" s="57"/>
      <c r="AB39" s="57"/>
      <c r="AC39" s="57"/>
      <c r="AD39" s="60"/>
      <c r="AE39" s="60"/>
      <c r="AF39" s="60"/>
      <c r="AG39" s="60"/>
      <c r="AH39" s="60"/>
      <c r="AI39" s="57"/>
      <c r="AJ39" s="57"/>
      <c r="AK39" s="57"/>
      <c r="AL39" s="57"/>
      <c r="AM39" s="57"/>
      <c r="AN39" s="57"/>
      <c r="AO39" s="57"/>
      <c r="AP39" s="57"/>
      <c r="AQ39" s="57"/>
      <c r="AR39" s="57"/>
      <c r="AS39" s="57"/>
      <c r="AT39" s="57"/>
      <c r="AU39" s="57"/>
      <c r="AV39" s="57"/>
      <c r="AW39" s="57"/>
      <c r="AX39" s="57"/>
      <c r="AY39" s="57"/>
      <c r="AZ39" s="59"/>
      <c r="BA39" s="34">
        <f>IF(BB39&amp;BC39&lt;&gt;"",MAX(BA$5:BA38)+1,"")</f>
        <v>9</v>
      </c>
      <c r="BB39" s="35" t="s">
        <v>158</v>
      </c>
      <c r="BC39" s="35"/>
      <c r="BD39" s="36"/>
      <c r="BE39" s="37"/>
      <c r="BF39" s="51"/>
      <c r="BG39" s="36"/>
      <c r="BH39" s="64"/>
      <c r="BI39" s="64"/>
      <c r="BJ39" s="64"/>
      <c r="BK39" s="64"/>
      <c r="BL39" s="64"/>
    </row>
    <row r="40" spans="1:64" s="56" customFormat="1" ht="14.25" customHeight="1" x14ac:dyDescent="0.15">
      <c r="A40" s="200"/>
      <c r="B40" s="202"/>
      <c r="C40" s="365" t="str">
        <f>IF(A40&lt;&gt;"",VLOOKUP(A40,項目仕様!$A$6:$L$129,3),"")</f>
        <v/>
      </c>
      <c r="D40" s="366"/>
      <c r="E40" s="366"/>
      <c r="F40" s="366"/>
      <c r="G40" s="366"/>
      <c r="H40" s="366"/>
      <c r="I40" s="366"/>
      <c r="J40" s="366"/>
      <c r="K40" s="367"/>
      <c r="L40" s="287"/>
      <c r="M40" s="288"/>
      <c r="N40" s="288"/>
      <c r="O40" s="288"/>
      <c r="P40" s="288"/>
      <c r="Q40" s="288"/>
      <c r="R40" s="288"/>
      <c r="S40" s="288"/>
      <c r="T40" s="289"/>
      <c r="U40" s="57"/>
      <c r="V40" s="57"/>
      <c r="W40" s="57"/>
      <c r="X40" s="57"/>
      <c r="Y40" s="57" t="s">
        <v>183</v>
      </c>
      <c r="Z40" s="57"/>
      <c r="AA40" s="57"/>
      <c r="AB40" s="57"/>
      <c r="AC40" s="57"/>
      <c r="AD40" s="60"/>
      <c r="AE40" s="60"/>
      <c r="AF40" s="60"/>
      <c r="AG40" s="60"/>
      <c r="AH40" s="60"/>
      <c r="AI40" s="57"/>
      <c r="AJ40" s="57" t="s">
        <v>184</v>
      </c>
      <c r="AK40" s="57"/>
      <c r="AL40" s="57" t="s">
        <v>185</v>
      </c>
      <c r="AM40" s="57"/>
      <c r="AN40" s="57"/>
      <c r="AO40" s="57"/>
      <c r="AP40" s="57"/>
      <c r="AQ40" s="57"/>
      <c r="AR40" s="57"/>
      <c r="AS40" s="57"/>
      <c r="AT40" s="57"/>
      <c r="AU40" s="57"/>
      <c r="AV40" s="57"/>
      <c r="AW40" s="57"/>
      <c r="AX40" s="57"/>
      <c r="AY40" s="57"/>
      <c r="AZ40" s="59"/>
      <c r="BA40" s="34">
        <f>IF(BB40&amp;BC40&lt;&gt;"",MAX(BA$5:BA39)+1,"")</f>
        <v>10</v>
      </c>
      <c r="BB40" s="35" t="s">
        <v>158</v>
      </c>
      <c r="BC40" s="35"/>
      <c r="BD40" s="36"/>
      <c r="BE40" s="37"/>
      <c r="BF40" s="51"/>
      <c r="BG40" s="36"/>
      <c r="BH40" s="64"/>
      <c r="BI40" s="64"/>
      <c r="BJ40" s="64"/>
      <c r="BK40" s="64"/>
      <c r="BL40" s="64"/>
    </row>
    <row r="41" spans="1:64" s="56" customFormat="1" ht="14.25" customHeight="1" x14ac:dyDescent="0.15">
      <c r="A41" s="200"/>
      <c r="B41" s="202"/>
      <c r="C41" s="365" t="str">
        <f>IF(A41&lt;&gt;"",VLOOKUP(A41,項目仕様!$A$6:$L$129,3),"")</f>
        <v/>
      </c>
      <c r="D41" s="366"/>
      <c r="E41" s="366"/>
      <c r="F41" s="366"/>
      <c r="G41" s="366"/>
      <c r="H41" s="366"/>
      <c r="I41" s="366"/>
      <c r="J41" s="366"/>
      <c r="K41" s="367"/>
      <c r="L41" s="287"/>
      <c r="M41" s="288"/>
      <c r="N41" s="288"/>
      <c r="O41" s="288"/>
      <c r="P41" s="288"/>
      <c r="Q41" s="288"/>
      <c r="R41" s="288"/>
      <c r="S41" s="288"/>
      <c r="T41" s="289"/>
      <c r="U41" s="57"/>
      <c r="V41" s="57"/>
      <c r="W41" s="57"/>
      <c r="X41" s="57"/>
      <c r="Y41" s="57" t="s">
        <v>186</v>
      </c>
      <c r="Z41" s="57"/>
      <c r="AA41" s="57"/>
      <c r="AB41" s="57"/>
      <c r="AC41" s="57"/>
      <c r="AD41" s="60"/>
      <c r="AE41" s="60"/>
      <c r="AF41" s="60"/>
      <c r="AG41" s="60"/>
      <c r="AH41" s="60"/>
      <c r="AI41" s="57"/>
      <c r="AJ41" s="57" t="s">
        <v>184</v>
      </c>
      <c r="AK41" s="57"/>
      <c r="AL41" s="57" t="s">
        <v>187</v>
      </c>
      <c r="AM41" s="57"/>
      <c r="AN41" s="57"/>
      <c r="AO41" s="57"/>
      <c r="AP41" s="57"/>
      <c r="AQ41" s="57"/>
      <c r="AR41" s="57"/>
      <c r="AS41" s="57"/>
      <c r="AT41" s="57"/>
      <c r="AU41" s="57"/>
      <c r="AV41" s="57"/>
      <c r="AW41" s="57"/>
      <c r="AX41" s="57"/>
      <c r="AY41" s="57"/>
      <c r="AZ41" s="59"/>
      <c r="BA41" s="34">
        <f>IF(BB41&amp;BC41&lt;&gt;"",MAX(BA$5:BA40)+1,"")</f>
        <v>11</v>
      </c>
      <c r="BB41" s="35" t="s">
        <v>158</v>
      </c>
      <c r="BC41" s="35"/>
      <c r="BD41" s="36"/>
      <c r="BE41" s="37"/>
      <c r="BF41" s="51"/>
      <c r="BG41" s="36"/>
      <c r="BH41" s="64"/>
      <c r="BI41" s="64"/>
      <c r="BJ41" s="64"/>
      <c r="BK41" s="64"/>
      <c r="BL41" s="64"/>
    </row>
    <row r="42" spans="1:64" s="56" customFormat="1" ht="14.25" customHeight="1" x14ac:dyDescent="0.15">
      <c r="A42" s="200"/>
      <c r="B42" s="202"/>
      <c r="C42" s="365" t="str">
        <f>IF(A42&lt;&gt;"",VLOOKUP(A42,項目仕様!$A$6:$L$129,3),"")</f>
        <v/>
      </c>
      <c r="D42" s="366"/>
      <c r="E42" s="366"/>
      <c r="F42" s="366"/>
      <c r="G42" s="366"/>
      <c r="H42" s="366"/>
      <c r="I42" s="366"/>
      <c r="J42" s="366"/>
      <c r="K42" s="367"/>
      <c r="L42" s="287"/>
      <c r="M42" s="288"/>
      <c r="N42" s="288"/>
      <c r="O42" s="288"/>
      <c r="P42" s="288"/>
      <c r="Q42" s="288"/>
      <c r="R42" s="288"/>
      <c r="S42" s="288"/>
      <c r="T42" s="289"/>
      <c r="U42" s="57"/>
      <c r="V42" s="57"/>
      <c r="W42" s="57"/>
      <c r="X42" s="57"/>
      <c r="Y42" s="57" t="s">
        <v>188</v>
      </c>
      <c r="Z42" s="57"/>
      <c r="AA42" s="57"/>
      <c r="AB42" s="57"/>
      <c r="AC42" s="57"/>
      <c r="AD42" s="60"/>
      <c r="AE42" s="60"/>
      <c r="AF42" s="60"/>
      <c r="AG42" s="60"/>
      <c r="AH42" s="60"/>
      <c r="AI42" s="57"/>
      <c r="AJ42" s="57" t="s">
        <v>184</v>
      </c>
      <c r="AK42" s="57"/>
      <c r="AL42" s="57" t="s">
        <v>189</v>
      </c>
      <c r="AM42" s="57"/>
      <c r="AN42" s="57"/>
      <c r="AO42" s="57"/>
      <c r="AP42" s="57"/>
      <c r="AQ42" s="57"/>
      <c r="AR42" s="57"/>
      <c r="AS42" s="57"/>
      <c r="AT42" s="57"/>
      <c r="AU42" s="57"/>
      <c r="AV42" s="57"/>
      <c r="AW42" s="57"/>
      <c r="AX42" s="57"/>
      <c r="AY42" s="57"/>
      <c r="AZ42" s="59"/>
      <c r="BA42" s="34">
        <f>IF(BB42&amp;BC42&lt;&gt;"",MAX(BA$5:BA41)+1,"")</f>
        <v>12</v>
      </c>
      <c r="BB42" s="35" t="s">
        <v>158</v>
      </c>
      <c r="BC42" s="35"/>
      <c r="BD42" s="36"/>
      <c r="BE42" s="37"/>
      <c r="BF42" s="51"/>
      <c r="BG42" s="36"/>
      <c r="BH42" s="64"/>
      <c r="BI42" s="64"/>
      <c r="BJ42" s="64"/>
      <c r="BK42" s="64"/>
      <c r="BL42" s="64"/>
    </row>
    <row r="43" spans="1:64" s="56" customFormat="1" ht="14.25" customHeight="1" x14ac:dyDescent="0.15">
      <c r="A43" s="200"/>
      <c r="B43" s="202"/>
      <c r="C43" s="365" t="str">
        <f>IF(A43&lt;&gt;"",VLOOKUP(A43,項目仕様!$A$6:$L$129,3),"")</f>
        <v/>
      </c>
      <c r="D43" s="366"/>
      <c r="E43" s="366"/>
      <c r="F43" s="366"/>
      <c r="G43" s="366"/>
      <c r="H43" s="366"/>
      <c r="I43" s="366"/>
      <c r="J43" s="366"/>
      <c r="K43" s="367"/>
      <c r="L43" s="287"/>
      <c r="M43" s="288"/>
      <c r="N43" s="288"/>
      <c r="O43" s="288"/>
      <c r="P43" s="288"/>
      <c r="Q43" s="288"/>
      <c r="R43" s="288"/>
      <c r="S43" s="288"/>
      <c r="T43" s="289"/>
      <c r="U43" s="57"/>
      <c r="V43" s="57"/>
      <c r="W43" s="57"/>
      <c r="X43" s="57"/>
      <c r="Y43" s="57" t="s">
        <v>190</v>
      </c>
      <c r="Z43" s="57"/>
      <c r="AA43" s="57"/>
      <c r="AB43" s="57"/>
      <c r="AC43" s="57"/>
      <c r="AD43" s="60"/>
      <c r="AE43" s="60"/>
      <c r="AF43" s="60"/>
      <c r="AG43" s="60"/>
      <c r="AH43" s="60"/>
      <c r="AI43" s="57"/>
      <c r="AJ43" s="57" t="s">
        <v>184</v>
      </c>
      <c r="AK43" s="57"/>
      <c r="AL43" s="57" t="s">
        <v>191</v>
      </c>
      <c r="AM43" s="57"/>
      <c r="AN43" s="57"/>
      <c r="AO43" s="57"/>
      <c r="AP43" s="57"/>
      <c r="AQ43" s="57"/>
      <c r="AR43" s="57"/>
      <c r="AS43" s="57"/>
      <c r="AT43" s="57"/>
      <c r="AU43" s="57"/>
      <c r="AV43" s="57"/>
      <c r="AW43" s="57"/>
      <c r="AX43" s="57"/>
      <c r="AY43" s="57"/>
      <c r="AZ43" s="59"/>
      <c r="BA43" s="34">
        <f>IF(BB43&amp;BC43&lt;&gt;"",MAX(BA$5:BA42)+1,"")</f>
        <v>13</v>
      </c>
      <c r="BB43" s="35" t="s">
        <v>158</v>
      </c>
      <c r="BC43" s="35"/>
      <c r="BD43" s="36"/>
      <c r="BE43" s="37"/>
      <c r="BF43" s="51"/>
      <c r="BG43" s="36"/>
      <c r="BH43" s="64"/>
      <c r="BI43" s="64"/>
      <c r="BJ43" s="64"/>
      <c r="BK43" s="64"/>
      <c r="BL43" s="64"/>
    </row>
    <row r="44" spans="1:64" s="56" customFormat="1" ht="14.25" customHeight="1" x14ac:dyDescent="0.15">
      <c r="A44" s="200"/>
      <c r="B44" s="202"/>
      <c r="C44" s="365" t="str">
        <f>IF(A44&lt;&gt;"",VLOOKUP(A44,項目仕様!$A$6:$L$129,3),"")</f>
        <v/>
      </c>
      <c r="D44" s="366"/>
      <c r="E44" s="366"/>
      <c r="F44" s="366"/>
      <c r="G44" s="366"/>
      <c r="H44" s="366"/>
      <c r="I44" s="366"/>
      <c r="J44" s="366"/>
      <c r="K44" s="367"/>
      <c r="L44" s="287"/>
      <c r="M44" s="288"/>
      <c r="N44" s="288"/>
      <c r="O44" s="288"/>
      <c r="P44" s="288"/>
      <c r="Q44" s="288"/>
      <c r="R44" s="288"/>
      <c r="S44" s="288"/>
      <c r="T44" s="289"/>
      <c r="U44" s="57"/>
      <c r="V44" s="57"/>
      <c r="W44" s="57"/>
      <c r="X44" s="57"/>
      <c r="Y44" s="57" t="s">
        <v>192</v>
      </c>
      <c r="Z44" s="57"/>
      <c r="AA44" s="57"/>
      <c r="AB44" s="57"/>
      <c r="AC44" s="57"/>
      <c r="AD44" s="60"/>
      <c r="AE44" s="60"/>
      <c r="AF44" s="60"/>
      <c r="AG44" s="60"/>
      <c r="AH44" s="60"/>
      <c r="AI44" s="57"/>
      <c r="AJ44" s="57" t="s">
        <v>184</v>
      </c>
      <c r="AK44" s="57"/>
      <c r="AL44" s="57" t="s">
        <v>193</v>
      </c>
      <c r="AM44" s="57"/>
      <c r="AN44" s="57"/>
      <c r="AO44" s="57"/>
      <c r="AP44" s="57"/>
      <c r="AQ44" s="57"/>
      <c r="AR44" s="57"/>
      <c r="AS44" s="57"/>
      <c r="AT44" s="57"/>
      <c r="AU44" s="57"/>
      <c r="AV44" s="57"/>
      <c r="AW44" s="57"/>
      <c r="AX44" s="57"/>
      <c r="AY44" s="57"/>
      <c r="AZ44" s="59"/>
      <c r="BA44" s="34">
        <f>IF(BB44&amp;BC44&lt;&gt;"",MAX(BA$5:BA43)+1,"")</f>
        <v>14</v>
      </c>
      <c r="BB44" s="35" t="s">
        <v>158</v>
      </c>
      <c r="BC44" s="35"/>
      <c r="BD44" s="36"/>
      <c r="BE44" s="37"/>
      <c r="BF44" s="51"/>
      <c r="BG44" s="36"/>
      <c r="BH44" s="64"/>
      <c r="BI44" s="64"/>
      <c r="BJ44" s="64"/>
      <c r="BK44" s="64"/>
      <c r="BL44" s="64"/>
    </row>
    <row r="45" spans="1:64" s="56" customFormat="1" ht="14.25" customHeight="1" x14ac:dyDescent="0.15">
      <c r="A45" s="200"/>
      <c r="B45" s="202"/>
      <c r="C45" s="365" t="str">
        <f>IF(A45&lt;&gt;"",VLOOKUP(A45,項目仕様!$A$6:$L$129,3),"")</f>
        <v/>
      </c>
      <c r="D45" s="366"/>
      <c r="E45" s="366"/>
      <c r="F45" s="366"/>
      <c r="G45" s="366"/>
      <c r="H45" s="366"/>
      <c r="I45" s="366"/>
      <c r="J45" s="366"/>
      <c r="K45" s="367"/>
      <c r="L45" s="287"/>
      <c r="M45" s="288"/>
      <c r="N45" s="288"/>
      <c r="O45" s="288"/>
      <c r="P45" s="288"/>
      <c r="Q45" s="288"/>
      <c r="R45" s="288"/>
      <c r="S45" s="288"/>
      <c r="T45" s="289"/>
      <c r="U45" s="57"/>
      <c r="V45" s="57"/>
      <c r="W45" s="57"/>
      <c r="X45" s="57"/>
      <c r="Y45" s="57" t="s">
        <v>194</v>
      </c>
      <c r="Z45" s="57"/>
      <c r="AA45" s="57"/>
      <c r="AB45" s="57"/>
      <c r="AC45" s="57"/>
      <c r="AD45" s="60"/>
      <c r="AE45" s="60"/>
      <c r="AF45" s="60"/>
      <c r="AG45" s="60"/>
      <c r="AH45" s="60"/>
      <c r="AI45" s="57"/>
      <c r="AJ45" s="57" t="s">
        <v>184</v>
      </c>
      <c r="AK45" s="57"/>
      <c r="AL45" s="57" t="s">
        <v>195</v>
      </c>
      <c r="AM45" s="57"/>
      <c r="AN45" s="57"/>
      <c r="AO45" s="57"/>
      <c r="AP45" s="57"/>
      <c r="AQ45" s="57"/>
      <c r="AR45" s="57"/>
      <c r="AS45" s="57"/>
      <c r="AT45" s="57"/>
      <c r="AU45" s="57"/>
      <c r="AV45" s="57"/>
      <c r="AW45" s="57"/>
      <c r="AX45" s="57"/>
      <c r="AY45" s="57"/>
      <c r="AZ45" s="59"/>
      <c r="BA45" s="34">
        <f>IF(BB45&amp;BC45&lt;&gt;"",MAX(BA$5:BA44)+1,"")</f>
        <v>15</v>
      </c>
      <c r="BB45" s="35" t="s">
        <v>158</v>
      </c>
      <c r="BC45" s="35"/>
      <c r="BD45" s="36"/>
      <c r="BE45" s="37"/>
      <c r="BF45" s="51"/>
      <c r="BG45" s="36"/>
      <c r="BH45" s="64"/>
      <c r="BI45" s="64"/>
      <c r="BJ45" s="64"/>
      <c r="BK45" s="64"/>
      <c r="BL45" s="64"/>
    </row>
    <row r="46" spans="1:64" s="144" customFormat="1" ht="14.25" customHeight="1" x14ac:dyDescent="0.15">
      <c r="A46" s="244"/>
      <c r="B46" s="246"/>
      <c r="C46" s="371" t="str">
        <f>IF(A46&lt;&gt;"",VLOOKUP(A46,項目仕様!$A$6:$L$129,3),"")</f>
        <v/>
      </c>
      <c r="D46" s="372"/>
      <c r="E46" s="372"/>
      <c r="F46" s="372"/>
      <c r="G46" s="372"/>
      <c r="H46" s="372"/>
      <c r="I46" s="372"/>
      <c r="J46" s="372"/>
      <c r="K46" s="373"/>
      <c r="L46" s="269"/>
      <c r="M46" s="270"/>
      <c r="N46" s="270"/>
      <c r="O46" s="270"/>
      <c r="P46" s="270"/>
      <c r="Q46" s="270"/>
      <c r="R46" s="270"/>
      <c r="S46" s="270"/>
      <c r="T46" s="271"/>
      <c r="U46" s="161"/>
      <c r="V46" s="161"/>
      <c r="W46" s="161"/>
      <c r="X46" s="161"/>
      <c r="Y46" s="161" t="s">
        <v>349</v>
      </c>
      <c r="Z46" s="161"/>
      <c r="AA46" s="161"/>
      <c r="AB46" s="161"/>
      <c r="AC46" s="161"/>
      <c r="AD46" s="159"/>
      <c r="AE46" s="159"/>
      <c r="AF46" s="159"/>
      <c r="AG46" s="159"/>
      <c r="AH46" s="159"/>
      <c r="AI46" s="161"/>
      <c r="AJ46" s="161" t="s">
        <v>184</v>
      </c>
      <c r="AK46" s="161"/>
      <c r="AL46" s="161" t="s">
        <v>350</v>
      </c>
      <c r="AM46" s="161"/>
      <c r="AN46" s="161"/>
      <c r="AO46" s="161"/>
      <c r="AP46" s="161"/>
      <c r="AQ46" s="161"/>
      <c r="AR46" s="161"/>
      <c r="AS46" s="161"/>
      <c r="AT46" s="161"/>
      <c r="AU46" s="161"/>
      <c r="AV46" s="161"/>
      <c r="AW46" s="161"/>
      <c r="AX46" s="161"/>
      <c r="AY46" s="161"/>
      <c r="AZ46" s="162"/>
      <c r="BA46" s="165">
        <f>IF(BB46&amp;BC46&lt;&gt;"",MAX(BA$5:BA45)+1,"")</f>
        <v>16</v>
      </c>
      <c r="BB46" s="166" t="s">
        <v>158</v>
      </c>
      <c r="BC46" s="166"/>
      <c r="BD46" s="167"/>
      <c r="BE46" s="168"/>
      <c r="BF46" s="169"/>
      <c r="BG46" s="167"/>
      <c r="BH46" s="170"/>
      <c r="BI46" s="170"/>
      <c r="BJ46" s="170"/>
      <c r="BK46" s="170"/>
      <c r="BL46" s="170"/>
    </row>
    <row r="47" spans="1:64" s="56" customFormat="1" ht="14.25" customHeight="1" x14ac:dyDescent="0.15">
      <c r="A47" s="200"/>
      <c r="B47" s="202"/>
      <c r="C47" s="365" t="str">
        <f>IF(A47&lt;&gt;"",VLOOKUP(A47,項目仕様!$A$6:$L$129,3),"")</f>
        <v/>
      </c>
      <c r="D47" s="366"/>
      <c r="E47" s="366"/>
      <c r="F47" s="366"/>
      <c r="G47" s="366"/>
      <c r="H47" s="366"/>
      <c r="I47" s="366"/>
      <c r="J47" s="366"/>
      <c r="K47" s="367"/>
      <c r="L47" s="287"/>
      <c r="M47" s="288"/>
      <c r="N47" s="288"/>
      <c r="O47" s="288"/>
      <c r="P47" s="288"/>
      <c r="Q47" s="288"/>
      <c r="R47" s="288"/>
      <c r="S47" s="288"/>
      <c r="T47" s="289"/>
      <c r="U47" s="57"/>
      <c r="V47" s="57"/>
      <c r="W47" s="57"/>
      <c r="X47" s="57"/>
      <c r="Y47" s="57" t="s">
        <v>196</v>
      </c>
      <c r="Z47" s="57"/>
      <c r="AA47" s="57"/>
      <c r="AB47" s="57"/>
      <c r="AC47" s="57"/>
      <c r="AD47" s="60"/>
      <c r="AE47" s="60"/>
      <c r="AF47" s="60"/>
      <c r="AG47" s="60"/>
      <c r="AH47" s="60"/>
      <c r="AI47" s="57"/>
      <c r="AJ47" s="57" t="s">
        <v>184</v>
      </c>
      <c r="AK47" s="57"/>
      <c r="AL47" s="57" t="s">
        <v>197</v>
      </c>
      <c r="AM47" s="57"/>
      <c r="AN47" s="57"/>
      <c r="AO47" s="57"/>
      <c r="AP47" s="57"/>
      <c r="AQ47" s="57"/>
      <c r="AR47" s="57"/>
      <c r="AS47" s="57"/>
      <c r="AT47" s="57"/>
      <c r="AU47" s="57"/>
      <c r="AV47" s="57"/>
      <c r="AW47" s="57"/>
      <c r="AX47" s="57"/>
      <c r="AY47" s="57"/>
      <c r="AZ47" s="59"/>
      <c r="BA47" s="34">
        <f>IF(BB47&amp;BC47&lt;&gt;"",MAX(BA$5:BA46)+1,"")</f>
        <v>17</v>
      </c>
      <c r="BB47" s="35" t="s">
        <v>158</v>
      </c>
      <c r="BC47" s="35"/>
      <c r="BD47" s="36"/>
      <c r="BE47" s="37"/>
      <c r="BF47" s="51"/>
      <c r="BG47" s="36"/>
      <c r="BH47" s="64"/>
      <c r="BI47" s="64"/>
      <c r="BJ47" s="64"/>
      <c r="BK47" s="64"/>
      <c r="BL47" s="64"/>
    </row>
    <row r="48" spans="1:64" s="56" customFormat="1" ht="14.25" customHeight="1" x14ac:dyDescent="0.15">
      <c r="A48" s="200"/>
      <c r="B48" s="202"/>
      <c r="C48" s="365" t="str">
        <f>IF(A48&lt;&gt;"",VLOOKUP(A48,項目仕様!$A$6:$L$129,3),"")</f>
        <v/>
      </c>
      <c r="D48" s="366"/>
      <c r="E48" s="366"/>
      <c r="F48" s="366"/>
      <c r="G48" s="366"/>
      <c r="H48" s="366"/>
      <c r="I48" s="366"/>
      <c r="J48" s="366"/>
      <c r="K48" s="367"/>
      <c r="L48" s="287"/>
      <c r="M48" s="288"/>
      <c r="N48" s="288"/>
      <c r="O48" s="288"/>
      <c r="P48" s="288"/>
      <c r="Q48" s="288"/>
      <c r="R48" s="288"/>
      <c r="S48" s="288"/>
      <c r="T48" s="289"/>
      <c r="U48" s="57"/>
      <c r="V48" s="57"/>
      <c r="W48" s="57"/>
      <c r="X48" s="57"/>
      <c r="Y48" s="57"/>
      <c r="Z48" s="57"/>
      <c r="AA48" s="57"/>
      <c r="AB48" s="57"/>
      <c r="AC48" s="57"/>
      <c r="AD48" s="60"/>
      <c r="AE48" s="60"/>
      <c r="AF48" s="60"/>
      <c r="AG48" s="60"/>
      <c r="AH48" s="60"/>
      <c r="AI48" s="57"/>
      <c r="AJ48" s="57"/>
      <c r="AK48" s="57"/>
      <c r="AL48" s="57"/>
      <c r="AM48" s="57"/>
      <c r="AN48" s="57"/>
      <c r="AO48" s="57"/>
      <c r="AP48" s="57"/>
      <c r="AQ48" s="57"/>
      <c r="AR48" s="57"/>
      <c r="AS48" s="57"/>
      <c r="AT48" s="57"/>
      <c r="AU48" s="57"/>
      <c r="AV48" s="57"/>
      <c r="AW48" s="57"/>
      <c r="AX48" s="57"/>
      <c r="AY48" s="57"/>
      <c r="AZ48" s="59"/>
      <c r="BA48" s="34" t="str">
        <f>IF(BB48&amp;BC48&lt;&gt;"",MAX(BA$5:BA47)+1,"")</f>
        <v/>
      </c>
      <c r="BB48" s="35"/>
      <c r="BC48" s="35"/>
      <c r="BD48" s="36"/>
      <c r="BE48" s="37"/>
      <c r="BF48" s="51"/>
      <c r="BG48" s="36"/>
      <c r="BH48" s="64"/>
      <c r="BI48" s="64"/>
      <c r="BJ48" s="64"/>
      <c r="BK48" s="64"/>
      <c r="BL48" s="64"/>
    </row>
    <row r="49" spans="1:64" s="56" customFormat="1" ht="14.25" customHeight="1" x14ac:dyDescent="0.15">
      <c r="A49" s="200"/>
      <c r="B49" s="202"/>
      <c r="C49" s="365" t="str">
        <f>IF(A49&lt;&gt;"",VLOOKUP(A49,項目仕様!$A$6:$L$129,3),"")</f>
        <v/>
      </c>
      <c r="D49" s="366"/>
      <c r="E49" s="366"/>
      <c r="F49" s="366"/>
      <c r="G49" s="366"/>
      <c r="H49" s="366"/>
      <c r="I49" s="366"/>
      <c r="J49" s="366"/>
      <c r="K49" s="367"/>
      <c r="L49" s="287"/>
      <c r="M49" s="288"/>
      <c r="N49" s="288"/>
      <c r="O49" s="288"/>
      <c r="P49" s="288"/>
      <c r="Q49" s="288"/>
      <c r="R49" s="288"/>
      <c r="S49" s="288"/>
      <c r="T49" s="289"/>
      <c r="U49" s="57"/>
      <c r="V49" s="163" t="s">
        <v>198</v>
      </c>
      <c r="W49" s="164"/>
      <c r="X49" s="164" t="s">
        <v>199</v>
      </c>
      <c r="Y49" s="164"/>
      <c r="Z49" s="164"/>
      <c r="AA49" s="57"/>
      <c r="AB49" s="57"/>
      <c r="AC49" s="57"/>
      <c r="AD49" s="60"/>
      <c r="AE49" s="60"/>
      <c r="AF49" s="60"/>
      <c r="AG49" s="60"/>
      <c r="AH49" s="60"/>
      <c r="AI49" s="57"/>
      <c r="AJ49" s="57"/>
      <c r="AK49" s="57"/>
      <c r="AL49" s="57"/>
      <c r="AM49" s="57"/>
      <c r="AN49" s="57"/>
      <c r="AO49" s="57"/>
      <c r="AP49" s="57"/>
      <c r="AQ49" s="57"/>
      <c r="AR49" s="57"/>
      <c r="AS49" s="57"/>
      <c r="AT49" s="57"/>
      <c r="AU49" s="57"/>
      <c r="AV49" s="57"/>
      <c r="AW49" s="57"/>
      <c r="AX49" s="57"/>
      <c r="AY49" s="57"/>
      <c r="AZ49" s="59"/>
      <c r="BA49" s="34">
        <f>IF(BB49&amp;BC49&lt;&gt;"",MAX(BA$5:BA48)+1,"")</f>
        <v>18</v>
      </c>
      <c r="BB49" s="35" t="s">
        <v>158</v>
      </c>
      <c r="BC49" s="35"/>
      <c r="BD49" s="36"/>
      <c r="BE49" s="37"/>
      <c r="BF49" s="51"/>
      <c r="BG49" s="36"/>
      <c r="BH49" s="64"/>
      <c r="BI49" s="64"/>
      <c r="BJ49" s="64"/>
      <c r="BK49" s="64"/>
      <c r="BL49" s="64"/>
    </row>
    <row r="50" spans="1:64" s="56" customFormat="1" ht="14.25" customHeight="1" x14ac:dyDescent="0.15">
      <c r="A50" s="200"/>
      <c r="B50" s="202"/>
      <c r="C50" s="365" t="str">
        <f>IF(A50&lt;&gt;"",VLOOKUP(A50,項目仕様!$A$6:$L$129,3),"")</f>
        <v/>
      </c>
      <c r="D50" s="366"/>
      <c r="E50" s="366"/>
      <c r="F50" s="366"/>
      <c r="G50" s="366"/>
      <c r="H50" s="366"/>
      <c r="I50" s="366"/>
      <c r="J50" s="366"/>
      <c r="K50" s="367"/>
      <c r="L50" s="287"/>
      <c r="M50" s="288"/>
      <c r="N50" s="288"/>
      <c r="O50" s="288"/>
      <c r="P50" s="288"/>
      <c r="Q50" s="288"/>
      <c r="R50" s="288"/>
      <c r="S50" s="288"/>
      <c r="T50" s="289"/>
      <c r="U50" s="57"/>
      <c r="V50" s="146" t="s">
        <v>167</v>
      </c>
      <c r="W50" s="57"/>
      <c r="X50" s="161" t="s">
        <v>203</v>
      </c>
      <c r="Y50" s="57"/>
      <c r="Z50" s="57"/>
      <c r="AA50" s="57"/>
      <c r="AB50" s="57"/>
      <c r="AC50" s="57"/>
      <c r="AD50" s="60"/>
      <c r="AE50" s="60"/>
      <c r="AF50" s="60"/>
      <c r="AG50" s="60"/>
      <c r="AH50" s="60"/>
      <c r="AI50" s="57"/>
      <c r="AJ50" s="57"/>
      <c r="AK50" s="57"/>
      <c r="AL50" s="57"/>
      <c r="AM50" s="57"/>
      <c r="AN50" s="57"/>
      <c r="AO50" s="57"/>
      <c r="AP50" s="57"/>
      <c r="AQ50" s="57"/>
      <c r="AR50" s="57"/>
      <c r="AS50" s="57"/>
      <c r="AT50" s="57"/>
      <c r="AU50" s="57"/>
      <c r="AV50" s="57"/>
      <c r="AW50" s="57"/>
      <c r="AX50" s="57"/>
      <c r="AY50" s="57"/>
      <c r="AZ50" s="59"/>
      <c r="BA50" s="34" t="str">
        <f>IF(BB50&amp;BC50&lt;&gt;"",MAX(BA$5:BA49)+1,"")</f>
        <v/>
      </c>
      <c r="BB50" s="35"/>
      <c r="BC50" s="35"/>
      <c r="BD50" s="36"/>
      <c r="BE50" s="37"/>
      <c r="BF50" s="51"/>
      <c r="BG50" s="36"/>
      <c r="BH50" s="64"/>
      <c r="BI50" s="64"/>
      <c r="BJ50" s="64"/>
      <c r="BK50" s="64"/>
      <c r="BL50" s="64"/>
    </row>
    <row r="51" spans="1:64" s="56" customFormat="1" ht="14.25" customHeight="1" x14ac:dyDescent="0.15">
      <c r="A51" s="200"/>
      <c r="B51" s="202"/>
      <c r="C51" s="365" t="str">
        <f>IF(A51&lt;&gt;"",VLOOKUP(A51,項目仕様!$A$6:$L$129,3),"")</f>
        <v/>
      </c>
      <c r="D51" s="366"/>
      <c r="E51" s="366"/>
      <c r="F51" s="366"/>
      <c r="G51" s="366"/>
      <c r="H51" s="366"/>
      <c r="I51" s="366"/>
      <c r="J51" s="366"/>
      <c r="K51" s="367"/>
      <c r="L51" s="287"/>
      <c r="M51" s="288"/>
      <c r="N51" s="288"/>
      <c r="O51" s="288"/>
      <c r="P51" s="288"/>
      <c r="Q51" s="288"/>
      <c r="R51" s="288"/>
      <c r="S51" s="288"/>
      <c r="T51" s="289"/>
      <c r="U51" s="70"/>
      <c r="V51" s="152"/>
      <c r="W51" s="152"/>
      <c r="X51" s="161" t="s">
        <v>363</v>
      </c>
      <c r="Y51" s="152"/>
      <c r="Z51" s="152"/>
      <c r="AA51" s="152"/>
      <c r="AB51" s="152"/>
      <c r="AC51" s="152"/>
      <c r="AD51" s="154"/>
      <c r="AE51" s="154"/>
      <c r="AF51" s="154"/>
      <c r="AG51" s="154"/>
      <c r="AH51" s="154"/>
      <c r="AI51" s="152"/>
      <c r="AJ51" s="152"/>
      <c r="AK51" s="152"/>
      <c r="AL51" s="152"/>
      <c r="AM51" s="152"/>
      <c r="AN51" s="152"/>
      <c r="AO51" s="152"/>
      <c r="AP51" s="152"/>
      <c r="AQ51" s="152"/>
      <c r="AR51" s="152"/>
      <c r="AS51" s="152"/>
      <c r="AT51" s="152"/>
      <c r="AU51" s="152"/>
      <c r="AV51" s="152"/>
      <c r="AW51" s="152"/>
      <c r="AX51" s="152"/>
      <c r="AY51" s="152"/>
      <c r="AZ51" s="153"/>
      <c r="BA51" s="34" t="str">
        <f>IF(BB51&amp;BC51&lt;&gt;"",MAX(BA$5:BA49)+1,"")</f>
        <v/>
      </c>
      <c r="BB51" s="35"/>
      <c r="BC51" s="35"/>
      <c r="BD51" s="36"/>
      <c r="BE51" s="37"/>
      <c r="BF51" s="51"/>
      <c r="BG51" s="36"/>
      <c r="BH51" s="64"/>
      <c r="BI51" s="64"/>
      <c r="BJ51" s="64"/>
      <c r="BK51" s="64"/>
      <c r="BL51" s="64"/>
    </row>
    <row r="52" spans="1:64" s="56" customFormat="1" ht="14.25" customHeight="1" x14ac:dyDescent="0.15">
      <c r="A52" s="200"/>
      <c r="B52" s="202"/>
      <c r="C52" s="365" t="str">
        <f>IF(A52&lt;&gt;"",VLOOKUP(A52,項目仕様!$A$6:$L$129,3),"")</f>
        <v/>
      </c>
      <c r="D52" s="366"/>
      <c r="E52" s="366"/>
      <c r="F52" s="366"/>
      <c r="G52" s="366"/>
      <c r="H52" s="366"/>
      <c r="I52" s="366"/>
      <c r="J52" s="366"/>
      <c r="K52" s="367"/>
      <c r="L52" s="287"/>
      <c r="M52" s="288"/>
      <c r="N52" s="288"/>
      <c r="O52" s="288"/>
      <c r="P52" s="288"/>
      <c r="Q52" s="288"/>
      <c r="R52" s="288"/>
      <c r="S52" s="288"/>
      <c r="T52" s="289"/>
      <c r="U52" s="152"/>
      <c r="V52" s="152"/>
      <c r="W52" s="152"/>
      <c r="X52" s="152"/>
      <c r="Y52" s="152"/>
      <c r="Z52" s="152"/>
      <c r="AA52" s="152"/>
      <c r="AB52" s="152"/>
      <c r="AC52" s="152"/>
      <c r="AD52" s="154"/>
      <c r="AE52" s="154"/>
      <c r="AF52" s="154"/>
      <c r="AG52" s="154"/>
      <c r="AH52" s="154"/>
      <c r="AI52" s="152"/>
      <c r="AJ52" s="152"/>
      <c r="AK52" s="152"/>
      <c r="AL52" s="152"/>
      <c r="AM52" s="152"/>
      <c r="AN52" s="152"/>
      <c r="AO52" s="152"/>
      <c r="AP52" s="152"/>
      <c r="AQ52" s="152"/>
      <c r="AR52" s="152"/>
      <c r="AS52" s="152"/>
      <c r="AT52" s="152"/>
      <c r="AU52" s="152"/>
      <c r="AV52" s="152"/>
      <c r="AW52" s="152"/>
      <c r="AX52" s="152"/>
      <c r="AY52" s="152"/>
      <c r="AZ52" s="153"/>
      <c r="BA52" s="34" t="str">
        <f>IF(BB52&amp;BC52&lt;&gt;"",MAX(BA$5:BA51)+1,"")</f>
        <v/>
      </c>
      <c r="BB52" s="35"/>
      <c r="BC52" s="35"/>
      <c r="BD52" s="36"/>
      <c r="BE52" s="37"/>
      <c r="BF52" s="51"/>
      <c r="BG52" s="36"/>
      <c r="BH52" s="64"/>
      <c r="BI52" s="64"/>
      <c r="BJ52" s="64"/>
      <c r="BK52" s="64"/>
      <c r="BL52" s="64"/>
    </row>
    <row r="53" spans="1:64" s="56" customFormat="1" ht="14.25" customHeight="1" x14ac:dyDescent="0.15">
      <c r="A53" s="200"/>
      <c r="B53" s="202"/>
      <c r="C53" s="365" t="str">
        <f>IF(A53&lt;&gt;"",VLOOKUP(A53,項目仕様!$A$6:$L$129,3),"")</f>
        <v/>
      </c>
      <c r="D53" s="366"/>
      <c r="E53" s="366"/>
      <c r="F53" s="366"/>
      <c r="G53" s="366"/>
      <c r="H53" s="366"/>
      <c r="I53" s="366"/>
      <c r="J53" s="366"/>
      <c r="K53" s="367"/>
      <c r="L53" s="287"/>
      <c r="M53" s="288"/>
      <c r="N53" s="288"/>
      <c r="O53" s="288"/>
      <c r="P53" s="288"/>
      <c r="Q53" s="288"/>
      <c r="R53" s="288"/>
      <c r="S53" s="288"/>
      <c r="T53" s="289"/>
      <c r="U53" s="146"/>
      <c r="V53" s="146" t="s">
        <v>240</v>
      </c>
      <c r="W53" s="161"/>
      <c r="X53" s="161" t="s">
        <v>364</v>
      </c>
      <c r="Y53" s="152"/>
      <c r="Z53" s="152"/>
      <c r="AA53" s="152"/>
      <c r="AB53" s="152"/>
      <c r="AC53" s="152"/>
      <c r="AD53" s="154"/>
      <c r="AE53" s="154"/>
      <c r="AF53" s="154"/>
      <c r="AG53" s="154"/>
      <c r="AH53" s="154"/>
      <c r="AI53" s="152"/>
      <c r="AJ53" s="152"/>
      <c r="AK53" s="152"/>
      <c r="AL53" s="152"/>
      <c r="AM53" s="152"/>
      <c r="AN53" s="152"/>
      <c r="AO53" s="152"/>
      <c r="AP53" s="152"/>
      <c r="AQ53" s="152"/>
      <c r="AR53" s="152"/>
      <c r="AS53" s="152"/>
      <c r="AT53" s="152"/>
      <c r="AU53" s="152"/>
      <c r="AV53" s="152"/>
      <c r="AW53" s="152"/>
      <c r="AX53" s="152"/>
      <c r="AY53" s="152"/>
      <c r="AZ53" s="153"/>
      <c r="BA53" s="34" t="str">
        <f>IF(BB53&amp;BC53&lt;&gt;"",MAX(BA$5:BA52)+1,"")</f>
        <v/>
      </c>
      <c r="BB53" s="35"/>
      <c r="BC53" s="35"/>
      <c r="BD53" s="36"/>
      <c r="BE53" s="37"/>
      <c r="BF53" s="51"/>
      <c r="BG53" s="36"/>
      <c r="BH53" s="64"/>
      <c r="BI53" s="64"/>
      <c r="BJ53" s="64"/>
      <c r="BK53" s="64"/>
      <c r="BL53" s="64"/>
    </row>
    <row r="54" spans="1:64" s="56" customFormat="1" ht="14.25" customHeight="1" x14ac:dyDescent="0.15">
      <c r="A54" s="200"/>
      <c r="B54" s="202"/>
      <c r="C54" s="365" t="str">
        <f>IF(A54&lt;&gt;"",VLOOKUP(A54,項目仕様!$A$6:$L$129,3),"")</f>
        <v/>
      </c>
      <c r="D54" s="366"/>
      <c r="E54" s="366"/>
      <c r="F54" s="366"/>
      <c r="G54" s="366"/>
      <c r="H54" s="366"/>
      <c r="I54" s="366"/>
      <c r="J54" s="366"/>
      <c r="K54" s="367"/>
      <c r="L54" s="287"/>
      <c r="M54" s="288"/>
      <c r="N54" s="288"/>
      <c r="O54" s="288"/>
      <c r="P54" s="288"/>
      <c r="Q54" s="288"/>
      <c r="R54" s="288"/>
      <c r="S54" s="288"/>
      <c r="T54" s="289"/>
      <c r="U54" s="152"/>
      <c r="V54" s="152"/>
      <c r="W54" s="152"/>
      <c r="X54" s="152"/>
      <c r="Y54" s="161" t="s">
        <v>365</v>
      </c>
      <c r="Z54" s="152"/>
      <c r="AA54" s="152"/>
      <c r="AB54" s="152"/>
      <c r="AC54" s="152"/>
      <c r="AD54" s="154"/>
      <c r="AE54" s="154"/>
      <c r="AF54" s="154"/>
      <c r="AG54" s="154"/>
      <c r="AH54" s="154"/>
      <c r="AI54" s="152"/>
      <c r="AJ54" s="152"/>
      <c r="AK54" s="152"/>
      <c r="AL54" s="152"/>
      <c r="AM54" s="152"/>
      <c r="AN54" s="152"/>
      <c r="AO54" s="152"/>
      <c r="AP54" s="152"/>
      <c r="AQ54" s="152"/>
      <c r="AR54" s="152"/>
      <c r="AS54" s="152"/>
      <c r="AT54" s="152"/>
      <c r="AU54" s="152"/>
      <c r="AV54" s="152"/>
      <c r="AW54" s="152"/>
      <c r="AX54" s="152"/>
      <c r="AY54" s="152"/>
      <c r="AZ54" s="153"/>
      <c r="BA54" s="34" t="str">
        <f>IF(BB54&amp;BC54&lt;&gt;"",MAX(BA$5:BA51)+1,"")</f>
        <v/>
      </c>
      <c r="BB54" s="35"/>
      <c r="BC54" s="35"/>
      <c r="BD54" s="36"/>
      <c r="BE54" s="37"/>
      <c r="BF54" s="51"/>
      <c r="BG54" s="36"/>
      <c r="BH54" s="64"/>
      <c r="BI54" s="64"/>
      <c r="BJ54" s="64"/>
      <c r="BK54" s="64"/>
      <c r="BL54" s="64"/>
    </row>
    <row r="55" spans="1:64" s="56" customFormat="1" ht="14.25" customHeight="1" x14ac:dyDescent="0.15">
      <c r="A55" s="200"/>
      <c r="B55" s="202"/>
      <c r="C55" s="365" t="str">
        <f>IF(A55&lt;&gt;"",VLOOKUP(A55,項目仕様!$A$6:$L$129,3),"")</f>
        <v/>
      </c>
      <c r="D55" s="366"/>
      <c r="E55" s="366"/>
      <c r="F55" s="366"/>
      <c r="G55" s="366"/>
      <c r="H55" s="366"/>
      <c r="I55" s="366"/>
      <c r="J55" s="366"/>
      <c r="K55" s="367"/>
      <c r="L55" s="287"/>
      <c r="M55" s="288"/>
      <c r="N55" s="288"/>
      <c r="O55" s="288"/>
      <c r="P55" s="288"/>
      <c r="Q55" s="288"/>
      <c r="R55" s="288"/>
      <c r="S55" s="288"/>
      <c r="T55" s="289"/>
      <c r="U55" s="70"/>
      <c r="V55" s="57"/>
      <c r="W55" s="57"/>
      <c r="X55" s="57"/>
      <c r="Y55" s="57"/>
      <c r="Z55" s="57"/>
      <c r="AA55" s="57"/>
      <c r="AB55" s="57"/>
      <c r="AC55" s="57"/>
      <c r="AD55" s="60"/>
      <c r="AE55" s="60"/>
      <c r="AF55" s="60"/>
      <c r="AG55" s="60"/>
      <c r="AH55" s="60"/>
      <c r="AI55" s="57"/>
      <c r="AJ55" s="57"/>
      <c r="AK55" s="57"/>
      <c r="AL55" s="57"/>
      <c r="AM55" s="57"/>
      <c r="AN55" s="57"/>
      <c r="AO55" s="57"/>
      <c r="AP55" s="57"/>
      <c r="AQ55" s="57"/>
      <c r="AR55" s="57"/>
      <c r="AS55" s="57"/>
      <c r="AT55" s="57"/>
      <c r="AU55" s="57"/>
      <c r="AV55" s="57"/>
      <c r="AW55" s="57"/>
      <c r="AX55" s="57"/>
      <c r="AY55" s="57"/>
      <c r="AZ55" s="59"/>
      <c r="BA55" s="34" t="str">
        <f>IF(BB55&amp;BC55&lt;&gt;"",MAX(BA$5:BA50)+1,"")</f>
        <v/>
      </c>
      <c r="BB55" s="35"/>
      <c r="BC55" s="35"/>
      <c r="BD55" s="36"/>
      <c r="BE55" s="37"/>
      <c r="BF55" s="51"/>
      <c r="BG55" s="36"/>
      <c r="BH55" s="64"/>
      <c r="BI55" s="64"/>
      <c r="BJ55" s="64"/>
      <c r="BK55" s="64"/>
      <c r="BL55" s="64"/>
    </row>
    <row r="56" spans="1:64" s="56" customFormat="1" ht="14.25" customHeight="1" x14ac:dyDescent="0.15">
      <c r="A56" s="200">
        <v>13</v>
      </c>
      <c r="B56" s="202"/>
      <c r="C56" s="365" t="str">
        <f>IF(A56&lt;&gt;"",VLOOKUP(A56,項目仕様!$A$6:$L$129,3),"")</f>
        <v>新規作成</v>
      </c>
      <c r="D56" s="366"/>
      <c r="E56" s="366"/>
      <c r="F56" s="366"/>
      <c r="G56" s="366"/>
      <c r="H56" s="366"/>
      <c r="I56" s="366"/>
      <c r="J56" s="366"/>
      <c r="K56" s="367"/>
      <c r="L56" s="269" t="s">
        <v>347</v>
      </c>
      <c r="M56" s="270"/>
      <c r="N56" s="270"/>
      <c r="O56" s="270"/>
      <c r="P56" s="270"/>
      <c r="Q56" s="270"/>
      <c r="R56" s="270"/>
      <c r="S56" s="270"/>
      <c r="T56" s="271"/>
      <c r="U56" s="70" t="s">
        <v>150</v>
      </c>
      <c r="V56" s="70"/>
      <c r="W56" s="57" t="s">
        <v>200</v>
      </c>
      <c r="X56" s="57"/>
      <c r="Y56" s="57"/>
      <c r="Z56" s="57"/>
      <c r="AA56" s="57"/>
      <c r="AB56" s="57"/>
      <c r="AC56" s="57"/>
      <c r="AD56" s="60"/>
      <c r="AE56" s="60"/>
      <c r="AF56" s="60"/>
      <c r="AG56" s="60"/>
      <c r="AH56" s="60"/>
      <c r="AI56" s="57"/>
      <c r="AJ56" s="57"/>
      <c r="AK56" s="57"/>
      <c r="AL56" s="57"/>
      <c r="AM56" s="57"/>
      <c r="AN56" s="57"/>
      <c r="AO56" s="57"/>
      <c r="AP56" s="57"/>
      <c r="AQ56" s="57"/>
      <c r="AR56" s="57"/>
      <c r="AS56" s="57"/>
      <c r="AT56" s="57"/>
      <c r="AU56" s="57"/>
      <c r="AV56" s="57"/>
      <c r="AW56" s="57"/>
      <c r="AX56" s="57"/>
      <c r="AY56" s="57"/>
      <c r="AZ56" s="59"/>
      <c r="BA56" s="34" t="str">
        <f>IF(BB56&amp;BC56&lt;&gt;"",MAX(BA$5:BA55)+1,"")</f>
        <v/>
      </c>
      <c r="BB56" s="35"/>
      <c r="BC56" s="35"/>
      <c r="BD56" s="36"/>
      <c r="BE56" s="37"/>
      <c r="BF56" s="51"/>
      <c r="BG56" s="36"/>
      <c r="BH56" s="64"/>
      <c r="BI56" s="64"/>
      <c r="BJ56" s="64"/>
      <c r="BK56" s="64"/>
      <c r="BL56" s="64"/>
    </row>
    <row r="57" spans="1:64" s="56" customFormat="1" ht="14.25" customHeight="1" x14ac:dyDescent="0.15">
      <c r="A57" s="200"/>
      <c r="B57" s="202"/>
      <c r="C57" s="365" t="str">
        <f>IF(A57&lt;&gt;"",VLOOKUP(A57,項目仕様!$A$6:$L$129,3),"")</f>
        <v/>
      </c>
      <c r="D57" s="366"/>
      <c r="E57" s="366"/>
      <c r="F57" s="366"/>
      <c r="G57" s="366"/>
      <c r="H57" s="366"/>
      <c r="I57" s="366"/>
      <c r="J57" s="366"/>
      <c r="K57" s="367"/>
      <c r="L57" s="287"/>
      <c r="M57" s="288"/>
      <c r="N57" s="288"/>
      <c r="O57" s="288"/>
      <c r="P57" s="288"/>
      <c r="Q57" s="288"/>
      <c r="R57" s="288"/>
      <c r="S57" s="288"/>
      <c r="T57" s="289"/>
      <c r="U57" s="57"/>
      <c r="V57" s="57"/>
      <c r="W57" s="57"/>
      <c r="X57" s="57" t="s">
        <v>183</v>
      </c>
      <c r="Y57" s="57"/>
      <c r="Z57" s="57"/>
      <c r="AA57" s="57"/>
      <c r="AB57" s="57"/>
      <c r="AC57" s="60"/>
      <c r="AD57" s="60"/>
      <c r="AE57" s="60"/>
      <c r="AF57" s="60"/>
      <c r="AG57" s="60"/>
      <c r="AH57" s="57"/>
      <c r="AI57" s="57" t="s">
        <v>184</v>
      </c>
      <c r="AJ57" s="57"/>
      <c r="AK57" s="57" t="s">
        <v>201</v>
      </c>
      <c r="AL57" s="57"/>
      <c r="AM57" s="57"/>
      <c r="AN57" s="57"/>
      <c r="AO57" s="57"/>
      <c r="AP57" s="57"/>
      <c r="AQ57" s="57"/>
      <c r="AR57" s="57"/>
      <c r="AS57" s="57"/>
      <c r="AT57" s="57"/>
      <c r="AU57" s="57"/>
      <c r="AV57" s="57"/>
      <c r="AW57" s="57"/>
      <c r="AX57" s="57"/>
      <c r="AY57" s="57"/>
      <c r="AZ57" s="59"/>
      <c r="BA57" s="34">
        <f>IF(BB57&amp;BC57&lt;&gt;"",MAX(BA$5:BA56)+1,"")</f>
        <v>19</v>
      </c>
      <c r="BB57" s="35" t="s">
        <v>158</v>
      </c>
      <c r="BC57" s="35"/>
      <c r="BD57" s="36"/>
      <c r="BE57" s="37"/>
      <c r="BF57" s="51"/>
      <c r="BG57" s="36"/>
      <c r="BH57" s="64"/>
      <c r="BI57" s="64"/>
      <c r="BJ57" s="64"/>
      <c r="BK57" s="64"/>
      <c r="BL57" s="64"/>
    </row>
    <row r="58" spans="1:64" s="56" customFormat="1" ht="14.25" customHeight="1" x14ac:dyDescent="0.15">
      <c r="A58" s="200"/>
      <c r="B58" s="202"/>
      <c r="C58" s="365" t="str">
        <f>IF(A58&lt;&gt;"",VLOOKUP(A58,項目仕様!$A$6:$L$129,3),"")</f>
        <v/>
      </c>
      <c r="D58" s="366"/>
      <c r="E58" s="366"/>
      <c r="F58" s="366"/>
      <c r="G58" s="366"/>
      <c r="H58" s="366"/>
      <c r="I58" s="366"/>
      <c r="J58" s="366"/>
      <c r="K58" s="367"/>
      <c r="L58" s="287"/>
      <c r="M58" s="288"/>
      <c r="N58" s="288"/>
      <c r="O58" s="288"/>
      <c r="P58" s="288"/>
      <c r="Q58" s="288"/>
      <c r="R58" s="288"/>
      <c r="S58" s="288"/>
      <c r="T58" s="289"/>
      <c r="U58" s="57"/>
      <c r="V58" s="57"/>
      <c r="W58" s="57"/>
      <c r="X58" s="57" t="s">
        <v>186</v>
      </c>
      <c r="Y58" s="57"/>
      <c r="Z58" s="57"/>
      <c r="AA58" s="57"/>
      <c r="AB58" s="57"/>
      <c r="AC58" s="60"/>
      <c r="AD58" s="60"/>
      <c r="AE58" s="60"/>
      <c r="AF58" s="60"/>
      <c r="AG58" s="60"/>
      <c r="AH58" s="57"/>
      <c r="AI58" s="57" t="s">
        <v>184</v>
      </c>
      <c r="AJ58" s="57"/>
      <c r="AK58" s="57" t="s">
        <v>201</v>
      </c>
      <c r="AL58" s="57"/>
      <c r="AM58" s="57"/>
      <c r="AN58" s="57"/>
      <c r="AO58" s="57"/>
      <c r="AP58" s="57"/>
      <c r="AQ58" s="57"/>
      <c r="AR58" s="57"/>
      <c r="AS58" s="57"/>
      <c r="AT58" s="57"/>
      <c r="AU58" s="57"/>
      <c r="AV58" s="57"/>
      <c r="AW58" s="57"/>
      <c r="AX58" s="57"/>
      <c r="AY58" s="57"/>
      <c r="AZ58" s="59"/>
      <c r="BA58" s="34">
        <f>IF(BB58&amp;BC58&lt;&gt;"",MAX(BA$5:BA57)+1,"")</f>
        <v>20</v>
      </c>
      <c r="BB58" s="35" t="s">
        <v>158</v>
      </c>
      <c r="BC58" s="35"/>
      <c r="BD58" s="36"/>
      <c r="BE58" s="37"/>
      <c r="BF58" s="51"/>
      <c r="BG58" s="36"/>
      <c r="BH58" s="64"/>
      <c r="BI58" s="64"/>
      <c r="BJ58" s="64"/>
      <c r="BK58" s="64"/>
      <c r="BL58" s="64"/>
    </row>
    <row r="59" spans="1:64" s="56" customFormat="1" ht="14.25" customHeight="1" x14ac:dyDescent="0.15">
      <c r="A59" s="200"/>
      <c r="B59" s="202"/>
      <c r="C59" s="365" t="str">
        <f>IF(A59&lt;&gt;"",VLOOKUP(A59,項目仕様!$A$6:$L$129,3),"")</f>
        <v/>
      </c>
      <c r="D59" s="366"/>
      <c r="E59" s="366"/>
      <c r="F59" s="366"/>
      <c r="G59" s="366"/>
      <c r="H59" s="366"/>
      <c r="I59" s="366"/>
      <c r="J59" s="366"/>
      <c r="K59" s="367"/>
      <c r="L59" s="287"/>
      <c r="M59" s="288"/>
      <c r="N59" s="288"/>
      <c r="O59" s="288"/>
      <c r="P59" s="288"/>
      <c r="Q59" s="288"/>
      <c r="R59" s="288"/>
      <c r="S59" s="288"/>
      <c r="T59" s="289"/>
      <c r="U59" s="57"/>
      <c r="V59" s="57"/>
      <c r="W59" s="57"/>
      <c r="X59" s="57" t="s">
        <v>188</v>
      </c>
      <c r="Y59" s="57"/>
      <c r="Z59" s="57"/>
      <c r="AA59" s="57"/>
      <c r="AB59" s="57"/>
      <c r="AC59" s="60"/>
      <c r="AD59" s="60"/>
      <c r="AE59" s="60"/>
      <c r="AF59" s="60"/>
      <c r="AG59" s="60"/>
      <c r="AH59" s="57"/>
      <c r="AI59" s="57" t="s">
        <v>184</v>
      </c>
      <c r="AJ59" s="57"/>
      <c r="AK59" s="57" t="s">
        <v>201</v>
      </c>
      <c r="AL59" s="57"/>
      <c r="AM59" s="57"/>
      <c r="AN59" s="57"/>
      <c r="AO59" s="57"/>
      <c r="AP59" s="57"/>
      <c r="AQ59" s="57"/>
      <c r="AR59" s="57"/>
      <c r="AS59" s="57"/>
      <c r="AT59" s="57"/>
      <c r="AU59" s="57"/>
      <c r="AV59" s="57"/>
      <c r="AW59" s="57"/>
      <c r="AX59" s="57"/>
      <c r="AY59" s="57"/>
      <c r="AZ59" s="59"/>
      <c r="BA59" s="34">
        <f>IF(BB59&amp;BC59&lt;&gt;"",MAX(BA$5:BA58)+1,"")</f>
        <v>21</v>
      </c>
      <c r="BB59" s="35" t="s">
        <v>158</v>
      </c>
      <c r="BC59" s="35"/>
      <c r="BD59" s="36"/>
      <c r="BE59" s="37"/>
      <c r="BF59" s="51"/>
      <c r="BG59" s="36"/>
      <c r="BH59" s="64"/>
      <c r="BI59" s="64"/>
      <c r="BJ59" s="64"/>
      <c r="BK59" s="64"/>
      <c r="BL59" s="64"/>
    </row>
    <row r="60" spans="1:64" s="56" customFormat="1" ht="14.25" customHeight="1" x14ac:dyDescent="0.15">
      <c r="A60" s="200"/>
      <c r="B60" s="202"/>
      <c r="C60" s="365" t="str">
        <f>IF(A60&lt;&gt;"",VLOOKUP(A60,項目仕様!$A$6:$L$129,3),"")</f>
        <v/>
      </c>
      <c r="D60" s="366"/>
      <c r="E60" s="366"/>
      <c r="F60" s="366"/>
      <c r="G60" s="366"/>
      <c r="H60" s="366"/>
      <c r="I60" s="366"/>
      <c r="J60" s="366"/>
      <c r="K60" s="367"/>
      <c r="L60" s="287"/>
      <c r="M60" s="288"/>
      <c r="N60" s="288"/>
      <c r="O60" s="288"/>
      <c r="P60" s="288"/>
      <c r="Q60" s="288"/>
      <c r="R60" s="288"/>
      <c r="S60" s="288"/>
      <c r="T60" s="289"/>
      <c r="U60" s="57"/>
      <c r="V60" s="57"/>
      <c r="W60" s="57"/>
      <c r="X60" s="57" t="s">
        <v>190</v>
      </c>
      <c r="Y60" s="57"/>
      <c r="Z60" s="57"/>
      <c r="AA60" s="57"/>
      <c r="AB60" s="57"/>
      <c r="AC60" s="60"/>
      <c r="AD60" s="60"/>
      <c r="AE60" s="60"/>
      <c r="AF60" s="60"/>
      <c r="AG60" s="60"/>
      <c r="AH60" s="57"/>
      <c r="AI60" s="57" t="s">
        <v>184</v>
      </c>
      <c r="AJ60" s="57"/>
      <c r="AK60" s="57" t="s">
        <v>201</v>
      </c>
      <c r="AL60" s="57"/>
      <c r="AM60" s="57"/>
      <c r="AN60" s="57"/>
      <c r="AO60" s="57"/>
      <c r="AP60" s="57"/>
      <c r="AQ60" s="57"/>
      <c r="AR60" s="57"/>
      <c r="AS60" s="57"/>
      <c r="AT60" s="57"/>
      <c r="AU60" s="57"/>
      <c r="AV60" s="57"/>
      <c r="AW60" s="57"/>
      <c r="AX60" s="57"/>
      <c r="AY60" s="57"/>
      <c r="AZ60" s="59"/>
      <c r="BA60" s="34">
        <f>IF(BB60&amp;BC60&lt;&gt;"",MAX(BA$5:BA59)+1,"")</f>
        <v>22</v>
      </c>
      <c r="BB60" s="35" t="s">
        <v>158</v>
      </c>
      <c r="BC60" s="35"/>
      <c r="BD60" s="36"/>
      <c r="BE60" s="37"/>
      <c r="BF60" s="51"/>
      <c r="BG60" s="36"/>
      <c r="BH60" s="64"/>
      <c r="BI60" s="64"/>
      <c r="BJ60" s="64"/>
      <c r="BK60" s="64"/>
      <c r="BL60" s="64"/>
    </row>
    <row r="61" spans="1:64" s="56" customFormat="1" ht="14.25" customHeight="1" x14ac:dyDescent="0.15">
      <c r="A61" s="200"/>
      <c r="B61" s="202"/>
      <c r="C61" s="365" t="str">
        <f>IF(A61&lt;&gt;"",VLOOKUP(A61,項目仕様!$A$6:$L$129,3),"")</f>
        <v/>
      </c>
      <c r="D61" s="366"/>
      <c r="E61" s="366"/>
      <c r="F61" s="366"/>
      <c r="G61" s="366"/>
      <c r="H61" s="366"/>
      <c r="I61" s="366"/>
      <c r="J61" s="366"/>
      <c r="K61" s="367"/>
      <c r="L61" s="287"/>
      <c r="M61" s="288"/>
      <c r="N61" s="288"/>
      <c r="O61" s="288"/>
      <c r="P61" s="288"/>
      <c r="Q61" s="288"/>
      <c r="R61" s="288"/>
      <c r="S61" s="288"/>
      <c r="T61" s="289"/>
      <c r="U61" s="57"/>
      <c r="V61" s="57"/>
      <c r="W61" s="57"/>
      <c r="X61" s="57" t="s">
        <v>192</v>
      </c>
      <c r="Y61" s="57"/>
      <c r="Z61" s="57"/>
      <c r="AA61" s="57"/>
      <c r="AB61" s="57"/>
      <c r="AC61" s="60"/>
      <c r="AD61" s="60"/>
      <c r="AE61" s="60"/>
      <c r="AF61" s="60"/>
      <c r="AG61" s="60"/>
      <c r="AH61" s="57"/>
      <c r="AI61" s="57" t="s">
        <v>184</v>
      </c>
      <c r="AJ61" s="57"/>
      <c r="AK61" s="57" t="s">
        <v>201</v>
      </c>
      <c r="AL61" s="57"/>
      <c r="AM61" s="57"/>
      <c r="AN61" s="57"/>
      <c r="AO61" s="57"/>
      <c r="AP61" s="57"/>
      <c r="AQ61" s="57"/>
      <c r="AR61" s="57"/>
      <c r="AS61" s="57"/>
      <c r="AT61" s="57"/>
      <c r="AU61" s="57"/>
      <c r="AV61" s="57"/>
      <c r="AW61" s="57"/>
      <c r="AX61" s="57"/>
      <c r="AY61" s="57"/>
      <c r="AZ61" s="59"/>
      <c r="BA61" s="34">
        <f>IF(BB61&amp;BC61&lt;&gt;"",MAX(BA$5:BA60)+1,"")</f>
        <v>23</v>
      </c>
      <c r="BB61" s="35" t="s">
        <v>158</v>
      </c>
      <c r="BC61" s="35"/>
      <c r="BD61" s="36"/>
      <c r="BE61" s="37"/>
      <c r="BF61" s="51"/>
      <c r="BG61" s="36"/>
      <c r="BH61" s="64"/>
      <c r="BI61" s="64"/>
      <c r="BJ61" s="64"/>
      <c r="BK61" s="64"/>
      <c r="BL61" s="64"/>
    </row>
    <row r="62" spans="1:64" s="56" customFormat="1" ht="14.25" customHeight="1" x14ac:dyDescent="0.15">
      <c r="A62" s="200"/>
      <c r="B62" s="202"/>
      <c r="C62" s="365" t="str">
        <f>IF(A62&lt;&gt;"",VLOOKUP(A62,項目仕様!$A$6:$L$129,3),"")</f>
        <v/>
      </c>
      <c r="D62" s="366"/>
      <c r="E62" s="366"/>
      <c r="F62" s="366"/>
      <c r="G62" s="366"/>
      <c r="H62" s="366"/>
      <c r="I62" s="366"/>
      <c r="J62" s="366"/>
      <c r="K62" s="367"/>
      <c r="L62" s="287"/>
      <c r="M62" s="288"/>
      <c r="N62" s="288"/>
      <c r="O62" s="288"/>
      <c r="P62" s="288"/>
      <c r="Q62" s="288"/>
      <c r="R62" s="288"/>
      <c r="S62" s="288"/>
      <c r="T62" s="289"/>
      <c r="U62" s="57"/>
      <c r="V62" s="57"/>
      <c r="W62" s="57"/>
      <c r="X62" s="57" t="s">
        <v>194</v>
      </c>
      <c r="Y62" s="57"/>
      <c r="Z62" s="57"/>
      <c r="AA62" s="57"/>
      <c r="AB62" s="57"/>
      <c r="AC62" s="60"/>
      <c r="AD62" s="60"/>
      <c r="AE62" s="60"/>
      <c r="AF62" s="60"/>
      <c r="AG62" s="60"/>
      <c r="AH62" s="57"/>
      <c r="AI62" s="57" t="s">
        <v>184</v>
      </c>
      <c r="AJ62" s="57"/>
      <c r="AK62" s="57" t="s">
        <v>201</v>
      </c>
      <c r="AL62" s="57"/>
      <c r="AM62" s="57"/>
      <c r="AN62" s="57"/>
      <c r="AO62" s="57"/>
      <c r="AP62" s="57"/>
      <c r="AQ62" s="57"/>
      <c r="AR62" s="57"/>
      <c r="AS62" s="57"/>
      <c r="AT62" s="57"/>
      <c r="AU62" s="57"/>
      <c r="AV62" s="57"/>
      <c r="AW62" s="57"/>
      <c r="AX62" s="57"/>
      <c r="AY62" s="57"/>
      <c r="AZ62" s="59"/>
      <c r="BA62" s="34">
        <f>IF(BB62&amp;BC62&lt;&gt;"",MAX(BA$5:BA61)+1,"")</f>
        <v>24</v>
      </c>
      <c r="BB62" s="35" t="s">
        <v>158</v>
      </c>
      <c r="BC62" s="35"/>
      <c r="BD62" s="36"/>
      <c r="BE62" s="37"/>
      <c r="BF62" s="51"/>
      <c r="BG62" s="36"/>
      <c r="BH62" s="64"/>
      <c r="BI62" s="64"/>
      <c r="BJ62" s="64"/>
      <c r="BK62" s="64"/>
      <c r="BL62" s="64"/>
    </row>
    <row r="63" spans="1:64" s="144" customFormat="1" ht="14.25" customHeight="1" x14ac:dyDescent="0.15">
      <c r="A63" s="244"/>
      <c r="B63" s="246"/>
      <c r="C63" s="371" t="str">
        <f>IF(A63&lt;&gt;"",VLOOKUP(A63,項目仕様!$A$6:$L$129,3),"")</f>
        <v/>
      </c>
      <c r="D63" s="372"/>
      <c r="E63" s="372"/>
      <c r="F63" s="372"/>
      <c r="G63" s="372"/>
      <c r="H63" s="372"/>
      <c r="I63" s="372"/>
      <c r="J63" s="372"/>
      <c r="K63" s="373"/>
      <c r="L63" s="269"/>
      <c r="M63" s="270"/>
      <c r="N63" s="270"/>
      <c r="O63" s="270"/>
      <c r="P63" s="270"/>
      <c r="Q63" s="270"/>
      <c r="R63" s="270"/>
      <c r="S63" s="270"/>
      <c r="T63" s="271"/>
      <c r="U63" s="161"/>
      <c r="V63" s="161"/>
      <c r="W63" s="161"/>
      <c r="X63" s="161" t="s">
        <v>349</v>
      </c>
      <c r="Y63" s="161"/>
      <c r="Z63" s="161"/>
      <c r="AA63" s="161"/>
      <c r="AB63" s="161"/>
      <c r="AC63" s="159"/>
      <c r="AD63" s="159"/>
      <c r="AE63" s="159"/>
      <c r="AF63" s="159"/>
      <c r="AG63" s="159"/>
      <c r="AH63" s="161"/>
      <c r="AI63" s="161" t="s">
        <v>184</v>
      </c>
      <c r="AJ63" s="161"/>
      <c r="AK63" s="161" t="s">
        <v>201</v>
      </c>
      <c r="AL63" s="161"/>
      <c r="AM63" s="161"/>
      <c r="AN63" s="161"/>
      <c r="AO63" s="161"/>
      <c r="AP63" s="161"/>
      <c r="AQ63" s="161"/>
      <c r="AR63" s="161"/>
      <c r="AS63" s="161"/>
      <c r="AT63" s="161"/>
      <c r="AU63" s="161"/>
      <c r="AV63" s="161"/>
      <c r="AW63" s="161"/>
      <c r="AX63" s="161"/>
      <c r="AY63" s="161"/>
      <c r="AZ63" s="162"/>
      <c r="BA63" s="165">
        <f>IF(BB63&amp;BC63&lt;&gt;"",MAX(BA$5:BA62)+1,"")</f>
        <v>25</v>
      </c>
      <c r="BB63" s="166" t="s">
        <v>158</v>
      </c>
      <c r="BC63" s="166"/>
      <c r="BD63" s="167"/>
      <c r="BE63" s="168"/>
      <c r="BF63" s="169"/>
      <c r="BG63" s="167"/>
      <c r="BH63" s="170"/>
      <c r="BI63" s="170"/>
      <c r="BJ63" s="170"/>
      <c r="BK63" s="170"/>
      <c r="BL63" s="170"/>
    </row>
    <row r="64" spans="1:64" s="56" customFormat="1" ht="14.25" customHeight="1" x14ac:dyDescent="0.15">
      <c r="A64" s="200"/>
      <c r="B64" s="202"/>
      <c r="C64" s="365" t="str">
        <f>IF(A64&lt;&gt;"",VLOOKUP(A64,項目仕様!$A$6:$L$129,3),"")</f>
        <v/>
      </c>
      <c r="D64" s="366"/>
      <c r="E64" s="366"/>
      <c r="F64" s="366"/>
      <c r="G64" s="366"/>
      <c r="H64" s="366"/>
      <c r="I64" s="366"/>
      <c r="J64" s="366"/>
      <c r="K64" s="367"/>
      <c r="L64" s="287"/>
      <c r="M64" s="288"/>
      <c r="N64" s="288"/>
      <c r="O64" s="288"/>
      <c r="P64" s="288"/>
      <c r="Q64" s="288"/>
      <c r="R64" s="288"/>
      <c r="S64" s="288"/>
      <c r="T64" s="289"/>
      <c r="U64" s="57"/>
      <c r="V64" s="57"/>
      <c r="W64" s="57"/>
      <c r="X64" s="57" t="s">
        <v>196</v>
      </c>
      <c r="Y64" s="57"/>
      <c r="Z64" s="57"/>
      <c r="AA64" s="57"/>
      <c r="AB64" s="57"/>
      <c r="AC64" s="60"/>
      <c r="AD64" s="60"/>
      <c r="AE64" s="60"/>
      <c r="AF64" s="60"/>
      <c r="AG64" s="60"/>
      <c r="AH64" s="57"/>
      <c r="AI64" s="57" t="s">
        <v>184</v>
      </c>
      <c r="AJ64" s="57"/>
      <c r="AK64" s="70" t="s">
        <v>202</v>
      </c>
      <c r="AL64" s="57"/>
      <c r="AM64" s="57"/>
      <c r="AN64" s="57"/>
      <c r="AO64" s="57"/>
      <c r="AP64" s="57"/>
      <c r="AQ64" s="57"/>
      <c r="AR64" s="57"/>
      <c r="AS64" s="57"/>
      <c r="AT64" s="57"/>
      <c r="AU64" s="57"/>
      <c r="AV64" s="57"/>
      <c r="AW64" s="57"/>
      <c r="AX64" s="57"/>
      <c r="AY64" s="57"/>
      <c r="AZ64" s="59"/>
      <c r="BA64" s="34">
        <f>IF(BB64&amp;BC64&lt;&gt;"",MAX(BA$5:BA63)+1,"")</f>
        <v>26</v>
      </c>
      <c r="BB64" s="35" t="s">
        <v>158</v>
      </c>
      <c r="BC64" s="35"/>
      <c r="BD64" s="36"/>
      <c r="BE64" s="37"/>
      <c r="BF64" s="51"/>
      <c r="BG64" s="36"/>
      <c r="BH64" s="64"/>
      <c r="BI64" s="64"/>
      <c r="BJ64" s="64"/>
      <c r="BK64" s="64"/>
      <c r="BL64" s="64"/>
    </row>
    <row r="65" spans="1:64" s="56" customFormat="1" ht="14.25" customHeight="1" x14ac:dyDescent="0.15">
      <c r="A65" s="200"/>
      <c r="B65" s="202"/>
      <c r="C65" s="365" t="str">
        <f>IF(A65&lt;&gt;"",VLOOKUP(A65,項目仕様!$A$6:$L$129,3),"")</f>
        <v/>
      </c>
      <c r="D65" s="366"/>
      <c r="E65" s="366"/>
      <c r="F65" s="366"/>
      <c r="G65" s="366"/>
      <c r="H65" s="366"/>
      <c r="I65" s="366"/>
      <c r="J65" s="366"/>
      <c r="K65" s="367"/>
      <c r="L65" s="287"/>
      <c r="M65" s="288"/>
      <c r="N65" s="288"/>
      <c r="O65" s="288"/>
      <c r="P65" s="288"/>
      <c r="Q65" s="288"/>
      <c r="R65" s="288"/>
      <c r="S65" s="288"/>
      <c r="T65" s="289"/>
      <c r="U65" s="57"/>
      <c r="V65" s="57"/>
      <c r="W65" s="57"/>
      <c r="X65" s="57"/>
      <c r="Y65" s="57"/>
      <c r="Z65" s="57"/>
      <c r="AA65" s="57"/>
      <c r="AB65" s="57"/>
      <c r="AC65" s="57"/>
      <c r="AD65" s="60"/>
      <c r="AE65" s="60"/>
      <c r="AF65" s="60"/>
      <c r="AG65" s="60"/>
      <c r="AH65" s="60"/>
      <c r="AI65" s="57"/>
      <c r="AJ65" s="57"/>
      <c r="AK65" s="57"/>
      <c r="AL65" s="57"/>
      <c r="AM65" s="57"/>
      <c r="AN65" s="57"/>
      <c r="AO65" s="57"/>
      <c r="AP65" s="57"/>
      <c r="AQ65" s="57"/>
      <c r="AR65" s="57"/>
      <c r="AS65" s="57"/>
      <c r="AT65" s="57"/>
      <c r="AU65" s="57"/>
      <c r="AV65" s="57"/>
      <c r="AW65" s="57"/>
      <c r="AX65" s="57"/>
      <c r="AY65" s="57"/>
      <c r="AZ65" s="59"/>
      <c r="BA65" s="34" t="str">
        <f>IF(BB65&amp;BC65&lt;&gt;"",MAX(BA$5:BA64)+1,"")</f>
        <v/>
      </c>
      <c r="BB65" s="35"/>
      <c r="BC65" s="35"/>
      <c r="BD65" s="36"/>
      <c r="BE65" s="37"/>
      <c r="BF65" s="51"/>
      <c r="BG65" s="36"/>
      <c r="BH65" s="64"/>
      <c r="BI65" s="64"/>
      <c r="BJ65" s="64"/>
      <c r="BK65" s="64"/>
      <c r="BL65" s="64"/>
    </row>
    <row r="66" spans="1:64" s="56" customFormat="1" ht="14.25" customHeight="1" x14ac:dyDescent="0.15">
      <c r="A66" s="200"/>
      <c r="B66" s="202"/>
      <c r="C66" s="365" t="str">
        <f>IF(A66&lt;&gt;"",VLOOKUP(A66,項目仕様!$A$6:$L$129,3),"")</f>
        <v/>
      </c>
      <c r="D66" s="366"/>
      <c r="E66" s="366"/>
      <c r="F66" s="366"/>
      <c r="G66" s="366"/>
      <c r="H66" s="366"/>
      <c r="I66" s="366"/>
      <c r="J66" s="366"/>
      <c r="K66" s="367"/>
      <c r="L66" s="287"/>
      <c r="M66" s="288"/>
      <c r="N66" s="288"/>
      <c r="O66" s="288"/>
      <c r="P66" s="288"/>
      <c r="Q66" s="288"/>
      <c r="R66" s="288"/>
      <c r="S66" s="288"/>
      <c r="T66" s="289"/>
      <c r="U66" s="70" t="s">
        <v>168</v>
      </c>
      <c r="V66" s="57"/>
      <c r="W66" s="57" t="s">
        <v>362</v>
      </c>
      <c r="X66" s="57"/>
      <c r="Y66" s="57"/>
      <c r="Z66" s="57"/>
      <c r="AA66" s="57"/>
      <c r="AB66" s="57"/>
      <c r="AC66" s="57"/>
      <c r="AD66" s="60"/>
      <c r="AE66" s="60"/>
      <c r="AF66" s="60"/>
      <c r="AG66" s="60"/>
      <c r="AH66" s="60"/>
      <c r="AI66" s="57"/>
      <c r="AJ66" s="57"/>
      <c r="AK66" s="57"/>
      <c r="AL66" s="57"/>
      <c r="AM66" s="57"/>
      <c r="AN66" s="57"/>
      <c r="AO66" s="57"/>
      <c r="AP66" s="57"/>
      <c r="AQ66" s="57"/>
      <c r="AR66" s="57"/>
      <c r="AS66" s="57"/>
      <c r="AT66" s="57"/>
      <c r="AU66" s="57"/>
      <c r="AV66" s="57"/>
      <c r="AW66" s="57"/>
      <c r="AX66" s="57"/>
      <c r="AY66" s="57"/>
      <c r="AZ66" s="59"/>
      <c r="BA66" s="34" t="str">
        <f>IF(BB66&amp;BC66&lt;&gt;"",MAX(BA$5:BA65)+1,"")</f>
        <v/>
      </c>
      <c r="BB66" s="35"/>
      <c r="BC66" s="35"/>
      <c r="BD66" s="36"/>
      <c r="BE66" s="37"/>
      <c r="BF66" s="51"/>
      <c r="BG66" s="36"/>
      <c r="BH66" s="64"/>
      <c r="BI66" s="64"/>
      <c r="BJ66" s="64"/>
      <c r="BK66" s="64"/>
      <c r="BL66" s="64"/>
    </row>
    <row r="67" spans="1:64" s="56" customFormat="1" ht="14.25" customHeight="1" x14ac:dyDescent="0.15">
      <c r="A67" s="200"/>
      <c r="B67" s="202"/>
      <c r="C67" s="365" t="str">
        <f>IF(A67&lt;&gt;"",VLOOKUP(A67,項目仕様!$A$6:$L$129,3),"")</f>
        <v/>
      </c>
      <c r="D67" s="366"/>
      <c r="E67" s="366"/>
      <c r="F67" s="366"/>
      <c r="G67" s="366"/>
      <c r="H67" s="366"/>
      <c r="I67" s="366"/>
      <c r="J67" s="366"/>
      <c r="K67" s="367"/>
      <c r="L67" s="287"/>
      <c r="M67" s="288"/>
      <c r="N67" s="288"/>
      <c r="O67" s="288"/>
      <c r="P67" s="288"/>
      <c r="Q67" s="288"/>
      <c r="R67" s="288"/>
      <c r="S67" s="288"/>
      <c r="T67" s="289"/>
      <c r="U67" s="57"/>
      <c r="V67" s="57"/>
      <c r="W67" s="57"/>
      <c r="X67" s="155" t="s">
        <v>204</v>
      </c>
      <c r="Y67" s="57"/>
      <c r="Z67" s="57"/>
      <c r="AA67" s="57"/>
      <c r="AB67" s="57"/>
      <c r="AC67" s="57"/>
      <c r="AD67" s="60"/>
      <c r="AE67" s="60"/>
      <c r="AF67" s="60"/>
      <c r="AG67" s="60"/>
      <c r="AH67" s="60"/>
      <c r="AI67" s="57"/>
      <c r="AJ67" s="57"/>
      <c r="AK67" s="57"/>
      <c r="AL67" s="57"/>
      <c r="AM67" s="152"/>
      <c r="AN67" s="57"/>
      <c r="AO67" s="57"/>
      <c r="AP67" s="57"/>
      <c r="AQ67" s="57"/>
      <c r="AR67" s="57"/>
      <c r="AS67" s="57"/>
      <c r="AT67" s="57"/>
      <c r="AU67" s="57"/>
      <c r="AV67" s="57"/>
      <c r="AW67" s="57"/>
      <c r="AX67" s="57"/>
      <c r="AY67" s="57"/>
      <c r="AZ67" s="59"/>
      <c r="BA67" s="34">
        <f>IF(BB67&amp;BC67&lt;&gt;"",MAX(BA$5:BA66)+1,"")</f>
        <v>27</v>
      </c>
      <c r="BB67" s="35" t="s">
        <v>158</v>
      </c>
      <c r="BC67" s="35"/>
      <c r="BD67" s="36"/>
      <c r="BE67" s="37"/>
      <c r="BF67" s="51"/>
      <c r="BG67" s="36"/>
      <c r="BH67" s="64"/>
      <c r="BI67" s="64"/>
      <c r="BJ67" s="64"/>
      <c r="BK67" s="64"/>
      <c r="BL67" s="64"/>
    </row>
    <row r="68" spans="1:64" s="56" customFormat="1" ht="14.25" customHeight="1" x14ac:dyDescent="0.15">
      <c r="A68" s="200"/>
      <c r="B68" s="202"/>
      <c r="C68" s="365" t="str">
        <f>IF(A68&lt;&gt;"",VLOOKUP(A68,項目仕様!$A$6:$L$129,3),"")</f>
        <v/>
      </c>
      <c r="D68" s="366"/>
      <c r="E68" s="366"/>
      <c r="F68" s="366"/>
      <c r="G68" s="366"/>
      <c r="H68" s="366"/>
      <c r="I68" s="366"/>
      <c r="J68" s="366"/>
      <c r="K68" s="367"/>
      <c r="L68" s="287"/>
      <c r="M68" s="288"/>
      <c r="N68" s="288"/>
      <c r="O68" s="288"/>
      <c r="P68" s="288"/>
      <c r="Q68" s="288"/>
      <c r="R68" s="288"/>
      <c r="S68" s="288"/>
      <c r="T68" s="289"/>
      <c r="U68" s="152"/>
      <c r="V68" s="152"/>
      <c r="W68" s="152"/>
      <c r="X68" s="152"/>
      <c r="Y68" s="152"/>
      <c r="Z68" s="152"/>
      <c r="AA68" s="152"/>
      <c r="AB68" s="152"/>
      <c r="AC68" s="152"/>
      <c r="AD68" s="154"/>
      <c r="AE68" s="154"/>
      <c r="AF68" s="154"/>
      <c r="AG68" s="154"/>
      <c r="AH68" s="154"/>
      <c r="AI68" s="152"/>
      <c r="AJ68" s="152"/>
      <c r="AK68" s="152"/>
      <c r="AL68" s="152"/>
      <c r="AM68" s="152"/>
      <c r="AN68" s="152"/>
      <c r="AO68" s="152"/>
      <c r="AP68" s="152"/>
      <c r="AQ68" s="152"/>
      <c r="AR68" s="152"/>
      <c r="AS68" s="152"/>
      <c r="AT68" s="152"/>
      <c r="AU68" s="152"/>
      <c r="AV68" s="152"/>
      <c r="AW68" s="152"/>
      <c r="AX68" s="152"/>
      <c r="AY68" s="152"/>
      <c r="AZ68" s="153"/>
      <c r="BA68" s="34" t="str">
        <f>IF(BB68&amp;BC68&lt;&gt;"",MAX(BA$5:BA67)+1,"")</f>
        <v/>
      </c>
      <c r="BB68" s="35"/>
      <c r="BC68" s="35"/>
      <c r="BD68" s="36"/>
      <c r="BE68" s="37"/>
      <c r="BF68" s="51"/>
      <c r="BG68" s="36"/>
      <c r="BH68" s="64"/>
      <c r="BI68" s="64"/>
      <c r="BJ68" s="64"/>
      <c r="BK68" s="64"/>
      <c r="BL68" s="64"/>
    </row>
    <row r="69" spans="1:64" s="56" customFormat="1" ht="14.25" customHeight="1" x14ac:dyDescent="0.15">
      <c r="A69" s="200"/>
      <c r="B69" s="202"/>
      <c r="C69" s="365" t="str">
        <f>IF(A69&lt;&gt;"",VLOOKUP(A69,項目仕様!$A$6:$L$129,3),"")</f>
        <v/>
      </c>
      <c r="D69" s="366"/>
      <c r="E69" s="366"/>
      <c r="F69" s="366"/>
      <c r="G69" s="366"/>
      <c r="H69" s="366"/>
      <c r="I69" s="366"/>
      <c r="J69" s="366"/>
      <c r="K69" s="367"/>
      <c r="L69" s="287"/>
      <c r="M69" s="288"/>
      <c r="N69" s="288"/>
      <c r="O69" s="288"/>
      <c r="P69" s="288"/>
      <c r="Q69" s="288"/>
      <c r="R69" s="288"/>
      <c r="S69" s="288"/>
      <c r="T69" s="289"/>
      <c r="U69" s="146" t="s">
        <v>180</v>
      </c>
      <c r="V69" s="152"/>
      <c r="W69" s="161" t="s">
        <v>364</v>
      </c>
      <c r="X69" s="152"/>
      <c r="Y69" s="152"/>
      <c r="Z69" s="152"/>
      <c r="AA69" s="152"/>
      <c r="AB69" s="152"/>
      <c r="AC69" s="152"/>
      <c r="AD69" s="154"/>
      <c r="AE69" s="154"/>
      <c r="AF69" s="154"/>
      <c r="AG69" s="154"/>
      <c r="AH69" s="154"/>
      <c r="AI69" s="152"/>
      <c r="AJ69" s="152"/>
      <c r="AK69" s="152"/>
      <c r="AL69" s="152"/>
      <c r="AM69" s="152"/>
      <c r="AN69" s="152"/>
      <c r="AO69" s="152"/>
      <c r="AP69" s="152"/>
      <c r="AQ69" s="152"/>
      <c r="AR69" s="152"/>
      <c r="AS69" s="152"/>
      <c r="AT69" s="152"/>
      <c r="AU69" s="152"/>
      <c r="AV69" s="152"/>
      <c r="AW69" s="152"/>
      <c r="AX69" s="152"/>
      <c r="AY69" s="152"/>
      <c r="AZ69" s="153"/>
      <c r="BA69" s="34" t="str">
        <f>IF(BB69&amp;BC69&lt;&gt;"",MAX(BA$5:BA68)+1,"")</f>
        <v/>
      </c>
      <c r="BB69" s="35"/>
      <c r="BC69" s="35"/>
      <c r="BD69" s="36"/>
      <c r="BE69" s="37"/>
      <c r="BF69" s="51"/>
      <c r="BG69" s="36"/>
      <c r="BH69" s="64"/>
      <c r="BI69" s="64"/>
      <c r="BJ69" s="64"/>
      <c r="BK69" s="64"/>
      <c r="BL69" s="64"/>
    </row>
    <row r="70" spans="1:64" s="56" customFormat="1" ht="14.25" customHeight="1" x14ac:dyDescent="0.15">
      <c r="A70" s="200"/>
      <c r="B70" s="202"/>
      <c r="C70" s="365" t="str">
        <f>IF(A70&lt;&gt;"",VLOOKUP(A70,項目仕様!$A$6:$L$129,3),"")</f>
        <v/>
      </c>
      <c r="D70" s="366"/>
      <c r="E70" s="366"/>
      <c r="F70" s="366"/>
      <c r="G70" s="366"/>
      <c r="H70" s="366"/>
      <c r="I70" s="366"/>
      <c r="J70" s="366"/>
      <c r="K70" s="367"/>
      <c r="L70" s="287"/>
      <c r="M70" s="288"/>
      <c r="N70" s="288"/>
      <c r="O70" s="288"/>
      <c r="P70" s="288"/>
      <c r="Q70" s="288"/>
      <c r="R70" s="288"/>
      <c r="S70" s="288"/>
      <c r="T70" s="289"/>
      <c r="U70" s="57"/>
      <c r="V70" s="57"/>
      <c r="W70" s="57"/>
      <c r="X70" s="161" t="s">
        <v>361</v>
      </c>
      <c r="Y70" s="57"/>
      <c r="Z70" s="57"/>
      <c r="AA70" s="57"/>
      <c r="AB70" s="57"/>
      <c r="AC70" s="57"/>
      <c r="AD70" s="60"/>
      <c r="AE70" s="60"/>
      <c r="AF70" s="60"/>
      <c r="AG70" s="60"/>
      <c r="AH70" s="60"/>
      <c r="AI70" s="57"/>
      <c r="AJ70" s="57"/>
      <c r="AK70" s="57"/>
      <c r="AL70" s="57"/>
      <c r="AM70" s="57"/>
      <c r="AN70" s="57"/>
      <c r="AO70" s="57"/>
      <c r="AP70" s="57"/>
      <c r="AQ70" s="57"/>
      <c r="AR70" s="57"/>
      <c r="AS70" s="57"/>
      <c r="AT70" s="57"/>
      <c r="AU70" s="57"/>
      <c r="AV70" s="57"/>
      <c r="AW70" s="57"/>
      <c r="AX70" s="57"/>
      <c r="AY70" s="57"/>
      <c r="AZ70" s="59"/>
      <c r="BA70" s="34" t="str">
        <f>IF(BB70&amp;BC70&lt;&gt;"",MAX(BA$5:BA67)+1,"")</f>
        <v/>
      </c>
      <c r="BB70" s="35"/>
      <c r="BC70" s="35"/>
      <c r="BD70" s="36"/>
      <c r="BE70" s="37"/>
      <c r="BF70" s="51"/>
      <c r="BG70" s="36"/>
      <c r="BH70" s="64"/>
      <c r="BI70" s="64"/>
      <c r="BJ70" s="64"/>
      <c r="BK70" s="64"/>
      <c r="BL70" s="64"/>
    </row>
    <row r="71" spans="1:64" s="56" customFormat="1" ht="14.25" customHeight="1" x14ac:dyDescent="0.15">
      <c r="A71" s="200"/>
      <c r="B71" s="202"/>
      <c r="C71" s="365" t="str">
        <f>IF(A71&lt;&gt;"",VLOOKUP(A71,項目仕様!$A$6:$L$129,3),"")</f>
        <v/>
      </c>
      <c r="D71" s="366"/>
      <c r="E71" s="366"/>
      <c r="F71" s="366"/>
      <c r="G71" s="366"/>
      <c r="H71" s="366"/>
      <c r="I71" s="366"/>
      <c r="J71" s="366"/>
      <c r="K71" s="367"/>
      <c r="L71" s="287"/>
      <c r="M71" s="288"/>
      <c r="N71" s="288"/>
      <c r="O71" s="288"/>
      <c r="P71" s="288"/>
      <c r="Q71" s="288"/>
      <c r="R71" s="288"/>
      <c r="S71" s="288"/>
      <c r="T71" s="289"/>
      <c r="U71" s="163" t="s">
        <v>205</v>
      </c>
      <c r="V71" s="163"/>
      <c r="W71" s="164" t="s">
        <v>199</v>
      </c>
      <c r="X71" s="164"/>
      <c r="Y71" s="57"/>
      <c r="Z71" s="57"/>
      <c r="AA71" s="57"/>
      <c r="AB71" s="57"/>
      <c r="AC71" s="57"/>
      <c r="AD71" s="60"/>
      <c r="AE71" s="60"/>
      <c r="AF71" s="60"/>
      <c r="AG71" s="60"/>
      <c r="AH71" s="60"/>
      <c r="AI71" s="57"/>
      <c r="AJ71" s="57"/>
      <c r="AK71" s="57"/>
      <c r="AL71" s="57"/>
      <c r="AM71" s="57"/>
      <c r="AN71" s="57"/>
      <c r="AO71" s="57"/>
      <c r="AP71" s="57"/>
      <c r="AQ71" s="57"/>
      <c r="AR71" s="57"/>
      <c r="AS71" s="57"/>
      <c r="AT71" s="57"/>
      <c r="AU71" s="57"/>
      <c r="AV71" s="57"/>
      <c r="AW71" s="57"/>
      <c r="AX71" s="57"/>
      <c r="AY71" s="57"/>
      <c r="AZ71" s="59"/>
      <c r="BA71" s="34">
        <f>IF(BB71&amp;BC71&lt;&gt;"",MAX(BA$5:BA70)+1,"")</f>
        <v>28</v>
      </c>
      <c r="BB71" s="35" t="s">
        <v>158</v>
      </c>
      <c r="BC71" s="35"/>
      <c r="BD71" s="36"/>
      <c r="BE71" s="37"/>
      <c r="BF71" s="51"/>
      <c r="BG71" s="36"/>
      <c r="BH71" s="64"/>
      <c r="BI71" s="64"/>
      <c r="BJ71" s="64"/>
      <c r="BK71" s="64"/>
      <c r="BL71" s="64"/>
    </row>
    <row r="72" spans="1:64" s="56" customFormat="1" ht="14.25" customHeight="1" x14ac:dyDescent="0.15">
      <c r="A72" s="200"/>
      <c r="B72" s="202"/>
      <c r="C72" s="365" t="str">
        <f>IF(A72&lt;&gt;"",VLOOKUP(A72,項目仕様!$A$6:$L$129,3),"")</f>
        <v/>
      </c>
      <c r="D72" s="366"/>
      <c r="E72" s="366"/>
      <c r="F72" s="366"/>
      <c r="G72" s="366"/>
      <c r="H72" s="366"/>
      <c r="I72" s="366"/>
      <c r="J72" s="366"/>
      <c r="K72" s="367"/>
      <c r="L72" s="287"/>
      <c r="M72" s="288"/>
      <c r="N72" s="288"/>
      <c r="O72" s="288"/>
      <c r="P72" s="288"/>
      <c r="Q72" s="288"/>
      <c r="R72" s="288"/>
      <c r="S72" s="288"/>
      <c r="T72" s="289"/>
      <c r="U72" s="57"/>
      <c r="V72" s="57"/>
      <c r="W72" s="57"/>
      <c r="X72" s="57"/>
      <c r="Y72" s="57"/>
      <c r="Z72" s="57"/>
      <c r="AA72" s="57"/>
      <c r="AB72" s="57"/>
      <c r="AC72" s="57"/>
      <c r="AD72" s="60"/>
      <c r="AE72" s="60"/>
      <c r="AF72" s="60"/>
      <c r="AG72" s="60"/>
      <c r="AH72" s="60"/>
      <c r="AI72" s="57"/>
      <c r="AJ72" s="57"/>
      <c r="AK72" s="57"/>
      <c r="AL72" s="57"/>
      <c r="AM72" s="57"/>
      <c r="AN72" s="57"/>
      <c r="AO72" s="57"/>
      <c r="AP72" s="57"/>
      <c r="AQ72" s="57"/>
      <c r="AR72" s="57"/>
      <c r="AS72" s="57"/>
      <c r="AT72" s="57"/>
      <c r="AU72" s="57"/>
      <c r="AV72" s="57"/>
      <c r="AW72" s="57"/>
      <c r="AX72" s="57"/>
      <c r="AY72" s="57"/>
      <c r="AZ72" s="59"/>
      <c r="BA72" s="34" t="str">
        <f>IF(BB72&amp;BC72&lt;&gt;"",MAX(BA$5:BA71)+1,"")</f>
        <v/>
      </c>
      <c r="BB72" s="35"/>
      <c r="BC72" s="35"/>
      <c r="BD72" s="36"/>
      <c r="BE72" s="37"/>
      <c r="BF72" s="51"/>
      <c r="BG72" s="36"/>
      <c r="BH72" s="64"/>
      <c r="BI72" s="64"/>
      <c r="BJ72" s="64"/>
      <c r="BK72" s="64"/>
      <c r="BL72" s="64"/>
    </row>
    <row r="73" spans="1:64" s="56" customFormat="1" ht="14.25" customHeight="1" x14ac:dyDescent="0.15">
      <c r="A73" s="200">
        <v>24</v>
      </c>
      <c r="B73" s="202"/>
      <c r="C73" s="365" t="str">
        <f>IF(A73&lt;&gt;"",VLOOKUP(A73,項目仕様!$A$6:$L$129,3),"")</f>
        <v>登録・更新</v>
      </c>
      <c r="D73" s="366"/>
      <c r="E73" s="366"/>
      <c r="F73" s="366"/>
      <c r="G73" s="366"/>
      <c r="H73" s="366"/>
      <c r="I73" s="366"/>
      <c r="J73" s="366"/>
      <c r="K73" s="367"/>
      <c r="L73" s="269" t="s">
        <v>357</v>
      </c>
      <c r="M73" s="270"/>
      <c r="N73" s="270"/>
      <c r="O73" s="270"/>
      <c r="P73" s="270"/>
      <c r="Q73" s="270"/>
      <c r="R73" s="270"/>
      <c r="S73" s="270"/>
      <c r="T73" s="271"/>
      <c r="U73" s="146" t="s">
        <v>359</v>
      </c>
      <c r="V73" s="161"/>
      <c r="W73" s="161" t="s">
        <v>402</v>
      </c>
      <c r="X73" s="57"/>
      <c r="Y73" s="57"/>
      <c r="Z73" s="57"/>
      <c r="AA73" s="57"/>
      <c r="AB73" s="57"/>
      <c r="AC73" s="57"/>
      <c r="AD73" s="60"/>
      <c r="AE73" s="60"/>
      <c r="AF73" s="60"/>
      <c r="AG73" s="60"/>
      <c r="AH73" s="60"/>
      <c r="AI73" s="57"/>
      <c r="AJ73" s="57"/>
      <c r="AK73" s="57"/>
      <c r="AL73" s="57"/>
      <c r="AM73" s="57"/>
      <c r="AN73" s="57"/>
      <c r="AO73" s="57"/>
      <c r="AP73" s="57"/>
      <c r="AQ73" s="57"/>
      <c r="AR73" s="57"/>
      <c r="AS73" s="57"/>
      <c r="AT73" s="57"/>
      <c r="AU73" s="57"/>
      <c r="AV73" s="57"/>
      <c r="AW73" s="57"/>
      <c r="AX73" s="57"/>
      <c r="AY73" s="57"/>
      <c r="AZ73" s="59"/>
      <c r="BA73" s="34" t="str">
        <f>IF(BB73&amp;BC73&lt;&gt;"",MAX(BA$5:BA72)+1,"")</f>
        <v/>
      </c>
      <c r="BB73" s="35"/>
      <c r="BC73" s="35"/>
      <c r="BD73" s="36"/>
      <c r="BE73" s="37"/>
      <c r="BF73" s="51"/>
      <c r="BG73" s="36"/>
      <c r="BH73" s="64"/>
      <c r="BI73" s="64"/>
      <c r="BJ73" s="64"/>
      <c r="BK73" s="64"/>
      <c r="BL73" s="64"/>
    </row>
    <row r="74" spans="1:64" s="56" customFormat="1" ht="14.25" customHeight="1" x14ac:dyDescent="0.15">
      <c r="A74" s="200"/>
      <c r="B74" s="202"/>
      <c r="C74" s="365" t="str">
        <f>IF(A74&lt;&gt;"",VLOOKUP(A74,項目仕様!$A$6:$L$129,3),"")</f>
        <v/>
      </c>
      <c r="D74" s="366"/>
      <c r="E74" s="366"/>
      <c r="F74" s="366"/>
      <c r="G74" s="366"/>
      <c r="H74" s="366"/>
      <c r="I74" s="366"/>
      <c r="J74" s="366"/>
      <c r="K74" s="367"/>
      <c r="L74" s="287"/>
      <c r="M74" s="288"/>
      <c r="N74" s="288"/>
      <c r="O74" s="288"/>
      <c r="P74" s="288"/>
      <c r="Q74" s="288"/>
      <c r="R74" s="288"/>
      <c r="S74" s="288"/>
      <c r="T74" s="289"/>
      <c r="U74" s="70"/>
      <c r="V74" s="146" t="s">
        <v>374</v>
      </c>
      <c r="W74" s="152"/>
      <c r="X74" s="152" t="s">
        <v>206</v>
      </c>
      <c r="Y74" s="152"/>
      <c r="Z74" s="152"/>
      <c r="AA74" s="152"/>
      <c r="AB74" s="152"/>
      <c r="AC74" s="152"/>
      <c r="AD74" s="152"/>
      <c r="AE74" s="154"/>
      <c r="AF74" s="154"/>
      <c r="AG74" s="154"/>
      <c r="AH74" s="154"/>
      <c r="AI74" s="154"/>
      <c r="AJ74" s="152"/>
      <c r="AK74" s="152"/>
      <c r="AL74" s="152"/>
      <c r="AM74" s="57"/>
      <c r="AN74" s="57"/>
      <c r="AO74" s="57"/>
      <c r="AP74" s="57"/>
      <c r="AQ74" s="57"/>
      <c r="AR74" s="57"/>
      <c r="AS74" s="57"/>
      <c r="AT74" s="57"/>
      <c r="AU74" s="57"/>
      <c r="AV74" s="57"/>
      <c r="AW74" s="57"/>
      <c r="AX74" s="57"/>
      <c r="AY74" s="57"/>
      <c r="AZ74" s="59"/>
      <c r="BA74" s="34" t="str">
        <f>IF(BB74&amp;BC74&lt;&gt;"",MAX(BA$5:BA73)+1,"")</f>
        <v/>
      </c>
      <c r="BB74" s="35"/>
      <c r="BC74" s="35"/>
      <c r="BD74" s="36"/>
      <c r="BE74" s="37"/>
      <c r="BF74" s="51"/>
      <c r="BG74" s="36"/>
      <c r="BH74" s="64"/>
      <c r="BI74" s="64"/>
      <c r="BJ74" s="64"/>
      <c r="BK74" s="64"/>
      <c r="BL74" s="64"/>
    </row>
    <row r="75" spans="1:64" s="56" customFormat="1" ht="14.25" customHeight="1" x14ac:dyDescent="0.15">
      <c r="A75" s="200"/>
      <c r="B75" s="202"/>
      <c r="C75" s="365" t="str">
        <f>IF(A75&lt;&gt;"",VLOOKUP(A75,項目仕様!$A$6:$L$129,3),"")</f>
        <v/>
      </c>
      <c r="D75" s="366"/>
      <c r="E75" s="366"/>
      <c r="F75" s="366"/>
      <c r="G75" s="366"/>
      <c r="H75" s="366"/>
      <c r="I75" s="366"/>
      <c r="J75" s="366"/>
      <c r="K75" s="367"/>
      <c r="L75" s="287"/>
      <c r="M75" s="288"/>
      <c r="N75" s="288"/>
      <c r="O75" s="288"/>
      <c r="P75" s="288"/>
      <c r="Q75" s="288"/>
      <c r="R75" s="288"/>
      <c r="S75" s="288"/>
      <c r="T75" s="289"/>
      <c r="U75" s="57"/>
      <c r="V75" s="70"/>
      <c r="W75" s="146" t="s">
        <v>383</v>
      </c>
      <c r="X75" s="152"/>
      <c r="Y75" s="152" t="s">
        <v>207</v>
      </c>
      <c r="Z75" s="152"/>
      <c r="AA75" s="152"/>
      <c r="AB75" s="152"/>
      <c r="AC75" s="152"/>
      <c r="AD75" s="152"/>
      <c r="AE75" s="154"/>
      <c r="AF75" s="154"/>
      <c r="AG75" s="154"/>
      <c r="AH75" s="154"/>
      <c r="AI75" s="154"/>
      <c r="AJ75" s="152"/>
      <c r="AK75" s="152"/>
      <c r="AL75" s="152"/>
      <c r="AM75" s="57"/>
      <c r="AN75" s="57"/>
      <c r="AO75" s="57"/>
      <c r="AP75" s="57"/>
      <c r="AQ75" s="57"/>
      <c r="AR75" s="57"/>
      <c r="AS75" s="57"/>
      <c r="AT75" s="57"/>
      <c r="AU75" s="57"/>
      <c r="AV75" s="57"/>
      <c r="AW75" s="57"/>
      <c r="AX75" s="57"/>
      <c r="AY75" s="57"/>
      <c r="AZ75" s="59"/>
      <c r="BA75" s="34" t="str">
        <f>IF(BB75&amp;BC75&lt;&gt;"",MAX(BA$5:BA74)+1,"")</f>
        <v/>
      </c>
      <c r="BB75" s="35"/>
      <c r="BC75" s="35"/>
      <c r="BD75" s="36"/>
      <c r="BE75" s="37"/>
      <c r="BF75" s="51"/>
      <c r="BG75" s="36"/>
      <c r="BH75" s="64"/>
      <c r="BI75" s="64"/>
      <c r="BJ75" s="64"/>
      <c r="BK75" s="64"/>
      <c r="BL75" s="64"/>
    </row>
    <row r="76" spans="1:64" s="56" customFormat="1" ht="14.25" customHeight="1" x14ac:dyDescent="0.15">
      <c r="A76" s="200"/>
      <c r="B76" s="202"/>
      <c r="C76" s="365" t="str">
        <f>IF(A76&lt;&gt;"",VLOOKUP(A76,項目仕様!$A$6:$L$129,3),"")</f>
        <v/>
      </c>
      <c r="D76" s="366"/>
      <c r="E76" s="366"/>
      <c r="F76" s="366"/>
      <c r="G76" s="366"/>
      <c r="H76" s="366"/>
      <c r="I76" s="366"/>
      <c r="J76" s="366"/>
      <c r="K76" s="367"/>
      <c r="L76" s="287"/>
      <c r="M76" s="288"/>
      <c r="N76" s="288"/>
      <c r="O76" s="288"/>
      <c r="P76" s="288"/>
      <c r="Q76" s="288"/>
      <c r="R76" s="288"/>
      <c r="S76" s="288"/>
      <c r="T76" s="289"/>
      <c r="U76" s="57"/>
      <c r="V76" s="57"/>
      <c r="W76" s="152"/>
      <c r="X76" s="152"/>
      <c r="Y76" s="152"/>
      <c r="Z76" s="152" t="s">
        <v>208</v>
      </c>
      <c r="AA76" s="152"/>
      <c r="AB76" s="152"/>
      <c r="AC76" s="152"/>
      <c r="AD76" s="152"/>
      <c r="AE76" s="154"/>
      <c r="AF76" s="154"/>
      <c r="AG76" s="154"/>
      <c r="AH76" s="154"/>
      <c r="AI76" s="154"/>
      <c r="AJ76" s="152"/>
      <c r="AK76" s="152"/>
      <c r="AL76" s="152"/>
      <c r="AM76" s="57"/>
      <c r="AN76" s="57"/>
      <c r="AO76" s="57"/>
      <c r="AP76" s="57"/>
      <c r="AQ76" s="57"/>
      <c r="AR76" s="57"/>
      <c r="AS76" s="57"/>
      <c r="AT76" s="57"/>
      <c r="AU76" s="57"/>
      <c r="AV76" s="57"/>
      <c r="AW76" s="57"/>
      <c r="AX76" s="84" t="s">
        <v>319</v>
      </c>
      <c r="AY76" s="57" t="s">
        <v>209</v>
      </c>
      <c r="AZ76" s="59"/>
      <c r="BA76" s="34">
        <f>IF(BB76&amp;BC76&lt;&gt;"",MAX(BA$5:BA75)+1,"")</f>
        <v>29</v>
      </c>
      <c r="BB76" s="35" t="s">
        <v>210</v>
      </c>
      <c r="BC76" s="35"/>
      <c r="BD76" s="36"/>
      <c r="BE76" s="37"/>
      <c r="BF76" s="51"/>
      <c r="BG76" s="36"/>
      <c r="BH76" s="64"/>
      <c r="BI76" s="64"/>
      <c r="BJ76" s="64"/>
      <c r="BK76" s="64"/>
      <c r="BL76" s="64"/>
    </row>
    <row r="77" spans="1:64" s="56" customFormat="1" ht="14.25" customHeight="1" x14ac:dyDescent="0.15">
      <c r="A77" s="200"/>
      <c r="B77" s="202"/>
      <c r="C77" s="365" t="str">
        <f>IF(A77&lt;&gt;"",VLOOKUP(A77,項目仕様!$A$6:$L$129,3),"")</f>
        <v/>
      </c>
      <c r="D77" s="366"/>
      <c r="E77" s="366"/>
      <c r="F77" s="366"/>
      <c r="G77" s="366"/>
      <c r="H77" s="366"/>
      <c r="I77" s="366"/>
      <c r="J77" s="366"/>
      <c r="K77" s="367"/>
      <c r="L77" s="287"/>
      <c r="M77" s="288"/>
      <c r="N77" s="288"/>
      <c r="O77" s="288"/>
      <c r="P77" s="288"/>
      <c r="Q77" s="288"/>
      <c r="R77" s="288"/>
      <c r="S77" s="288"/>
      <c r="T77" s="289"/>
      <c r="U77" s="57"/>
      <c r="V77" s="163"/>
      <c r="W77" s="163" t="s">
        <v>167</v>
      </c>
      <c r="X77" s="164"/>
      <c r="Y77" s="164" t="s">
        <v>211</v>
      </c>
      <c r="Z77" s="152"/>
      <c r="AA77" s="152"/>
      <c r="AB77" s="152"/>
      <c r="AC77" s="152"/>
      <c r="AD77" s="152"/>
      <c r="AE77" s="154"/>
      <c r="AF77" s="154"/>
      <c r="AG77" s="154"/>
      <c r="AH77" s="154"/>
      <c r="AI77" s="154"/>
      <c r="AJ77" s="152"/>
      <c r="AK77" s="152"/>
      <c r="AL77" s="152"/>
      <c r="AM77" s="57"/>
      <c r="AN77" s="57"/>
      <c r="AO77" s="57"/>
      <c r="AP77" s="57"/>
      <c r="AQ77" s="57"/>
      <c r="AR77" s="57"/>
      <c r="AS77" s="57"/>
      <c r="AT77" s="57"/>
      <c r="AU77" s="57"/>
      <c r="AV77" s="57"/>
      <c r="AW77" s="57"/>
      <c r="AX77" s="57"/>
      <c r="AY77" s="57"/>
      <c r="AZ77" s="59"/>
      <c r="BA77" s="34" t="str">
        <f>IF(BB77&amp;BC77&lt;&gt;"",MAX(BA$5:BA76)+1,"")</f>
        <v/>
      </c>
      <c r="BB77" s="35"/>
      <c r="BC77" s="35"/>
      <c r="BD77" s="36"/>
      <c r="BE77" s="37"/>
      <c r="BF77" s="51"/>
      <c r="BG77" s="36"/>
      <c r="BH77" s="64"/>
      <c r="BI77" s="64"/>
      <c r="BJ77" s="64"/>
      <c r="BK77" s="64"/>
      <c r="BL77" s="64"/>
    </row>
    <row r="78" spans="1:64" s="56" customFormat="1" ht="14.25" customHeight="1" x14ac:dyDescent="0.15">
      <c r="A78" s="200"/>
      <c r="B78" s="202"/>
      <c r="C78" s="365" t="str">
        <f>IF(A78&lt;&gt;"",VLOOKUP(A78,項目仕様!$A$6:$L$129,3),"")</f>
        <v/>
      </c>
      <c r="D78" s="366"/>
      <c r="E78" s="366"/>
      <c r="F78" s="366"/>
      <c r="G78" s="366"/>
      <c r="H78" s="366"/>
      <c r="I78" s="366"/>
      <c r="J78" s="366"/>
      <c r="K78" s="367"/>
      <c r="L78" s="287"/>
      <c r="M78" s="288"/>
      <c r="N78" s="288"/>
      <c r="O78" s="288"/>
      <c r="P78" s="288"/>
      <c r="Q78" s="288"/>
      <c r="R78" s="288"/>
      <c r="S78" s="288"/>
      <c r="T78" s="289"/>
      <c r="U78" s="57"/>
      <c r="V78" s="57"/>
      <c r="W78" s="152"/>
      <c r="X78" s="152"/>
      <c r="Y78" s="152"/>
      <c r="Z78" s="152"/>
      <c r="AA78" s="152"/>
      <c r="AB78" s="152"/>
      <c r="AC78" s="152"/>
      <c r="AD78" s="152"/>
      <c r="AE78" s="154"/>
      <c r="AF78" s="154"/>
      <c r="AG78" s="154"/>
      <c r="AH78" s="154"/>
      <c r="AI78" s="154"/>
      <c r="AJ78" s="152"/>
      <c r="AK78" s="152"/>
      <c r="AL78" s="152"/>
      <c r="AM78" s="57"/>
      <c r="AN78" s="57"/>
      <c r="AO78" s="57"/>
      <c r="AP78" s="57"/>
      <c r="AQ78" s="57"/>
      <c r="AR78" s="57"/>
      <c r="AS78" s="57"/>
      <c r="AT78" s="57"/>
      <c r="AU78" s="57"/>
      <c r="AV78" s="57"/>
      <c r="AW78" s="57"/>
      <c r="AX78" s="57"/>
      <c r="AY78" s="57"/>
      <c r="AZ78" s="59"/>
      <c r="BA78" s="34" t="str">
        <f>IF(BB78&amp;BC78&lt;&gt;"",MAX(BA$5:BA77)+1,"")</f>
        <v/>
      </c>
      <c r="BB78" s="35"/>
      <c r="BC78" s="35"/>
      <c r="BD78" s="36"/>
      <c r="BE78" s="37"/>
      <c r="BF78" s="51"/>
      <c r="BG78" s="36"/>
      <c r="BH78" s="64"/>
      <c r="BI78" s="64"/>
      <c r="BJ78" s="64"/>
      <c r="BK78" s="64"/>
      <c r="BL78" s="64"/>
    </row>
    <row r="79" spans="1:64" s="56" customFormat="1" ht="14.25" customHeight="1" x14ac:dyDescent="0.15">
      <c r="A79" s="200"/>
      <c r="B79" s="202"/>
      <c r="C79" s="365" t="str">
        <f>IF(A79&lt;&gt;"",VLOOKUP(A79,項目仕様!$A$6:$L$129,3),"")</f>
        <v/>
      </c>
      <c r="D79" s="366"/>
      <c r="E79" s="366"/>
      <c r="F79" s="366"/>
      <c r="G79" s="366"/>
      <c r="H79" s="366"/>
      <c r="I79" s="366"/>
      <c r="J79" s="366"/>
      <c r="K79" s="367"/>
      <c r="L79" s="287"/>
      <c r="M79" s="288"/>
      <c r="N79" s="288"/>
      <c r="O79" s="288"/>
      <c r="P79" s="288"/>
      <c r="Q79" s="288"/>
      <c r="R79" s="288"/>
      <c r="S79" s="288"/>
      <c r="T79" s="289"/>
      <c r="U79" s="70"/>
      <c r="V79" s="146" t="s">
        <v>375</v>
      </c>
      <c r="W79" s="152"/>
      <c r="X79" s="152" t="s">
        <v>212</v>
      </c>
      <c r="Y79" s="152"/>
      <c r="Z79" s="152"/>
      <c r="AA79" s="152"/>
      <c r="AB79" s="152"/>
      <c r="AC79" s="152"/>
      <c r="AD79" s="152"/>
      <c r="AE79" s="154"/>
      <c r="AF79" s="154"/>
      <c r="AG79" s="154"/>
      <c r="AH79" s="154"/>
      <c r="AI79" s="154"/>
      <c r="AJ79" s="152"/>
      <c r="AK79" s="152"/>
      <c r="AL79" s="152"/>
      <c r="AM79" s="57"/>
      <c r="AN79" s="57"/>
      <c r="AO79" s="57"/>
      <c r="AP79" s="57"/>
      <c r="AQ79" s="57"/>
      <c r="AR79" s="57"/>
      <c r="AS79" s="57"/>
      <c r="AT79" s="57"/>
      <c r="AU79" s="57"/>
      <c r="AV79" s="57"/>
      <c r="AW79" s="57"/>
      <c r="AX79" s="57"/>
      <c r="AY79" s="57"/>
      <c r="AZ79" s="59"/>
      <c r="BA79" s="34" t="str">
        <f>IF(BB79&amp;BC79&lt;&gt;"",MAX(BA$5:BA78)+1,"")</f>
        <v/>
      </c>
      <c r="BB79" s="35"/>
      <c r="BC79" s="35"/>
      <c r="BD79" s="36"/>
      <c r="BE79" s="37"/>
      <c r="BF79" s="51"/>
      <c r="BG79" s="36"/>
      <c r="BH79" s="64"/>
      <c r="BI79" s="64"/>
      <c r="BJ79" s="64"/>
      <c r="BK79" s="64"/>
      <c r="BL79" s="64"/>
    </row>
    <row r="80" spans="1:64" s="56" customFormat="1" ht="14.25" customHeight="1" x14ac:dyDescent="0.15">
      <c r="A80" s="200"/>
      <c r="B80" s="202"/>
      <c r="C80" s="365" t="str">
        <f>IF(A80&lt;&gt;"",VLOOKUP(A80,項目仕様!$A$6:$L$129,3),"")</f>
        <v/>
      </c>
      <c r="D80" s="366"/>
      <c r="E80" s="366"/>
      <c r="F80" s="366"/>
      <c r="G80" s="366"/>
      <c r="H80" s="366"/>
      <c r="I80" s="366"/>
      <c r="J80" s="366"/>
      <c r="K80" s="367"/>
      <c r="L80" s="287"/>
      <c r="M80" s="288"/>
      <c r="N80" s="288"/>
      <c r="O80" s="288"/>
      <c r="P80" s="288"/>
      <c r="Q80" s="288"/>
      <c r="R80" s="288"/>
      <c r="S80" s="288"/>
      <c r="T80" s="289"/>
      <c r="U80" s="57"/>
      <c r="V80" s="70"/>
      <c r="W80" s="146" t="s">
        <v>384</v>
      </c>
      <c r="X80" s="152"/>
      <c r="Y80" s="152" t="s">
        <v>207</v>
      </c>
      <c r="Z80" s="152"/>
      <c r="AA80" s="152"/>
      <c r="AB80" s="152"/>
      <c r="AC80" s="152"/>
      <c r="AD80" s="152"/>
      <c r="AE80" s="154"/>
      <c r="AF80" s="154"/>
      <c r="AG80" s="154"/>
      <c r="AH80" s="154"/>
      <c r="AI80" s="154"/>
      <c r="AJ80" s="152"/>
      <c r="AK80" s="152"/>
      <c r="AL80" s="152"/>
      <c r="AM80" s="57"/>
      <c r="AN80" s="57"/>
      <c r="AO80" s="57"/>
      <c r="AP80" s="57"/>
      <c r="AQ80" s="57"/>
      <c r="AR80" s="57"/>
      <c r="AS80" s="57"/>
      <c r="AT80" s="57"/>
      <c r="AU80" s="57"/>
      <c r="AV80" s="57"/>
      <c r="AW80" s="57"/>
      <c r="AX80" s="57"/>
      <c r="AY80" s="57"/>
      <c r="AZ80" s="59"/>
      <c r="BA80" s="34" t="str">
        <f>IF(BB80&amp;BC80&lt;&gt;"",MAX(BA$5:BA79)+1,"")</f>
        <v/>
      </c>
      <c r="BB80" s="35"/>
      <c r="BC80" s="35"/>
      <c r="BD80" s="36"/>
      <c r="BE80" s="37"/>
      <c r="BF80" s="51"/>
      <c r="BG80" s="36"/>
      <c r="BH80" s="64"/>
      <c r="BI80" s="64"/>
      <c r="BJ80" s="64"/>
      <c r="BK80" s="64"/>
      <c r="BL80" s="64"/>
    </row>
    <row r="81" spans="1:64" s="56" customFormat="1" ht="14.25" customHeight="1" x14ac:dyDescent="0.15">
      <c r="A81" s="200"/>
      <c r="B81" s="202"/>
      <c r="C81" s="365" t="str">
        <f>IF(A81&lt;&gt;"",VLOOKUP(A81,項目仕様!$A$6:$L$129,3),"")</f>
        <v/>
      </c>
      <c r="D81" s="366"/>
      <c r="E81" s="366"/>
      <c r="F81" s="366"/>
      <c r="G81" s="366"/>
      <c r="H81" s="366"/>
      <c r="I81" s="366"/>
      <c r="J81" s="366"/>
      <c r="K81" s="367"/>
      <c r="L81" s="287"/>
      <c r="M81" s="288"/>
      <c r="N81" s="288"/>
      <c r="O81" s="288"/>
      <c r="P81" s="288"/>
      <c r="Q81" s="288"/>
      <c r="R81" s="288"/>
      <c r="S81" s="288"/>
      <c r="T81" s="289"/>
      <c r="U81" s="57"/>
      <c r="V81" s="57"/>
      <c r="W81" s="152"/>
      <c r="X81" s="152"/>
      <c r="Y81" s="152"/>
      <c r="Z81" s="152" t="s">
        <v>213</v>
      </c>
      <c r="AA81" s="152"/>
      <c r="AB81" s="152"/>
      <c r="AC81" s="152"/>
      <c r="AD81" s="152"/>
      <c r="AE81" s="154"/>
      <c r="AF81" s="154"/>
      <c r="AG81" s="154"/>
      <c r="AH81" s="154"/>
      <c r="AI81" s="154"/>
      <c r="AJ81" s="152"/>
      <c r="AK81" s="152"/>
      <c r="AL81" s="152"/>
      <c r="AM81" s="57"/>
      <c r="AN81" s="57"/>
      <c r="AO81" s="57"/>
      <c r="AP81" s="57"/>
      <c r="AQ81" s="57"/>
      <c r="AR81" s="57"/>
      <c r="AS81" s="57"/>
      <c r="AT81" s="57"/>
      <c r="AU81" s="57"/>
      <c r="AV81" s="57"/>
      <c r="AW81" s="57"/>
      <c r="AX81" s="84" t="s">
        <v>319</v>
      </c>
      <c r="AY81" s="57" t="s">
        <v>209</v>
      </c>
      <c r="AZ81" s="59"/>
      <c r="BA81" s="34">
        <f>IF(BB81&amp;BC81&lt;&gt;"",MAX(BA$5:BA80)+1,"")</f>
        <v>30</v>
      </c>
      <c r="BB81" s="35" t="s">
        <v>210</v>
      </c>
      <c r="BC81" s="35"/>
      <c r="BD81" s="36"/>
      <c r="BE81" s="37"/>
      <c r="BF81" s="51"/>
      <c r="BG81" s="36"/>
      <c r="BH81" s="64"/>
      <c r="BI81" s="64"/>
      <c r="BJ81" s="64"/>
      <c r="BK81" s="64"/>
      <c r="BL81" s="64"/>
    </row>
    <row r="82" spans="1:64" s="56" customFormat="1" ht="14.25" customHeight="1" x14ac:dyDescent="0.15">
      <c r="A82" s="200"/>
      <c r="B82" s="202"/>
      <c r="C82" s="365" t="str">
        <f>IF(A82&lt;&gt;"",VLOOKUP(A82,項目仕様!$A$6:$L$129,3),"")</f>
        <v/>
      </c>
      <c r="D82" s="366"/>
      <c r="E82" s="366"/>
      <c r="F82" s="366"/>
      <c r="G82" s="366"/>
      <c r="H82" s="366"/>
      <c r="I82" s="366"/>
      <c r="J82" s="366"/>
      <c r="K82" s="367"/>
      <c r="L82" s="287"/>
      <c r="M82" s="288"/>
      <c r="N82" s="288"/>
      <c r="O82" s="288"/>
      <c r="P82" s="288"/>
      <c r="Q82" s="288"/>
      <c r="R82" s="288"/>
      <c r="S82" s="288"/>
      <c r="T82" s="289"/>
      <c r="U82" s="57"/>
      <c r="V82" s="163"/>
      <c r="W82" s="163" t="s">
        <v>167</v>
      </c>
      <c r="X82" s="164"/>
      <c r="Y82" s="164" t="s">
        <v>214</v>
      </c>
      <c r="Z82" s="152"/>
      <c r="AA82" s="152"/>
      <c r="AB82" s="152"/>
      <c r="AC82" s="152"/>
      <c r="AD82" s="152"/>
      <c r="AE82" s="154"/>
      <c r="AF82" s="154"/>
      <c r="AG82" s="154"/>
      <c r="AH82" s="154"/>
      <c r="AI82" s="154"/>
      <c r="AJ82" s="152"/>
      <c r="AK82" s="152"/>
      <c r="AL82" s="152"/>
      <c r="AM82" s="57"/>
      <c r="AN82" s="57"/>
      <c r="AO82" s="57"/>
      <c r="AP82" s="57"/>
      <c r="AQ82" s="57"/>
      <c r="AR82" s="57"/>
      <c r="AS82" s="57"/>
      <c r="AT82" s="57"/>
      <c r="AU82" s="57"/>
      <c r="AV82" s="57"/>
      <c r="AW82" s="57"/>
      <c r="AX82" s="57"/>
      <c r="AY82" s="57"/>
      <c r="AZ82" s="59"/>
      <c r="BA82" s="34" t="str">
        <f>IF(BB82&amp;BC82&lt;&gt;"",MAX(BA$5:BA81)+1,"")</f>
        <v/>
      </c>
      <c r="BB82" s="35"/>
      <c r="BC82" s="35"/>
      <c r="BD82" s="36"/>
      <c r="BE82" s="37"/>
      <c r="BF82" s="51"/>
      <c r="BG82" s="36"/>
      <c r="BH82" s="64"/>
      <c r="BI82" s="64"/>
      <c r="BJ82" s="64"/>
      <c r="BK82" s="64"/>
      <c r="BL82" s="64"/>
    </row>
    <row r="83" spans="1:64" s="56" customFormat="1" ht="14.25" customHeight="1" x14ac:dyDescent="0.15">
      <c r="A83" s="200"/>
      <c r="B83" s="202"/>
      <c r="C83" s="365" t="str">
        <f>IF(A83&lt;&gt;"",VLOOKUP(A83,項目仕様!$A$6:$L$129,3),"")</f>
        <v/>
      </c>
      <c r="D83" s="366"/>
      <c r="E83" s="366"/>
      <c r="F83" s="366"/>
      <c r="G83" s="366"/>
      <c r="H83" s="366"/>
      <c r="I83" s="366"/>
      <c r="J83" s="366"/>
      <c r="K83" s="367"/>
      <c r="L83" s="287"/>
      <c r="M83" s="288"/>
      <c r="N83" s="288"/>
      <c r="O83" s="288"/>
      <c r="P83" s="288"/>
      <c r="Q83" s="288"/>
      <c r="R83" s="288"/>
      <c r="S83" s="288"/>
      <c r="T83" s="289"/>
      <c r="U83" s="57"/>
      <c r="V83" s="57"/>
      <c r="W83" s="152"/>
      <c r="X83" s="152"/>
      <c r="Y83" s="152"/>
      <c r="Z83" s="152"/>
      <c r="AA83" s="152"/>
      <c r="AB83" s="152"/>
      <c r="AC83" s="152"/>
      <c r="AD83" s="152"/>
      <c r="AE83" s="154"/>
      <c r="AF83" s="154"/>
      <c r="AG83" s="154"/>
      <c r="AH83" s="154"/>
      <c r="AI83" s="154"/>
      <c r="AJ83" s="152"/>
      <c r="AK83" s="152"/>
      <c r="AL83" s="152"/>
      <c r="AM83" s="57"/>
      <c r="AN83" s="57"/>
      <c r="AO83" s="57"/>
      <c r="AP83" s="57"/>
      <c r="AQ83" s="57"/>
      <c r="AR83" s="57"/>
      <c r="AS83" s="57"/>
      <c r="AT83" s="57"/>
      <c r="AU83" s="57"/>
      <c r="AV83" s="57"/>
      <c r="AW83" s="57"/>
      <c r="AX83" s="57"/>
      <c r="AY83" s="57"/>
      <c r="AZ83" s="59"/>
      <c r="BA83" s="34" t="str">
        <f>IF(BB83&amp;BC83&lt;&gt;"",MAX(BA$5:BA82)+1,"")</f>
        <v/>
      </c>
      <c r="BB83" s="35"/>
      <c r="BC83" s="35"/>
      <c r="BD83" s="36"/>
      <c r="BE83" s="37"/>
      <c r="BF83" s="51"/>
      <c r="BG83" s="36"/>
      <c r="BH83" s="64"/>
      <c r="BI83" s="64"/>
      <c r="BJ83" s="64"/>
      <c r="BK83" s="64"/>
      <c r="BL83" s="64"/>
    </row>
    <row r="84" spans="1:64" s="56" customFormat="1" ht="14.25" customHeight="1" x14ac:dyDescent="0.15">
      <c r="A84" s="200"/>
      <c r="B84" s="202"/>
      <c r="C84" s="365" t="str">
        <f>IF(A84&lt;&gt;"",VLOOKUP(A84,項目仕様!$A$6:$L$129,3),"")</f>
        <v/>
      </c>
      <c r="D84" s="366"/>
      <c r="E84" s="366"/>
      <c r="F84" s="366"/>
      <c r="G84" s="366"/>
      <c r="H84" s="366"/>
      <c r="I84" s="366"/>
      <c r="J84" s="366"/>
      <c r="K84" s="367"/>
      <c r="L84" s="287"/>
      <c r="M84" s="288"/>
      <c r="N84" s="288"/>
      <c r="O84" s="288"/>
      <c r="P84" s="288"/>
      <c r="Q84" s="288"/>
      <c r="R84" s="288"/>
      <c r="S84" s="288"/>
      <c r="T84" s="289"/>
      <c r="U84" s="70"/>
      <c r="V84" s="146" t="s">
        <v>376</v>
      </c>
      <c r="W84" s="152"/>
      <c r="X84" s="152" t="s">
        <v>215</v>
      </c>
      <c r="Y84" s="152"/>
      <c r="Z84" s="152"/>
      <c r="AA84" s="152"/>
      <c r="AB84" s="152"/>
      <c r="AC84" s="152"/>
      <c r="AD84" s="152"/>
      <c r="AE84" s="154"/>
      <c r="AF84" s="154"/>
      <c r="AG84" s="154"/>
      <c r="AH84" s="154"/>
      <c r="AI84" s="154"/>
      <c r="AJ84" s="152"/>
      <c r="AK84" s="152"/>
      <c r="AL84" s="152"/>
      <c r="AM84" s="57"/>
      <c r="AN84" s="57"/>
      <c r="AO84" s="57"/>
      <c r="AP84" s="57"/>
      <c r="AQ84" s="57"/>
      <c r="AR84" s="57"/>
      <c r="AS84" s="57"/>
      <c r="AT84" s="57"/>
      <c r="AU84" s="57"/>
      <c r="AV84" s="57"/>
      <c r="AW84" s="57"/>
      <c r="AX84" s="57"/>
      <c r="AY84" s="57"/>
      <c r="AZ84" s="59"/>
      <c r="BA84" s="34" t="str">
        <f>IF(BB84&amp;BC84&lt;&gt;"",MAX(BA$5:BA83)+1,"")</f>
        <v/>
      </c>
      <c r="BB84" s="35"/>
      <c r="BC84" s="35"/>
      <c r="BD84" s="36"/>
      <c r="BE84" s="37"/>
      <c r="BF84" s="51"/>
      <c r="BG84" s="36"/>
      <c r="BH84" s="64"/>
      <c r="BI84" s="64"/>
      <c r="BJ84" s="64"/>
      <c r="BK84" s="64"/>
      <c r="BL84" s="64"/>
    </row>
    <row r="85" spans="1:64" s="56" customFormat="1" ht="14.25" customHeight="1" x14ac:dyDescent="0.15">
      <c r="A85" s="200"/>
      <c r="B85" s="202"/>
      <c r="C85" s="365" t="str">
        <f>IF(A85&lt;&gt;"",VLOOKUP(A85,項目仕様!$A$6:$L$129,3),"")</f>
        <v/>
      </c>
      <c r="D85" s="366"/>
      <c r="E85" s="366"/>
      <c r="F85" s="366"/>
      <c r="G85" s="366"/>
      <c r="H85" s="366"/>
      <c r="I85" s="366"/>
      <c r="J85" s="366"/>
      <c r="K85" s="367"/>
      <c r="L85" s="287"/>
      <c r="M85" s="288"/>
      <c r="N85" s="288"/>
      <c r="O85" s="288"/>
      <c r="P85" s="288"/>
      <c r="Q85" s="288"/>
      <c r="R85" s="288"/>
      <c r="S85" s="288"/>
      <c r="T85" s="289"/>
      <c r="U85" s="57"/>
      <c r="V85" s="70"/>
      <c r="W85" s="146" t="s">
        <v>385</v>
      </c>
      <c r="X85" s="152"/>
      <c r="Y85" s="152" t="s">
        <v>207</v>
      </c>
      <c r="Z85" s="152"/>
      <c r="AA85" s="152"/>
      <c r="AB85" s="152"/>
      <c r="AC85" s="152"/>
      <c r="AD85" s="152"/>
      <c r="AE85" s="154"/>
      <c r="AF85" s="154"/>
      <c r="AG85" s="154"/>
      <c r="AH85" s="154"/>
      <c r="AI85" s="154"/>
      <c r="AJ85" s="152"/>
      <c r="AK85" s="152"/>
      <c r="AL85" s="152"/>
      <c r="AM85" s="57"/>
      <c r="AN85" s="57"/>
      <c r="AO85" s="57"/>
      <c r="AP85" s="57"/>
      <c r="AQ85" s="57"/>
      <c r="AR85" s="57"/>
      <c r="AS85" s="57"/>
      <c r="AT85" s="57"/>
      <c r="AU85" s="57"/>
      <c r="AV85" s="57"/>
      <c r="AW85" s="57"/>
      <c r="AX85" s="57"/>
      <c r="AY85" s="57"/>
      <c r="AZ85" s="59"/>
      <c r="BA85" s="34" t="str">
        <f>IF(BB85&amp;BC85&lt;&gt;"",MAX(BA$5:BA84)+1,"")</f>
        <v/>
      </c>
      <c r="BB85" s="35"/>
      <c r="BC85" s="35"/>
      <c r="BD85" s="36"/>
      <c r="BE85" s="37"/>
      <c r="BF85" s="51"/>
      <c r="BG85" s="36"/>
      <c r="BH85" s="64"/>
      <c r="BI85" s="64"/>
      <c r="BJ85" s="64"/>
      <c r="BK85" s="64"/>
      <c r="BL85" s="64"/>
    </row>
    <row r="86" spans="1:64" s="56" customFormat="1" ht="14.25" customHeight="1" x14ac:dyDescent="0.15">
      <c r="A86" s="200"/>
      <c r="B86" s="202"/>
      <c r="C86" s="365" t="str">
        <f>IF(A86&lt;&gt;"",VLOOKUP(A86,項目仕様!$A$6:$L$129,3),"")</f>
        <v/>
      </c>
      <c r="D86" s="366"/>
      <c r="E86" s="366"/>
      <c r="F86" s="366"/>
      <c r="G86" s="366"/>
      <c r="H86" s="366"/>
      <c r="I86" s="366"/>
      <c r="J86" s="366"/>
      <c r="K86" s="367"/>
      <c r="L86" s="287"/>
      <c r="M86" s="288"/>
      <c r="N86" s="288"/>
      <c r="O86" s="288"/>
      <c r="P86" s="288"/>
      <c r="Q86" s="288"/>
      <c r="R86" s="288"/>
      <c r="S86" s="288"/>
      <c r="T86" s="289"/>
      <c r="U86" s="57"/>
      <c r="V86" s="57"/>
      <c r="W86" s="152"/>
      <c r="X86" s="152"/>
      <c r="Y86" s="152"/>
      <c r="Z86" s="152" t="s">
        <v>216</v>
      </c>
      <c r="AA86" s="152"/>
      <c r="AB86" s="152"/>
      <c r="AC86" s="152"/>
      <c r="AD86" s="152"/>
      <c r="AE86" s="154"/>
      <c r="AF86" s="154"/>
      <c r="AG86" s="154"/>
      <c r="AH86" s="154"/>
      <c r="AI86" s="154"/>
      <c r="AJ86" s="152"/>
      <c r="AK86" s="152"/>
      <c r="AL86" s="152"/>
      <c r="AM86" s="57"/>
      <c r="AN86" s="57"/>
      <c r="AO86" s="57"/>
      <c r="AP86" s="57"/>
      <c r="AQ86" s="57"/>
      <c r="AR86" s="57"/>
      <c r="AS86" s="57"/>
      <c r="AT86" s="57"/>
      <c r="AU86" s="57"/>
      <c r="AV86" s="57"/>
      <c r="AW86" s="57"/>
      <c r="AX86" s="84" t="s">
        <v>319</v>
      </c>
      <c r="AY86" s="57" t="s">
        <v>209</v>
      </c>
      <c r="AZ86" s="59"/>
      <c r="BA86" s="34">
        <f>IF(BB86&amp;BC86&lt;&gt;"",MAX(BA$5:BA85)+1,"")</f>
        <v>31</v>
      </c>
      <c r="BB86" s="35" t="s">
        <v>210</v>
      </c>
      <c r="BC86" s="35"/>
      <c r="BD86" s="36"/>
      <c r="BE86" s="37"/>
      <c r="BF86" s="51"/>
      <c r="BG86" s="36"/>
      <c r="BH86" s="64"/>
      <c r="BI86" s="64"/>
      <c r="BJ86" s="64"/>
      <c r="BK86" s="64"/>
      <c r="BL86" s="64"/>
    </row>
    <row r="87" spans="1:64" s="56" customFormat="1" ht="14.25" customHeight="1" x14ac:dyDescent="0.15">
      <c r="A87" s="200"/>
      <c r="B87" s="202"/>
      <c r="C87" s="365" t="str">
        <f>IF(A87&lt;&gt;"",VLOOKUP(A87,項目仕様!$A$6:$L$129,3),"")</f>
        <v/>
      </c>
      <c r="D87" s="366"/>
      <c r="E87" s="366"/>
      <c r="F87" s="366"/>
      <c r="G87" s="366"/>
      <c r="H87" s="366"/>
      <c r="I87" s="366"/>
      <c r="J87" s="366"/>
      <c r="K87" s="367"/>
      <c r="L87" s="287"/>
      <c r="M87" s="288"/>
      <c r="N87" s="288"/>
      <c r="O87" s="288"/>
      <c r="P87" s="288"/>
      <c r="Q87" s="288"/>
      <c r="R87" s="288"/>
      <c r="S87" s="288"/>
      <c r="T87" s="289"/>
      <c r="U87" s="57"/>
      <c r="V87" s="163"/>
      <c r="W87" s="163" t="s">
        <v>167</v>
      </c>
      <c r="X87" s="164"/>
      <c r="Y87" s="164" t="s">
        <v>217</v>
      </c>
      <c r="Z87" s="152"/>
      <c r="AA87" s="152"/>
      <c r="AB87" s="152"/>
      <c r="AC87" s="152"/>
      <c r="AD87" s="152"/>
      <c r="AE87" s="154"/>
      <c r="AF87" s="154"/>
      <c r="AG87" s="154"/>
      <c r="AH87" s="154"/>
      <c r="AI87" s="154"/>
      <c r="AJ87" s="152"/>
      <c r="AK87" s="152"/>
      <c r="AL87" s="152"/>
      <c r="AM87" s="57"/>
      <c r="AN87" s="57"/>
      <c r="AO87" s="57"/>
      <c r="AP87" s="57"/>
      <c r="AQ87" s="57"/>
      <c r="AR87" s="57"/>
      <c r="AS87" s="57"/>
      <c r="AT87" s="57"/>
      <c r="AU87" s="57"/>
      <c r="AV87" s="57"/>
      <c r="AW87" s="57"/>
      <c r="AX87" s="57"/>
      <c r="AY87" s="57"/>
      <c r="AZ87" s="59"/>
      <c r="BA87" s="34" t="str">
        <f>IF(BB87&amp;BC87&lt;&gt;"",MAX(BA$5:BA86)+1,"")</f>
        <v/>
      </c>
      <c r="BB87" s="35"/>
      <c r="BC87" s="35"/>
      <c r="BD87" s="36"/>
      <c r="BE87" s="37"/>
      <c r="BF87" s="51"/>
      <c r="BG87" s="36"/>
      <c r="BH87" s="64"/>
      <c r="BI87" s="64"/>
      <c r="BJ87" s="64"/>
      <c r="BK87" s="64"/>
      <c r="BL87" s="64"/>
    </row>
    <row r="88" spans="1:64" s="56" customFormat="1" ht="14.25" customHeight="1" x14ac:dyDescent="0.15">
      <c r="A88" s="200"/>
      <c r="B88" s="202"/>
      <c r="C88" s="365" t="str">
        <f>IF(A88&lt;&gt;"",VLOOKUP(A88,項目仕様!$A$6:$L$129,3),"")</f>
        <v/>
      </c>
      <c r="D88" s="366"/>
      <c r="E88" s="366"/>
      <c r="F88" s="366"/>
      <c r="G88" s="366"/>
      <c r="H88" s="366"/>
      <c r="I88" s="366"/>
      <c r="J88" s="366"/>
      <c r="K88" s="367"/>
      <c r="L88" s="287"/>
      <c r="M88" s="288"/>
      <c r="N88" s="288"/>
      <c r="O88" s="288"/>
      <c r="P88" s="288"/>
      <c r="Q88" s="288"/>
      <c r="R88" s="288"/>
      <c r="S88" s="288"/>
      <c r="T88" s="289"/>
      <c r="U88" s="57"/>
      <c r="V88" s="57"/>
      <c r="W88" s="152"/>
      <c r="X88" s="152"/>
      <c r="Y88" s="152"/>
      <c r="Z88" s="152"/>
      <c r="AA88" s="152"/>
      <c r="AB88" s="152"/>
      <c r="AC88" s="152"/>
      <c r="AD88" s="152"/>
      <c r="AE88" s="154"/>
      <c r="AF88" s="154"/>
      <c r="AG88" s="154"/>
      <c r="AH88" s="154"/>
      <c r="AI88" s="154"/>
      <c r="AJ88" s="152"/>
      <c r="AK88" s="152"/>
      <c r="AL88" s="152"/>
      <c r="AM88" s="57"/>
      <c r="AN88" s="57"/>
      <c r="AO88" s="57"/>
      <c r="AP88" s="57"/>
      <c r="AQ88" s="57"/>
      <c r="AR88" s="57"/>
      <c r="AS88" s="57"/>
      <c r="AT88" s="57"/>
      <c r="AU88" s="57"/>
      <c r="AV88" s="57"/>
      <c r="AW88" s="57"/>
      <c r="AX88" s="57"/>
      <c r="AY88" s="57"/>
      <c r="AZ88" s="59"/>
      <c r="BA88" s="34" t="str">
        <f>IF(BB88&amp;BC88&lt;&gt;"",MAX(BA$5:BA87)+1,"")</f>
        <v/>
      </c>
      <c r="BB88" s="35"/>
      <c r="BC88" s="35"/>
      <c r="BD88" s="36"/>
      <c r="BE88" s="37"/>
      <c r="BF88" s="51"/>
      <c r="BG88" s="36"/>
      <c r="BH88" s="64"/>
      <c r="BI88" s="64"/>
      <c r="BJ88" s="64"/>
      <c r="BK88" s="64"/>
      <c r="BL88" s="64"/>
    </row>
    <row r="89" spans="1:64" s="56" customFormat="1" ht="14.25" customHeight="1" x14ac:dyDescent="0.15">
      <c r="A89" s="200"/>
      <c r="B89" s="202"/>
      <c r="C89" s="365" t="str">
        <f>IF(A89&lt;&gt;"",VLOOKUP(A89,項目仕様!$A$6:$L$129,3),"")</f>
        <v/>
      </c>
      <c r="D89" s="366"/>
      <c r="E89" s="366"/>
      <c r="F89" s="366"/>
      <c r="G89" s="366"/>
      <c r="H89" s="366"/>
      <c r="I89" s="366"/>
      <c r="J89" s="366"/>
      <c r="K89" s="367"/>
      <c r="L89" s="287"/>
      <c r="M89" s="288"/>
      <c r="N89" s="288"/>
      <c r="O89" s="288"/>
      <c r="P89" s="288"/>
      <c r="Q89" s="288"/>
      <c r="R89" s="288"/>
      <c r="S89" s="288"/>
      <c r="T89" s="289"/>
      <c r="U89" s="70"/>
      <c r="V89" s="146" t="s">
        <v>377</v>
      </c>
      <c r="W89" s="152"/>
      <c r="X89" s="152" t="s">
        <v>218</v>
      </c>
      <c r="Y89" s="152"/>
      <c r="Z89" s="152"/>
      <c r="AA89" s="152"/>
      <c r="AB89" s="152"/>
      <c r="AC89" s="152"/>
      <c r="AD89" s="152"/>
      <c r="AE89" s="154"/>
      <c r="AF89" s="154"/>
      <c r="AG89" s="154"/>
      <c r="AH89" s="154"/>
      <c r="AI89" s="154"/>
      <c r="AJ89" s="152"/>
      <c r="AK89" s="152"/>
      <c r="AL89" s="152"/>
      <c r="AM89" s="57"/>
      <c r="AN89" s="57"/>
      <c r="AO89" s="57"/>
      <c r="AP89" s="57"/>
      <c r="AQ89" s="57"/>
      <c r="AR89" s="57"/>
      <c r="AS89" s="57"/>
      <c r="AT89" s="57"/>
      <c r="AU89" s="57"/>
      <c r="AV89" s="57"/>
      <c r="AW89" s="57"/>
      <c r="AX89" s="57"/>
      <c r="AY89" s="57"/>
      <c r="AZ89" s="59"/>
      <c r="BA89" s="34" t="str">
        <f>IF(BB89&amp;BC89&lt;&gt;"",MAX(BA$5:BA88)+1,"")</f>
        <v/>
      </c>
      <c r="BB89" s="35"/>
      <c r="BC89" s="35"/>
      <c r="BD89" s="36"/>
      <c r="BE89" s="37"/>
      <c r="BF89" s="51"/>
      <c r="BG89" s="36"/>
      <c r="BH89" s="64"/>
      <c r="BI89" s="64"/>
      <c r="BJ89" s="64"/>
      <c r="BK89" s="64"/>
      <c r="BL89" s="64"/>
    </row>
    <row r="90" spans="1:64" s="56" customFormat="1" ht="14.25" customHeight="1" x14ac:dyDescent="0.15">
      <c r="A90" s="200"/>
      <c r="B90" s="202"/>
      <c r="C90" s="365" t="str">
        <f>IF(A90&lt;&gt;"",VLOOKUP(A90,項目仕様!$A$6:$L$129,3),"")</f>
        <v/>
      </c>
      <c r="D90" s="366"/>
      <c r="E90" s="366"/>
      <c r="F90" s="366"/>
      <c r="G90" s="366"/>
      <c r="H90" s="366"/>
      <c r="I90" s="366"/>
      <c r="J90" s="366"/>
      <c r="K90" s="367"/>
      <c r="L90" s="287"/>
      <c r="M90" s="288"/>
      <c r="N90" s="288"/>
      <c r="O90" s="288"/>
      <c r="P90" s="288"/>
      <c r="Q90" s="288"/>
      <c r="R90" s="288"/>
      <c r="S90" s="288"/>
      <c r="T90" s="289"/>
      <c r="U90" s="57"/>
      <c r="V90" s="70"/>
      <c r="W90" s="146" t="s">
        <v>386</v>
      </c>
      <c r="X90" s="152"/>
      <c r="Y90" s="152" t="s">
        <v>207</v>
      </c>
      <c r="Z90" s="152"/>
      <c r="AA90" s="152"/>
      <c r="AB90" s="152"/>
      <c r="AC90" s="152"/>
      <c r="AD90" s="152"/>
      <c r="AE90" s="154"/>
      <c r="AF90" s="154"/>
      <c r="AG90" s="154"/>
      <c r="AH90" s="154"/>
      <c r="AI90" s="154"/>
      <c r="AJ90" s="152"/>
      <c r="AK90" s="152"/>
      <c r="AL90" s="152"/>
      <c r="AM90" s="57"/>
      <c r="AN90" s="57"/>
      <c r="AO90" s="57"/>
      <c r="AP90" s="57"/>
      <c r="AQ90" s="57"/>
      <c r="AR90" s="57"/>
      <c r="AS90" s="57"/>
      <c r="AT90" s="57"/>
      <c r="AU90" s="57"/>
      <c r="AV90" s="57"/>
      <c r="AW90" s="57"/>
      <c r="AX90" s="57"/>
      <c r="AY90" s="57"/>
      <c r="AZ90" s="59"/>
      <c r="BA90" s="34" t="str">
        <f>IF(BB90&amp;BC90&lt;&gt;"",MAX(BA$5:BA89)+1,"")</f>
        <v/>
      </c>
      <c r="BB90" s="35"/>
      <c r="BC90" s="35"/>
      <c r="BD90" s="36"/>
      <c r="BE90" s="37"/>
      <c r="BF90" s="51"/>
      <c r="BG90" s="36"/>
      <c r="BH90" s="64"/>
      <c r="BI90" s="64"/>
      <c r="BJ90" s="64"/>
      <c r="BK90" s="64"/>
      <c r="BL90" s="64"/>
    </row>
    <row r="91" spans="1:64" s="56" customFormat="1" ht="14.25" customHeight="1" x14ac:dyDescent="0.15">
      <c r="A91" s="200"/>
      <c r="B91" s="202"/>
      <c r="C91" s="365" t="str">
        <f>IF(A91&lt;&gt;"",VLOOKUP(A91,項目仕様!$A$6:$L$129,3),"")</f>
        <v/>
      </c>
      <c r="D91" s="366"/>
      <c r="E91" s="366"/>
      <c r="F91" s="366"/>
      <c r="G91" s="366"/>
      <c r="H91" s="366"/>
      <c r="I91" s="366"/>
      <c r="J91" s="366"/>
      <c r="K91" s="367"/>
      <c r="L91" s="287"/>
      <c r="M91" s="288"/>
      <c r="N91" s="288"/>
      <c r="O91" s="288"/>
      <c r="P91" s="288"/>
      <c r="Q91" s="288"/>
      <c r="R91" s="288"/>
      <c r="S91" s="288"/>
      <c r="T91" s="289"/>
      <c r="U91" s="57"/>
      <c r="V91" s="57"/>
      <c r="W91" s="152"/>
      <c r="X91" s="152"/>
      <c r="Y91" s="152"/>
      <c r="Z91" s="152" t="s">
        <v>219</v>
      </c>
      <c r="AA91" s="152"/>
      <c r="AB91" s="152"/>
      <c r="AC91" s="152"/>
      <c r="AD91" s="152"/>
      <c r="AE91" s="154"/>
      <c r="AF91" s="154"/>
      <c r="AG91" s="154"/>
      <c r="AH91" s="154"/>
      <c r="AI91" s="154"/>
      <c r="AJ91" s="152"/>
      <c r="AK91" s="152"/>
      <c r="AL91" s="152"/>
      <c r="AM91" s="57"/>
      <c r="AN91" s="57"/>
      <c r="AO91" s="57"/>
      <c r="AP91" s="57"/>
      <c r="AQ91" s="57"/>
      <c r="AR91" s="57"/>
      <c r="AS91" s="57"/>
      <c r="AT91" s="57"/>
      <c r="AU91" s="57"/>
      <c r="AV91" s="57"/>
      <c r="AW91" s="57"/>
      <c r="AX91" s="84" t="s">
        <v>319</v>
      </c>
      <c r="AY91" s="57" t="s">
        <v>209</v>
      </c>
      <c r="AZ91" s="59"/>
      <c r="BA91" s="34">
        <f>IF(BB91&amp;BC91&lt;&gt;"",MAX(BA$5:BA90)+1,"")</f>
        <v>32</v>
      </c>
      <c r="BB91" s="35" t="s">
        <v>210</v>
      </c>
      <c r="BC91" s="35"/>
      <c r="BD91" s="36"/>
      <c r="BE91" s="37"/>
      <c r="BF91" s="51"/>
      <c r="BG91" s="36"/>
      <c r="BH91" s="64"/>
      <c r="BI91" s="64"/>
      <c r="BJ91" s="64"/>
      <c r="BK91" s="64"/>
      <c r="BL91" s="64"/>
    </row>
    <row r="92" spans="1:64" s="56" customFormat="1" ht="14.25" customHeight="1" x14ac:dyDescent="0.15">
      <c r="A92" s="200"/>
      <c r="B92" s="202"/>
      <c r="C92" s="365" t="str">
        <f>IF(A92&lt;&gt;"",VLOOKUP(A92,項目仕様!$A$6:$L$129,3),"")</f>
        <v/>
      </c>
      <c r="D92" s="366"/>
      <c r="E92" s="366"/>
      <c r="F92" s="366"/>
      <c r="G92" s="366"/>
      <c r="H92" s="366"/>
      <c r="I92" s="366"/>
      <c r="J92" s="366"/>
      <c r="K92" s="367"/>
      <c r="L92" s="287"/>
      <c r="M92" s="288"/>
      <c r="N92" s="288"/>
      <c r="O92" s="288"/>
      <c r="P92" s="288"/>
      <c r="Q92" s="288"/>
      <c r="R92" s="288"/>
      <c r="S92" s="288"/>
      <c r="T92" s="289"/>
      <c r="U92" s="57"/>
      <c r="V92" s="163"/>
      <c r="W92" s="163" t="s">
        <v>167</v>
      </c>
      <c r="X92" s="164"/>
      <c r="Y92" s="164" t="s">
        <v>220</v>
      </c>
      <c r="Z92" s="152"/>
      <c r="AA92" s="152"/>
      <c r="AB92" s="152"/>
      <c r="AC92" s="152"/>
      <c r="AD92" s="152"/>
      <c r="AE92" s="154"/>
      <c r="AF92" s="154"/>
      <c r="AG92" s="154"/>
      <c r="AH92" s="154"/>
      <c r="AI92" s="154"/>
      <c r="AJ92" s="152"/>
      <c r="AK92" s="152"/>
      <c r="AL92" s="152"/>
      <c r="AM92" s="57"/>
      <c r="AN92" s="57"/>
      <c r="AO92" s="57"/>
      <c r="AP92" s="57"/>
      <c r="AQ92" s="57"/>
      <c r="AR92" s="57"/>
      <c r="AS92" s="57"/>
      <c r="AT92" s="57"/>
      <c r="AU92" s="57"/>
      <c r="AV92" s="57"/>
      <c r="AW92" s="57"/>
      <c r="AX92" s="57"/>
      <c r="AY92" s="57"/>
      <c r="AZ92" s="59"/>
      <c r="BA92" s="34" t="str">
        <f>IF(BB92&amp;BC92&lt;&gt;"",MAX(BA$5:BA91)+1,"")</f>
        <v/>
      </c>
      <c r="BB92" s="35"/>
      <c r="BC92" s="35"/>
      <c r="BD92" s="36"/>
      <c r="BE92" s="37"/>
      <c r="BF92" s="51"/>
      <c r="BG92" s="36"/>
      <c r="BH92" s="64"/>
      <c r="BI92" s="64"/>
      <c r="BJ92" s="64"/>
      <c r="BK92" s="64"/>
      <c r="BL92" s="64"/>
    </row>
    <row r="93" spans="1:64" s="56" customFormat="1" ht="14.25" customHeight="1" x14ac:dyDescent="0.15">
      <c r="A93" s="200"/>
      <c r="B93" s="202"/>
      <c r="C93" s="365" t="str">
        <f>IF(A93&lt;&gt;"",VLOOKUP(A93,項目仕様!$A$6:$L$129,3),"")</f>
        <v/>
      </c>
      <c r="D93" s="366"/>
      <c r="E93" s="366"/>
      <c r="F93" s="366"/>
      <c r="G93" s="366"/>
      <c r="H93" s="366"/>
      <c r="I93" s="366"/>
      <c r="J93" s="366"/>
      <c r="K93" s="367"/>
      <c r="L93" s="287"/>
      <c r="M93" s="288"/>
      <c r="N93" s="288"/>
      <c r="O93" s="288"/>
      <c r="P93" s="288"/>
      <c r="Q93" s="288"/>
      <c r="R93" s="288"/>
      <c r="S93" s="288"/>
      <c r="T93" s="289"/>
      <c r="U93" s="57"/>
      <c r="V93" s="57"/>
      <c r="W93" s="152"/>
      <c r="X93" s="152"/>
      <c r="Y93" s="152"/>
      <c r="Z93" s="152"/>
      <c r="AA93" s="152"/>
      <c r="AB93" s="152"/>
      <c r="AC93" s="152"/>
      <c r="AD93" s="152"/>
      <c r="AE93" s="154"/>
      <c r="AF93" s="154"/>
      <c r="AG93" s="154"/>
      <c r="AH93" s="154"/>
      <c r="AI93" s="154"/>
      <c r="AJ93" s="152"/>
      <c r="AK93" s="152"/>
      <c r="AL93" s="152"/>
      <c r="AM93" s="57"/>
      <c r="AN93" s="57"/>
      <c r="AO93" s="57"/>
      <c r="AP93" s="57"/>
      <c r="AQ93" s="57"/>
      <c r="AR93" s="57"/>
      <c r="AS93" s="57"/>
      <c r="AT93" s="57"/>
      <c r="AU93" s="57"/>
      <c r="AV93" s="57"/>
      <c r="AW93" s="57"/>
      <c r="AX93" s="57"/>
      <c r="AY93" s="57"/>
      <c r="AZ93" s="59"/>
      <c r="BA93" s="34" t="str">
        <f>IF(BB93&amp;BC93&lt;&gt;"",MAX(BA$5:BA92)+1,"")</f>
        <v/>
      </c>
      <c r="BB93" s="35"/>
      <c r="BC93" s="35"/>
      <c r="BD93" s="36"/>
      <c r="BE93" s="37"/>
      <c r="BF93" s="51"/>
      <c r="BG93" s="36"/>
      <c r="BH93" s="64"/>
      <c r="BI93" s="64"/>
      <c r="BJ93" s="64"/>
      <c r="BK93" s="64"/>
      <c r="BL93" s="64"/>
    </row>
    <row r="94" spans="1:64" s="56" customFormat="1" ht="14.25" customHeight="1" x14ac:dyDescent="0.15">
      <c r="A94" s="200"/>
      <c r="B94" s="202"/>
      <c r="C94" s="365" t="str">
        <f>IF(A94&lt;&gt;"",VLOOKUP(A94,項目仕様!$A$6:$L$129,3),"")</f>
        <v/>
      </c>
      <c r="D94" s="366"/>
      <c r="E94" s="366"/>
      <c r="F94" s="366"/>
      <c r="G94" s="366"/>
      <c r="H94" s="366"/>
      <c r="I94" s="366"/>
      <c r="J94" s="366"/>
      <c r="K94" s="367"/>
      <c r="L94" s="287"/>
      <c r="M94" s="288"/>
      <c r="N94" s="288"/>
      <c r="O94" s="288"/>
      <c r="P94" s="288"/>
      <c r="Q94" s="288"/>
      <c r="R94" s="288"/>
      <c r="S94" s="288"/>
      <c r="T94" s="289"/>
      <c r="U94" s="70"/>
      <c r="V94" s="146" t="s">
        <v>378</v>
      </c>
      <c r="W94" s="152"/>
      <c r="X94" s="152" t="s">
        <v>366</v>
      </c>
      <c r="Y94" s="152"/>
      <c r="Z94" s="152"/>
      <c r="AA94" s="152"/>
      <c r="AB94" s="152"/>
      <c r="AC94" s="152"/>
      <c r="AD94" s="152"/>
      <c r="AE94" s="154"/>
      <c r="AF94" s="154"/>
      <c r="AG94" s="154"/>
      <c r="AH94" s="154"/>
      <c r="AI94" s="154"/>
      <c r="AJ94" s="152"/>
      <c r="AK94" s="152"/>
      <c r="AL94" s="152"/>
      <c r="AM94" s="57"/>
      <c r="AN94" s="57"/>
      <c r="AO94" s="57"/>
      <c r="AP94" s="57"/>
      <c r="AQ94" s="57"/>
      <c r="AR94" s="57"/>
      <c r="AS94" s="57"/>
      <c r="AT94" s="57"/>
      <c r="AU94" s="57"/>
      <c r="AV94" s="57"/>
      <c r="AW94" s="57"/>
      <c r="AX94" s="57"/>
      <c r="AY94" s="57"/>
      <c r="AZ94" s="59"/>
      <c r="BA94" s="34" t="str">
        <f>IF(BB94&amp;BC94&lt;&gt;"",MAX(BA$5:BA93)+1,"")</f>
        <v/>
      </c>
      <c r="BB94" s="35"/>
      <c r="BC94" s="35"/>
      <c r="BD94" s="36"/>
      <c r="BE94" s="37"/>
      <c r="BF94" s="51"/>
      <c r="BG94" s="36"/>
      <c r="BH94" s="64"/>
      <c r="BI94" s="64"/>
      <c r="BJ94" s="64"/>
      <c r="BK94" s="64"/>
      <c r="BL94" s="64"/>
    </row>
    <row r="95" spans="1:64" s="56" customFormat="1" ht="14.25" customHeight="1" x14ac:dyDescent="0.15">
      <c r="A95" s="200"/>
      <c r="B95" s="202"/>
      <c r="C95" s="365" t="str">
        <f>IF(A95&lt;&gt;"",VLOOKUP(A95,項目仕様!$A$6:$L$129,3),"")</f>
        <v/>
      </c>
      <c r="D95" s="366"/>
      <c r="E95" s="366"/>
      <c r="F95" s="366"/>
      <c r="G95" s="366"/>
      <c r="H95" s="366"/>
      <c r="I95" s="366"/>
      <c r="J95" s="366"/>
      <c r="K95" s="367"/>
      <c r="L95" s="287"/>
      <c r="M95" s="288"/>
      <c r="N95" s="288"/>
      <c r="O95" s="288"/>
      <c r="P95" s="288"/>
      <c r="Q95" s="288"/>
      <c r="R95" s="288"/>
      <c r="S95" s="288"/>
      <c r="T95" s="289"/>
      <c r="U95" s="57"/>
      <c r="V95" s="70"/>
      <c r="W95" s="146" t="s">
        <v>387</v>
      </c>
      <c r="X95" s="152"/>
      <c r="Y95" s="152" t="s">
        <v>221</v>
      </c>
      <c r="Z95" s="152"/>
      <c r="AA95" s="152"/>
      <c r="AB95" s="152"/>
      <c r="AC95" s="152"/>
      <c r="AD95" s="152"/>
      <c r="AE95" s="154"/>
      <c r="AF95" s="154"/>
      <c r="AG95" s="154"/>
      <c r="AH95" s="154"/>
      <c r="AI95" s="154"/>
      <c r="AJ95" s="152"/>
      <c r="AK95" s="152"/>
      <c r="AL95" s="152"/>
      <c r="AM95" s="57"/>
      <c r="AN95" s="57"/>
      <c r="AO95" s="57"/>
      <c r="AP95" s="57"/>
      <c r="AQ95" s="57"/>
      <c r="AR95" s="57"/>
      <c r="AS95" s="57"/>
      <c r="AT95" s="57"/>
      <c r="AU95" s="57"/>
      <c r="AV95" s="57"/>
      <c r="AX95" s="84" t="s">
        <v>172</v>
      </c>
      <c r="AY95" s="57" t="s">
        <v>222</v>
      </c>
      <c r="AZ95" s="59"/>
      <c r="BA95" s="34">
        <f>IF(BB95&amp;BC95&lt;&gt;"",MAX(BA$5:BA94)+1,"")</f>
        <v>33</v>
      </c>
      <c r="BB95" s="35" t="s">
        <v>158</v>
      </c>
      <c r="BC95" s="35"/>
      <c r="BD95" s="36"/>
      <c r="BE95" s="37"/>
      <c r="BF95" s="51"/>
      <c r="BG95" s="36"/>
      <c r="BH95" s="64"/>
      <c r="BI95" s="64"/>
      <c r="BJ95" s="64"/>
      <c r="BK95" s="64"/>
      <c r="BL95" s="64"/>
    </row>
    <row r="96" spans="1:64" s="56" customFormat="1" ht="14.25" customHeight="1" x14ac:dyDescent="0.15">
      <c r="A96" s="200"/>
      <c r="B96" s="202"/>
      <c r="C96" s="365" t="str">
        <f>IF(A96&lt;&gt;"",VLOOKUP(A96,項目仕様!$A$6:$L$129,3),"")</f>
        <v/>
      </c>
      <c r="D96" s="366"/>
      <c r="E96" s="366"/>
      <c r="F96" s="366"/>
      <c r="G96" s="366"/>
      <c r="H96" s="366"/>
      <c r="I96" s="366"/>
      <c r="J96" s="366"/>
      <c r="K96" s="367"/>
      <c r="L96" s="287"/>
      <c r="M96" s="288"/>
      <c r="N96" s="288"/>
      <c r="O96" s="288"/>
      <c r="P96" s="288"/>
      <c r="Q96" s="288"/>
      <c r="R96" s="288"/>
      <c r="S96" s="288"/>
      <c r="T96" s="289"/>
      <c r="U96" s="57"/>
      <c r="V96" s="57"/>
      <c r="W96" s="152"/>
      <c r="X96" s="152"/>
      <c r="Y96" s="152"/>
      <c r="Z96" s="152" t="s">
        <v>223</v>
      </c>
      <c r="AA96" s="152"/>
      <c r="AB96" s="152"/>
      <c r="AC96" s="152"/>
      <c r="AD96" s="152"/>
      <c r="AE96" s="154"/>
      <c r="AF96" s="154"/>
      <c r="AG96" s="154"/>
      <c r="AH96" s="154"/>
      <c r="AI96" s="154"/>
      <c r="AJ96" s="152"/>
      <c r="AK96" s="152"/>
      <c r="AL96" s="152"/>
      <c r="AM96" s="57"/>
      <c r="AN96" s="57"/>
      <c r="AO96" s="57"/>
      <c r="AP96" s="57"/>
      <c r="AQ96" s="57"/>
      <c r="AR96" s="57"/>
      <c r="AS96" s="57"/>
      <c r="AT96" s="57"/>
      <c r="AU96" s="57"/>
      <c r="AV96" s="57"/>
      <c r="AW96" s="57"/>
      <c r="AX96" s="57"/>
      <c r="AY96" s="57"/>
      <c r="AZ96" s="59"/>
      <c r="BA96" s="34" t="str">
        <f>IF(BB96&amp;BC96&lt;&gt;"",MAX(BA$5:BA95)+1,"")</f>
        <v/>
      </c>
      <c r="BB96" s="35"/>
      <c r="BC96" s="35"/>
      <c r="BD96" s="36"/>
      <c r="BE96" s="37"/>
      <c r="BF96" s="51"/>
      <c r="BG96" s="36"/>
      <c r="BH96" s="64"/>
      <c r="BI96" s="64"/>
      <c r="BJ96" s="64"/>
      <c r="BK96" s="64"/>
      <c r="BL96" s="64"/>
    </row>
    <row r="97" spans="1:64" s="56" customFormat="1" ht="14.25" customHeight="1" x14ac:dyDescent="0.15">
      <c r="A97" s="200"/>
      <c r="B97" s="202"/>
      <c r="C97" s="365" t="str">
        <f>IF(A97&lt;&gt;"",VLOOKUP(A97,項目仕様!$A$6:$L$129,3),"")</f>
        <v/>
      </c>
      <c r="D97" s="366"/>
      <c r="E97" s="366"/>
      <c r="F97" s="366"/>
      <c r="G97" s="366"/>
      <c r="H97" s="366"/>
      <c r="I97" s="366"/>
      <c r="J97" s="366"/>
      <c r="K97" s="367"/>
      <c r="L97" s="287"/>
      <c r="M97" s="288"/>
      <c r="N97" s="288"/>
      <c r="O97" s="288"/>
      <c r="P97" s="288"/>
      <c r="Q97" s="288"/>
      <c r="R97" s="288"/>
      <c r="S97" s="288"/>
      <c r="T97" s="289"/>
      <c r="U97" s="57"/>
      <c r="V97" s="57"/>
      <c r="W97" s="152"/>
      <c r="X97" s="152"/>
      <c r="Y97" s="152"/>
      <c r="Z97" s="152"/>
      <c r="AA97" s="152"/>
      <c r="AB97" s="152"/>
      <c r="AC97" s="152"/>
      <c r="AD97" s="152"/>
      <c r="AE97" s="154"/>
      <c r="AF97" s="154"/>
      <c r="AG97" s="154"/>
      <c r="AH97" s="154"/>
      <c r="AI97" s="154"/>
      <c r="AJ97" s="152"/>
      <c r="AK97" s="152"/>
      <c r="AL97" s="152"/>
      <c r="AM97" s="57"/>
      <c r="AN97" s="57"/>
      <c r="AO97" s="57"/>
      <c r="AP97" s="57"/>
      <c r="AQ97" s="57"/>
      <c r="AR97" s="57"/>
      <c r="AS97" s="57"/>
      <c r="AT97" s="57"/>
      <c r="AU97" s="57"/>
      <c r="AV97" s="57"/>
      <c r="AW97" s="57"/>
      <c r="AX97" s="57"/>
      <c r="AY97" s="57"/>
      <c r="AZ97" s="59"/>
      <c r="BA97" s="34" t="str">
        <f>IF(BB97&amp;BC97&lt;&gt;"",MAX(BA$5:BA96)+1,"")</f>
        <v/>
      </c>
      <c r="BB97" s="35"/>
      <c r="BC97" s="35"/>
      <c r="BD97" s="36"/>
      <c r="BE97" s="37"/>
      <c r="BF97" s="51"/>
      <c r="BG97" s="36"/>
      <c r="BH97" s="64"/>
      <c r="BI97" s="64"/>
      <c r="BJ97" s="64"/>
      <c r="BK97" s="64"/>
      <c r="BL97" s="64"/>
    </row>
    <row r="98" spans="1:64" s="56" customFormat="1" ht="14.25" customHeight="1" x14ac:dyDescent="0.15">
      <c r="A98" s="200"/>
      <c r="B98" s="202"/>
      <c r="C98" s="365" t="str">
        <f>IF(A98&lt;&gt;"",VLOOKUP(A98,項目仕様!$A$6:$L$129,3),"")</f>
        <v/>
      </c>
      <c r="D98" s="366"/>
      <c r="E98" s="366"/>
      <c r="F98" s="366"/>
      <c r="G98" s="366"/>
      <c r="H98" s="366"/>
      <c r="I98" s="366"/>
      <c r="J98" s="366"/>
      <c r="K98" s="367"/>
      <c r="L98" s="287"/>
      <c r="M98" s="288"/>
      <c r="N98" s="288"/>
      <c r="O98" s="288"/>
      <c r="P98" s="288"/>
      <c r="Q98" s="288"/>
      <c r="R98" s="288"/>
      <c r="S98" s="288"/>
      <c r="T98" s="289"/>
      <c r="U98" s="57"/>
      <c r="V98" s="70"/>
      <c r="W98" s="146" t="s">
        <v>388</v>
      </c>
      <c r="X98" s="152"/>
      <c r="Y98" s="152" t="s">
        <v>224</v>
      </c>
      <c r="Z98" s="152"/>
      <c r="AA98" s="152"/>
      <c r="AB98" s="152"/>
      <c r="AC98" s="152"/>
      <c r="AD98" s="152"/>
      <c r="AE98" s="154"/>
      <c r="AF98" s="154"/>
      <c r="AG98" s="154"/>
      <c r="AH98" s="154"/>
      <c r="AI98" s="154"/>
      <c r="AJ98" s="152"/>
      <c r="AK98" s="152"/>
      <c r="AL98" s="152"/>
      <c r="AM98" s="57"/>
      <c r="AN98" s="57"/>
      <c r="AO98" s="57"/>
      <c r="AP98" s="57"/>
      <c r="AQ98" s="57"/>
      <c r="AR98" s="57"/>
      <c r="AS98" s="57"/>
      <c r="AT98" s="57"/>
      <c r="AU98" s="57"/>
      <c r="AV98" s="57"/>
      <c r="AW98" s="57"/>
      <c r="AX98" s="57"/>
      <c r="AY98" s="57"/>
      <c r="AZ98" s="59"/>
      <c r="BA98" s="34" t="str">
        <f>IF(BB98&amp;BC98&lt;&gt;"",MAX(BA$5:BA97)+1,"")</f>
        <v/>
      </c>
      <c r="BB98" s="35"/>
      <c r="BC98" s="35"/>
      <c r="BD98" s="36"/>
      <c r="BE98" s="37"/>
      <c r="BF98" s="51"/>
      <c r="BG98" s="36"/>
      <c r="BH98" s="64"/>
      <c r="BI98" s="64"/>
      <c r="BJ98" s="64"/>
      <c r="BK98" s="64"/>
      <c r="BL98" s="64"/>
    </row>
    <row r="99" spans="1:64" s="56" customFormat="1" ht="14.25" customHeight="1" x14ac:dyDescent="0.15">
      <c r="A99" s="200"/>
      <c r="B99" s="202"/>
      <c r="C99" s="365" t="str">
        <f>IF(A99&lt;&gt;"",VLOOKUP(A99,項目仕様!$A$6:$L$129,3),"")</f>
        <v/>
      </c>
      <c r="D99" s="366"/>
      <c r="E99" s="366"/>
      <c r="F99" s="366"/>
      <c r="G99" s="366"/>
      <c r="H99" s="366"/>
      <c r="I99" s="366"/>
      <c r="J99" s="366"/>
      <c r="K99" s="367"/>
      <c r="L99" s="287"/>
      <c r="M99" s="288"/>
      <c r="N99" s="288"/>
      <c r="O99" s="288"/>
      <c r="P99" s="288"/>
      <c r="Q99" s="288"/>
      <c r="R99" s="288"/>
      <c r="S99" s="288"/>
      <c r="T99" s="289"/>
      <c r="U99" s="57"/>
      <c r="V99" s="57"/>
      <c r="W99" s="152"/>
      <c r="X99" s="146" t="s">
        <v>389</v>
      </c>
      <c r="Y99" s="152"/>
      <c r="Z99" s="152" t="s">
        <v>207</v>
      </c>
      <c r="AA99" s="152"/>
      <c r="AB99" s="152"/>
      <c r="AC99" s="152"/>
      <c r="AD99" s="152"/>
      <c r="AE99" s="152"/>
      <c r="AF99" s="154"/>
      <c r="AG99" s="154"/>
      <c r="AH99" s="154"/>
      <c r="AI99" s="154"/>
      <c r="AJ99" s="154"/>
      <c r="AK99" s="152"/>
      <c r="AL99" s="152"/>
      <c r="AM99" s="57"/>
      <c r="AN99" s="57"/>
      <c r="AO99" s="57"/>
      <c r="AP99" s="57"/>
      <c r="AQ99" s="57"/>
      <c r="AR99" s="57"/>
      <c r="AS99" s="57"/>
      <c r="AT99" s="57"/>
      <c r="AU99" s="57"/>
      <c r="AV99" s="57"/>
      <c r="AW99" s="57"/>
      <c r="AX99" s="57"/>
      <c r="AY99" s="57"/>
      <c r="AZ99" s="59"/>
      <c r="BA99" s="34" t="str">
        <f>IF(BB99&amp;BC99&lt;&gt;"",MAX(BA$5:BA98)+1,"")</f>
        <v/>
      </c>
      <c r="BB99" s="35"/>
      <c r="BC99" s="35"/>
      <c r="BD99" s="36"/>
      <c r="BE99" s="37"/>
      <c r="BF99" s="51"/>
      <c r="BG99" s="36"/>
      <c r="BH99" s="64"/>
      <c r="BI99" s="64"/>
      <c r="BJ99" s="64"/>
      <c r="BK99" s="64"/>
      <c r="BL99" s="64"/>
    </row>
    <row r="100" spans="1:64" s="56" customFormat="1" ht="14.25" customHeight="1" x14ac:dyDescent="0.15">
      <c r="A100" s="200"/>
      <c r="B100" s="202"/>
      <c r="C100" s="365" t="str">
        <f>IF(A100&lt;&gt;"",VLOOKUP(A100,項目仕様!$A$6:$L$129,3),"")</f>
        <v/>
      </c>
      <c r="D100" s="366"/>
      <c r="E100" s="366"/>
      <c r="F100" s="366"/>
      <c r="G100" s="366"/>
      <c r="H100" s="366"/>
      <c r="I100" s="366"/>
      <c r="J100" s="366"/>
      <c r="K100" s="367"/>
      <c r="L100" s="287"/>
      <c r="M100" s="288"/>
      <c r="N100" s="288"/>
      <c r="O100" s="288"/>
      <c r="P100" s="288"/>
      <c r="Q100" s="288"/>
      <c r="R100" s="288"/>
      <c r="S100" s="288"/>
      <c r="T100" s="289"/>
      <c r="U100" s="57"/>
      <c r="V100" s="57"/>
      <c r="W100" s="152"/>
      <c r="X100" s="152"/>
      <c r="Y100" s="152"/>
      <c r="Z100" s="152"/>
      <c r="AA100" s="152" t="s">
        <v>226</v>
      </c>
      <c r="AB100" s="152"/>
      <c r="AC100" s="152"/>
      <c r="AD100" s="152"/>
      <c r="AE100" s="152"/>
      <c r="AF100" s="154"/>
      <c r="AG100" s="154"/>
      <c r="AH100" s="154"/>
      <c r="AI100" s="154"/>
      <c r="AJ100" s="154"/>
      <c r="AK100" s="152"/>
      <c r="AL100" s="152"/>
      <c r="AM100" s="57"/>
      <c r="AN100" s="57"/>
      <c r="AP100" s="57"/>
      <c r="AQ100" s="57"/>
      <c r="AR100" s="57"/>
      <c r="AS100" s="57"/>
      <c r="AT100" s="57"/>
      <c r="AU100" s="57"/>
      <c r="AV100" s="57"/>
      <c r="AW100" s="57"/>
      <c r="AX100" s="84" t="s">
        <v>319</v>
      </c>
      <c r="AY100" s="57" t="s">
        <v>227</v>
      </c>
      <c r="AZ100" s="59"/>
      <c r="BA100" s="34">
        <f>IF(BB100&amp;BC100&lt;&gt;"",MAX(BA$5:BA99)+1,"")</f>
        <v>34</v>
      </c>
      <c r="BB100" s="35" t="s">
        <v>210</v>
      </c>
      <c r="BC100" s="35"/>
      <c r="BD100" s="36"/>
      <c r="BE100" s="37"/>
      <c r="BF100" s="51"/>
      <c r="BG100" s="36"/>
      <c r="BH100" s="64"/>
      <c r="BI100" s="64"/>
      <c r="BJ100" s="64"/>
      <c r="BK100" s="64"/>
      <c r="BL100" s="64"/>
    </row>
    <row r="101" spans="1:64" s="56" customFormat="1" ht="14.25" customHeight="1" x14ac:dyDescent="0.15">
      <c r="A101" s="200"/>
      <c r="B101" s="202"/>
      <c r="C101" s="365" t="str">
        <f>IF(A101&lt;&gt;"",VLOOKUP(A101,項目仕様!$A$6:$L$129,3),"")</f>
        <v/>
      </c>
      <c r="D101" s="366"/>
      <c r="E101" s="366"/>
      <c r="F101" s="366"/>
      <c r="G101" s="366"/>
      <c r="H101" s="366"/>
      <c r="I101" s="366"/>
      <c r="J101" s="366"/>
      <c r="K101" s="367"/>
      <c r="L101" s="287"/>
      <c r="M101" s="288"/>
      <c r="N101" s="288"/>
      <c r="O101" s="288"/>
      <c r="P101" s="288"/>
      <c r="Q101" s="288"/>
      <c r="R101" s="288"/>
      <c r="S101" s="288"/>
      <c r="T101" s="289"/>
      <c r="U101" s="57"/>
      <c r="V101" s="57"/>
      <c r="W101" s="152"/>
      <c r="X101" s="163" t="s">
        <v>228</v>
      </c>
      <c r="Y101" s="164"/>
      <c r="Z101" s="164" t="s">
        <v>220</v>
      </c>
      <c r="AA101" s="152"/>
      <c r="AB101" s="152"/>
      <c r="AC101" s="152"/>
      <c r="AD101" s="152"/>
      <c r="AE101" s="154"/>
      <c r="AF101" s="154"/>
      <c r="AG101" s="154"/>
      <c r="AH101" s="154"/>
      <c r="AI101" s="154"/>
      <c r="AJ101" s="152"/>
      <c r="AK101" s="152"/>
      <c r="AL101" s="152"/>
      <c r="AM101" s="57"/>
      <c r="AN101" s="57"/>
      <c r="AO101" s="57"/>
      <c r="AP101" s="57"/>
      <c r="AQ101" s="57"/>
      <c r="AR101" s="57"/>
      <c r="AS101" s="57"/>
      <c r="AT101" s="57"/>
      <c r="AU101" s="57"/>
      <c r="AV101" s="57"/>
      <c r="AW101" s="57"/>
      <c r="AX101" s="57"/>
      <c r="AY101" s="57"/>
      <c r="AZ101" s="59"/>
      <c r="BA101" s="34" t="str">
        <f>IF(BB101&amp;BC101&lt;&gt;"",MAX(BA$5:BA100)+1,"")</f>
        <v/>
      </c>
      <c r="BB101" s="35"/>
      <c r="BC101" s="35"/>
      <c r="BD101" s="36"/>
      <c r="BE101" s="37"/>
      <c r="BF101" s="51"/>
      <c r="BG101" s="36"/>
      <c r="BH101" s="64"/>
      <c r="BI101" s="64"/>
      <c r="BJ101" s="64"/>
      <c r="BK101" s="64"/>
      <c r="BL101" s="64"/>
    </row>
    <row r="102" spans="1:64" s="56" customFormat="1" ht="14.25" customHeight="1" x14ac:dyDescent="0.15">
      <c r="A102" s="200"/>
      <c r="B102" s="202"/>
      <c r="C102" s="365" t="str">
        <f>IF(A102&lt;&gt;"",VLOOKUP(A102,項目仕様!$A$6:$L$129,3),"")</f>
        <v/>
      </c>
      <c r="D102" s="366"/>
      <c r="E102" s="366"/>
      <c r="F102" s="366"/>
      <c r="G102" s="366"/>
      <c r="H102" s="366"/>
      <c r="I102" s="366"/>
      <c r="J102" s="366"/>
      <c r="K102" s="367"/>
      <c r="L102" s="287"/>
      <c r="M102" s="288"/>
      <c r="N102" s="288"/>
      <c r="O102" s="288"/>
      <c r="P102" s="288"/>
      <c r="Q102" s="288"/>
      <c r="R102" s="288"/>
      <c r="S102" s="288"/>
      <c r="T102" s="289"/>
      <c r="U102" s="57"/>
      <c r="V102" s="57"/>
      <c r="W102" s="152"/>
      <c r="X102" s="152"/>
      <c r="Y102" s="152"/>
      <c r="Z102" s="152"/>
      <c r="AA102" s="152"/>
      <c r="AB102" s="152"/>
      <c r="AC102" s="152"/>
      <c r="AD102" s="152"/>
      <c r="AE102" s="154"/>
      <c r="AF102" s="154"/>
      <c r="AG102" s="154"/>
      <c r="AH102" s="154"/>
      <c r="AI102" s="154"/>
      <c r="AJ102" s="152"/>
      <c r="AK102" s="152"/>
      <c r="AL102" s="152"/>
      <c r="AM102" s="57"/>
      <c r="AN102" s="57"/>
      <c r="AO102" s="57"/>
      <c r="AP102" s="57"/>
      <c r="AQ102" s="57"/>
      <c r="AR102" s="57"/>
      <c r="AS102" s="57"/>
      <c r="AT102" s="57"/>
      <c r="AU102" s="57"/>
      <c r="AV102" s="57"/>
      <c r="AW102" s="57"/>
      <c r="AX102" s="57"/>
      <c r="AY102" s="57"/>
      <c r="AZ102" s="59"/>
      <c r="BA102" s="34" t="str">
        <f>IF(BB102&amp;BC102&lt;&gt;"",MAX(BA$5:BA101)+1,"")</f>
        <v/>
      </c>
      <c r="BB102" s="35"/>
      <c r="BC102" s="35"/>
      <c r="BD102" s="36"/>
      <c r="BE102" s="37"/>
      <c r="BF102" s="51"/>
      <c r="BG102" s="36"/>
      <c r="BH102" s="64"/>
      <c r="BI102" s="64"/>
      <c r="BJ102" s="64"/>
      <c r="BK102" s="64"/>
      <c r="BL102" s="64"/>
    </row>
    <row r="103" spans="1:64" s="56" customFormat="1" ht="14.25" customHeight="1" x14ac:dyDescent="0.15">
      <c r="A103" s="200"/>
      <c r="B103" s="202"/>
      <c r="C103" s="365" t="str">
        <f>IF(A103&lt;&gt;"",VLOOKUP(A103,項目仕様!$A$6:$L$129,3),"")</f>
        <v/>
      </c>
      <c r="D103" s="366"/>
      <c r="E103" s="366"/>
      <c r="F103" s="366"/>
      <c r="G103" s="366"/>
      <c r="H103" s="366"/>
      <c r="I103" s="366"/>
      <c r="J103" s="366"/>
      <c r="K103" s="367"/>
      <c r="L103" s="287"/>
      <c r="M103" s="288"/>
      <c r="N103" s="288"/>
      <c r="O103" s="288"/>
      <c r="P103" s="288"/>
      <c r="Q103" s="288"/>
      <c r="R103" s="288"/>
      <c r="S103" s="288"/>
      <c r="T103" s="289"/>
      <c r="U103" s="70"/>
      <c r="V103" s="146" t="s">
        <v>379</v>
      </c>
      <c r="W103" s="152"/>
      <c r="X103" s="152" t="s">
        <v>229</v>
      </c>
      <c r="Y103" s="152"/>
      <c r="Z103" s="152"/>
      <c r="AA103" s="152"/>
      <c r="AB103" s="152"/>
      <c r="AC103" s="152"/>
      <c r="AD103" s="152"/>
      <c r="AE103" s="154"/>
      <c r="AF103" s="154"/>
      <c r="AG103" s="154"/>
      <c r="AH103" s="154"/>
      <c r="AI103" s="154"/>
      <c r="AJ103" s="152"/>
      <c r="AK103" s="152"/>
      <c r="AL103" s="152"/>
      <c r="AM103" s="57"/>
      <c r="AN103" s="57"/>
      <c r="AO103" s="57"/>
      <c r="AP103" s="57"/>
      <c r="AQ103" s="57"/>
      <c r="AR103" s="57"/>
      <c r="AS103" s="57"/>
      <c r="AT103" s="57"/>
      <c r="AU103" s="57"/>
      <c r="AV103" s="57"/>
      <c r="AW103" s="57"/>
      <c r="AX103" s="57"/>
      <c r="AY103" s="57"/>
      <c r="AZ103" s="59"/>
      <c r="BA103" s="34" t="str">
        <f>IF(BB103&amp;BC103&lt;&gt;"",MAX(BA$5:BA102)+1,"")</f>
        <v/>
      </c>
      <c r="BB103" s="35"/>
      <c r="BC103" s="35"/>
      <c r="BD103" s="36"/>
      <c r="BE103" s="37"/>
      <c r="BF103" s="51"/>
      <c r="BG103" s="36"/>
      <c r="BH103" s="64"/>
      <c r="BI103" s="64"/>
      <c r="BJ103" s="64"/>
      <c r="BK103" s="64"/>
      <c r="BL103" s="64"/>
    </row>
    <row r="104" spans="1:64" s="56" customFormat="1" ht="14.25" customHeight="1" x14ac:dyDescent="0.15">
      <c r="A104" s="200"/>
      <c r="B104" s="202"/>
      <c r="C104" s="365" t="str">
        <f>IF(A104&lt;&gt;"",VLOOKUP(A104,項目仕様!$A$6:$L$129,3),"")</f>
        <v/>
      </c>
      <c r="D104" s="366"/>
      <c r="E104" s="366"/>
      <c r="F104" s="366"/>
      <c r="G104" s="366"/>
      <c r="H104" s="366"/>
      <c r="I104" s="366"/>
      <c r="J104" s="366"/>
      <c r="K104" s="367"/>
      <c r="L104" s="287"/>
      <c r="M104" s="288"/>
      <c r="N104" s="288"/>
      <c r="O104" s="288"/>
      <c r="P104" s="288"/>
      <c r="Q104" s="288"/>
      <c r="R104" s="288"/>
      <c r="S104" s="288"/>
      <c r="T104" s="289"/>
      <c r="U104" s="57"/>
      <c r="V104" s="70"/>
      <c r="W104" s="146" t="s">
        <v>390</v>
      </c>
      <c r="X104" s="152"/>
      <c r="Y104" s="152" t="s">
        <v>207</v>
      </c>
      <c r="Z104" s="152"/>
      <c r="AA104" s="152"/>
      <c r="AB104" s="152"/>
      <c r="AC104" s="152"/>
      <c r="AD104" s="152"/>
      <c r="AE104" s="154"/>
      <c r="AF104" s="154"/>
      <c r="AG104" s="154"/>
      <c r="AH104" s="154"/>
      <c r="AI104" s="154"/>
      <c r="AJ104" s="152"/>
      <c r="AK104" s="152"/>
      <c r="AL104" s="152"/>
      <c r="AM104" s="57"/>
      <c r="AN104" s="57"/>
      <c r="AO104" s="57"/>
      <c r="AP104" s="57"/>
      <c r="AQ104" s="57"/>
      <c r="AR104" s="57"/>
      <c r="AS104" s="57"/>
      <c r="AT104" s="57"/>
      <c r="AU104" s="57"/>
      <c r="AV104" s="57"/>
      <c r="AW104" s="57"/>
      <c r="AX104" s="57"/>
      <c r="AY104" s="57"/>
      <c r="AZ104" s="59"/>
      <c r="BA104" s="34" t="str">
        <f>IF(BB104&amp;BC104&lt;&gt;"",MAX(BA$5:BA103)+1,"")</f>
        <v/>
      </c>
      <c r="BB104" s="35"/>
      <c r="BC104" s="35"/>
      <c r="BD104" s="36"/>
      <c r="BE104" s="37"/>
      <c r="BF104" s="51"/>
      <c r="BG104" s="36"/>
      <c r="BH104" s="64"/>
      <c r="BI104" s="64"/>
      <c r="BJ104" s="64"/>
      <c r="BK104" s="64"/>
      <c r="BL104" s="64"/>
    </row>
    <row r="105" spans="1:64" s="56" customFormat="1" ht="14.25" customHeight="1" x14ac:dyDescent="0.15">
      <c r="A105" s="200"/>
      <c r="B105" s="202"/>
      <c r="C105" s="365" t="str">
        <f>IF(A105&lt;&gt;"",VLOOKUP(A105,項目仕様!$A$6:$L$129,3),"")</f>
        <v/>
      </c>
      <c r="D105" s="366"/>
      <c r="E105" s="366"/>
      <c r="F105" s="366"/>
      <c r="G105" s="366"/>
      <c r="H105" s="366"/>
      <c r="I105" s="366"/>
      <c r="J105" s="366"/>
      <c r="K105" s="367"/>
      <c r="L105" s="287"/>
      <c r="M105" s="288"/>
      <c r="N105" s="288"/>
      <c r="O105" s="288"/>
      <c r="P105" s="288"/>
      <c r="Q105" s="288"/>
      <c r="R105" s="288"/>
      <c r="S105" s="288"/>
      <c r="T105" s="289"/>
      <c r="U105" s="57"/>
      <c r="V105" s="57"/>
      <c r="W105" s="152"/>
      <c r="X105" s="152"/>
      <c r="Y105" s="152"/>
      <c r="Z105" s="152" t="s">
        <v>230</v>
      </c>
      <c r="AA105" s="152"/>
      <c r="AB105" s="152"/>
      <c r="AC105" s="152"/>
      <c r="AD105" s="152"/>
      <c r="AE105" s="154"/>
      <c r="AF105" s="154"/>
      <c r="AG105" s="154"/>
      <c r="AH105" s="154"/>
      <c r="AI105" s="154"/>
      <c r="AJ105" s="152"/>
      <c r="AK105" s="152"/>
      <c r="AL105" s="152"/>
      <c r="AM105" s="57"/>
      <c r="AN105" s="57"/>
      <c r="AO105" s="57"/>
      <c r="AP105" s="57"/>
      <c r="AQ105" s="57"/>
      <c r="AR105" s="57"/>
      <c r="AS105" s="57"/>
      <c r="AT105" s="57"/>
      <c r="AU105" s="57"/>
      <c r="AV105" s="57"/>
      <c r="AW105" s="57"/>
      <c r="AX105" s="84" t="s">
        <v>319</v>
      </c>
      <c r="AY105" s="57" t="s">
        <v>320</v>
      </c>
      <c r="AZ105" s="59"/>
      <c r="BA105" s="34">
        <f>IF(BB105&amp;BC105&lt;&gt;"",MAX(BA$5:BA104)+1,"")</f>
        <v>35</v>
      </c>
      <c r="BB105" s="35" t="s">
        <v>210</v>
      </c>
      <c r="BC105" s="35"/>
      <c r="BD105" s="36"/>
      <c r="BE105" s="37"/>
      <c r="BF105" s="51"/>
      <c r="BG105" s="36"/>
      <c r="BH105" s="64"/>
      <c r="BI105" s="64"/>
      <c r="BJ105" s="64"/>
      <c r="BK105" s="64"/>
      <c r="BL105" s="64"/>
    </row>
    <row r="106" spans="1:64" s="56" customFormat="1" ht="14.25" customHeight="1" x14ac:dyDescent="0.15">
      <c r="A106" s="200"/>
      <c r="B106" s="202"/>
      <c r="C106" s="365" t="str">
        <f>IF(A106&lt;&gt;"",VLOOKUP(A106,項目仕様!$A$6:$L$129,3),"")</f>
        <v/>
      </c>
      <c r="D106" s="366"/>
      <c r="E106" s="366"/>
      <c r="F106" s="366"/>
      <c r="G106" s="366"/>
      <c r="H106" s="366"/>
      <c r="I106" s="366"/>
      <c r="J106" s="366"/>
      <c r="K106" s="367"/>
      <c r="L106" s="287"/>
      <c r="M106" s="288"/>
      <c r="N106" s="288"/>
      <c r="O106" s="288"/>
      <c r="P106" s="288"/>
      <c r="Q106" s="288"/>
      <c r="R106" s="288"/>
      <c r="S106" s="288"/>
      <c r="T106" s="289"/>
      <c r="U106" s="57"/>
      <c r="V106" s="163"/>
      <c r="W106" s="163" t="s">
        <v>167</v>
      </c>
      <c r="X106" s="164"/>
      <c r="Y106" s="164" t="s">
        <v>231</v>
      </c>
      <c r="Z106" s="152"/>
      <c r="AA106" s="152"/>
      <c r="AB106" s="152"/>
      <c r="AC106" s="152"/>
      <c r="AD106" s="152"/>
      <c r="AE106" s="154"/>
      <c r="AF106" s="154"/>
      <c r="AG106" s="154"/>
      <c r="AH106" s="154"/>
      <c r="AI106" s="154"/>
      <c r="AJ106" s="152"/>
      <c r="AK106" s="152"/>
      <c r="AL106" s="152"/>
      <c r="AM106" s="57"/>
      <c r="AN106" s="57"/>
      <c r="AO106" s="57"/>
      <c r="AP106" s="57"/>
      <c r="AQ106" s="57"/>
      <c r="AR106" s="57"/>
      <c r="AS106" s="57"/>
      <c r="AT106" s="57"/>
      <c r="AU106" s="57"/>
      <c r="AV106" s="57"/>
      <c r="AW106" s="57"/>
      <c r="AX106" s="57"/>
      <c r="AY106" s="57"/>
      <c r="AZ106" s="59"/>
      <c r="BA106" s="34" t="str">
        <f>IF(BB106&amp;BC106&lt;&gt;"",MAX(BA$5:BA105)+1,"")</f>
        <v/>
      </c>
      <c r="BB106" s="35"/>
      <c r="BC106" s="35"/>
      <c r="BD106" s="36"/>
      <c r="BE106" s="37"/>
      <c r="BF106" s="51"/>
      <c r="BG106" s="36"/>
      <c r="BH106" s="64"/>
      <c r="BI106" s="64"/>
      <c r="BJ106" s="64"/>
      <c r="BK106" s="64"/>
      <c r="BL106" s="64"/>
    </row>
    <row r="107" spans="1:64" s="56" customFormat="1" ht="14.25" customHeight="1" x14ac:dyDescent="0.15">
      <c r="A107" s="200"/>
      <c r="B107" s="202"/>
      <c r="C107" s="365" t="str">
        <f>IF(A107&lt;&gt;"",VLOOKUP(A107,項目仕様!$A$6:$L$129,3),"")</f>
        <v/>
      </c>
      <c r="D107" s="366"/>
      <c r="E107" s="366"/>
      <c r="F107" s="366"/>
      <c r="G107" s="366"/>
      <c r="H107" s="366"/>
      <c r="I107" s="366"/>
      <c r="J107" s="366"/>
      <c r="K107" s="367"/>
      <c r="L107" s="287"/>
      <c r="M107" s="288"/>
      <c r="N107" s="288"/>
      <c r="O107" s="288"/>
      <c r="P107" s="288"/>
      <c r="Q107" s="288"/>
      <c r="R107" s="288"/>
      <c r="S107" s="288"/>
      <c r="T107" s="289"/>
      <c r="U107" s="57"/>
      <c r="V107" s="57"/>
      <c r="W107" s="152"/>
      <c r="X107" s="152"/>
      <c r="Y107" s="152"/>
      <c r="Z107" s="152"/>
      <c r="AA107" s="152"/>
      <c r="AB107" s="152"/>
      <c r="AC107" s="152"/>
      <c r="AD107" s="152"/>
      <c r="AE107" s="154"/>
      <c r="AF107" s="154"/>
      <c r="AG107" s="154"/>
      <c r="AH107" s="154"/>
      <c r="AI107" s="154"/>
      <c r="AJ107" s="152"/>
      <c r="AK107" s="152"/>
      <c r="AL107" s="152"/>
      <c r="AM107" s="57"/>
      <c r="AN107" s="57"/>
      <c r="AO107" s="57"/>
      <c r="AP107" s="57"/>
      <c r="AQ107" s="57"/>
      <c r="AR107" s="57"/>
      <c r="AS107" s="57"/>
      <c r="AT107" s="57"/>
      <c r="AU107" s="57"/>
      <c r="AV107" s="57"/>
      <c r="AW107" s="57"/>
      <c r="AX107" s="57"/>
      <c r="AY107" s="57"/>
      <c r="AZ107" s="59"/>
      <c r="BA107" s="34" t="str">
        <f>IF(BB107&amp;BC107&lt;&gt;"",MAX(BA$5:BA106)+1,"")</f>
        <v/>
      </c>
      <c r="BB107" s="35"/>
      <c r="BC107" s="35"/>
      <c r="BD107" s="36"/>
      <c r="BE107" s="37"/>
      <c r="BF107" s="51"/>
      <c r="BG107" s="36"/>
      <c r="BH107" s="64"/>
      <c r="BI107" s="64"/>
      <c r="BJ107" s="64"/>
      <c r="BK107" s="64"/>
      <c r="BL107" s="64"/>
    </row>
    <row r="108" spans="1:64" s="56" customFormat="1" ht="14.25" customHeight="1" x14ac:dyDescent="0.15">
      <c r="A108" s="200"/>
      <c r="B108" s="202"/>
      <c r="C108" s="365" t="str">
        <f>IF(A108&lt;&gt;"",VLOOKUP(A108,項目仕様!$A$6:$L$129,3),"")</f>
        <v/>
      </c>
      <c r="D108" s="366"/>
      <c r="E108" s="366"/>
      <c r="F108" s="366"/>
      <c r="G108" s="366"/>
      <c r="H108" s="366"/>
      <c r="I108" s="366"/>
      <c r="J108" s="366"/>
      <c r="K108" s="367"/>
      <c r="L108" s="287"/>
      <c r="M108" s="288"/>
      <c r="N108" s="288"/>
      <c r="O108" s="288"/>
      <c r="P108" s="288"/>
      <c r="Q108" s="288"/>
      <c r="R108" s="288"/>
      <c r="S108" s="288"/>
      <c r="T108" s="289"/>
      <c r="U108" s="70"/>
      <c r="V108" s="146" t="s">
        <v>380</v>
      </c>
      <c r="W108" s="152"/>
      <c r="X108" s="152" t="s">
        <v>232</v>
      </c>
      <c r="Y108" s="152"/>
      <c r="Z108" s="152"/>
      <c r="AA108" s="152"/>
      <c r="AB108" s="152"/>
      <c r="AC108" s="152"/>
      <c r="AD108" s="152"/>
      <c r="AE108" s="154"/>
      <c r="AF108" s="154"/>
      <c r="AG108" s="154"/>
      <c r="AH108" s="154"/>
      <c r="AI108" s="154"/>
      <c r="AJ108" s="152"/>
      <c r="AK108" s="152"/>
      <c r="AL108" s="152"/>
      <c r="AM108" s="57"/>
      <c r="AN108" s="57"/>
      <c r="AO108" s="57"/>
      <c r="AP108" s="57"/>
      <c r="AQ108" s="57"/>
      <c r="AR108" s="57"/>
      <c r="AS108" s="57"/>
      <c r="AT108" s="57"/>
      <c r="AU108" s="57"/>
      <c r="AV108" s="57"/>
      <c r="AW108" s="57"/>
      <c r="AX108" s="57"/>
      <c r="AY108" s="57"/>
      <c r="AZ108" s="59"/>
      <c r="BA108" s="34" t="str">
        <f>IF(BB108&amp;BC108&lt;&gt;"",MAX(BA$5:BA107)+1,"")</f>
        <v/>
      </c>
      <c r="BB108" s="35"/>
      <c r="BC108" s="35"/>
      <c r="BD108" s="36"/>
      <c r="BE108" s="37"/>
      <c r="BF108" s="51"/>
      <c r="BG108" s="36"/>
      <c r="BH108" s="64"/>
      <c r="BI108" s="64"/>
      <c r="BJ108" s="64"/>
      <c r="BK108" s="64"/>
      <c r="BL108" s="64"/>
    </row>
    <row r="109" spans="1:64" s="56" customFormat="1" ht="14.25" customHeight="1" x14ac:dyDescent="0.15">
      <c r="A109" s="200"/>
      <c r="B109" s="202"/>
      <c r="C109" s="365" t="str">
        <f>IF(A109&lt;&gt;"",VLOOKUP(A109,項目仕様!$A$6:$L$129,3),"")</f>
        <v/>
      </c>
      <c r="D109" s="366"/>
      <c r="E109" s="366"/>
      <c r="F109" s="366"/>
      <c r="G109" s="366"/>
      <c r="H109" s="366"/>
      <c r="I109" s="366"/>
      <c r="J109" s="366"/>
      <c r="K109" s="367"/>
      <c r="L109" s="287"/>
      <c r="M109" s="288"/>
      <c r="N109" s="288"/>
      <c r="O109" s="288"/>
      <c r="P109" s="288"/>
      <c r="Q109" s="288"/>
      <c r="R109" s="288"/>
      <c r="S109" s="288"/>
      <c r="T109" s="289"/>
      <c r="U109" s="57"/>
      <c r="V109" s="70"/>
      <c r="W109" s="146" t="s">
        <v>391</v>
      </c>
      <c r="X109" s="152"/>
      <c r="Y109" s="152" t="s">
        <v>207</v>
      </c>
      <c r="Z109" s="152"/>
      <c r="AA109" s="152"/>
      <c r="AB109" s="152"/>
      <c r="AC109" s="152"/>
      <c r="AD109" s="152"/>
      <c r="AE109" s="154"/>
      <c r="AF109" s="154"/>
      <c r="AG109" s="154"/>
      <c r="AH109" s="154"/>
      <c r="AI109" s="154"/>
      <c r="AJ109" s="152"/>
      <c r="AK109" s="152"/>
      <c r="AL109" s="152"/>
      <c r="AM109" s="57"/>
      <c r="AN109" s="57"/>
      <c r="AO109" s="57"/>
      <c r="AP109" s="57"/>
      <c r="AQ109" s="57"/>
      <c r="AR109" s="57"/>
      <c r="AS109" s="57"/>
      <c r="AT109" s="57"/>
      <c r="AU109" s="57"/>
      <c r="AV109" s="57"/>
      <c r="AW109" s="57"/>
      <c r="AX109" s="57"/>
      <c r="AY109" s="57"/>
      <c r="AZ109" s="59"/>
      <c r="BA109" s="34" t="str">
        <f>IF(BB109&amp;BC109&lt;&gt;"",MAX(BA$5:BA108)+1,"")</f>
        <v/>
      </c>
      <c r="BB109" s="35"/>
      <c r="BC109" s="35"/>
      <c r="BD109" s="36"/>
      <c r="BE109" s="37"/>
      <c r="BF109" s="51"/>
      <c r="BG109" s="36"/>
      <c r="BH109" s="64"/>
      <c r="BI109" s="64"/>
      <c r="BJ109" s="64"/>
      <c r="BK109" s="64"/>
      <c r="BL109" s="64"/>
    </row>
    <row r="110" spans="1:64" s="56" customFormat="1" ht="14.25" customHeight="1" x14ac:dyDescent="0.15">
      <c r="A110" s="200"/>
      <c r="B110" s="202"/>
      <c r="C110" s="365" t="str">
        <f>IF(A110&lt;&gt;"",VLOOKUP(A110,項目仕様!$A$6:$L$129,3),"")</f>
        <v/>
      </c>
      <c r="D110" s="366"/>
      <c r="E110" s="366"/>
      <c r="F110" s="366"/>
      <c r="G110" s="366"/>
      <c r="H110" s="366"/>
      <c r="I110" s="366"/>
      <c r="J110" s="366"/>
      <c r="K110" s="367"/>
      <c r="L110" s="287"/>
      <c r="M110" s="288"/>
      <c r="N110" s="288"/>
      <c r="O110" s="288"/>
      <c r="P110" s="288"/>
      <c r="Q110" s="288"/>
      <c r="R110" s="288"/>
      <c r="S110" s="288"/>
      <c r="T110" s="289"/>
      <c r="U110" s="57"/>
      <c r="V110" s="57"/>
      <c r="W110" s="152"/>
      <c r="X110" s="152"/>
      <c r="Y110" s="152"/>
      <c r="Z110" s="152" t="s">
        <v>233</v>
      </c>
      <c r="AA110" s="152"/>
      <c r="AB110" s="152"/>
      <c r="AC110" s="152"/>
      <c r="AD110" s="152"/>
      <c r="AE110" s="154"/>
      <c r="AF110" s="154"/>
      <c r="AG110" s="154"/>
      <c r="AH110" s="154"/>
      <c r="AI110" s="154"/>
      <c r="AJ110" s="152"/>
      <c r="AK110" s="152"/>
      <c r="AL110" s="152"/>
      <c r="AM110" s="57"/>
      <c r="AN110" s="57"/>
      <c r="AO110" s="57"/>
      <c r="AP110" s="57"/>
      <c r="AQ110" s="57"/>
      <c r="AR110" s="57"/>
      <c r="AS110" s="57"/>
      <c r="AT110" s="57"/>
      <c r="AU110" s="57"/>
      <c r="AV110" s="57"/>
      <c r="AW110" s="57"/>
      <c r="AX110" s="84" t="s">
        <v>319</v>
      </c>
      <c r="AY110" s="57" t="s">
        <v>209</v>
      </c>
      <c r="AZ110" s="59"/>
      <c r="BA110" s="34">
        <f>IF(BB110&amp;BC110&lt;&gt;"",MAX(BA$5:BA109)+1,"")</f>
        <v>36</v>
      </c>
      <c r="BB110" s="35" t="s">
        <v>210</v>
      </c>
      <c r="BC110" s="35"/>
      <c r="BD110" s="36"/>
      <c r="BE110" s="37"/>
      <c r="BF110" s="51"/>
      <c r="BG110" s="36"/>
      <c r="BH110" s="64"/>
      <c r="BI110" s="64"/>
      <c r="BJ110" s="64"/>
      <c r="BK110" s="64"/>
      <c r="BL110" s="64"/>
    </row>
    <row r="111" spans="1:64" s="56" customFormat="1" ht="14.25" customHeight="1" x14ac:dyDescent="0.15">
      <c r="A111" s="200"/>
      <c r="B111" s="202"/>
      <c r="C111" s="365" t="str">
        <f>IF(A111&lt;&gt;"",VLOOKUP(A111,項目仕様!$A$6:$L$129,3),"")</f>
        <v/>
      </c>
      <c r="D111" s="366"/>
      <c r="E111" s="366"/>
      <c r="F111" s="366"/>
      <c r="G111" s="366"/>
      <c r="H111" s="366"/>
      <c r="I111" s="366"/>
      <c r="J111" s="366"/>
      <c r="K111" s="367"/>
      <c r="L111" s="287"/>
      <c r="M111" s="288"/>
      <c r="N111" s="288"/>
      <c r="O111" s="288"/>
      <c r="P111" s="288"/>
      <c r="Q111" s="288"/>
      <c r="R111" s="288"/>
      <c r="S111" s="288"/>
      <c r="T111" s="289"/>
      <c r="U111" s="57"/>
      <c r="V111" s="163"/>
      <c r="W111" s="163" t="s">
        <v>175</v>
      </c>
      <c r="X111" s="164"/>
      <c r="Y111" s="164" t="s">
        <v>231</v>
      </c>
      <c r="Z111" s="152"/>
      <c r="AA111" s="152"/>
      <c r="AB111" s="152"/>
      <c r="AC111" s="152"/>
      <c r="AD111" s="152"/>
      <c r="AE111" s="154"/>
      <c r="AF111" s="154"/>
      <c r="AG111" s="154"/>
      <c r="AH111" s="154"/>
      <c r="AI111" s="154"/>
      <c r="AJ111" s="152"/>
      <c r="AK111" s="152"/>
      <c r="AL111" s="152"/>
      <c r="AM111" s="57"/>
      <c r="AN111" s="57"/>
      <c r="AO111" s="57"/>
      <c r="AP111" s="57"/>
      <c r="AQ111" s="57"/>
      <c r="AR111" s="57"/>
      <c r="AS111" s="57"/>
      <c r="AT111" s="57"/>
      <c r="AU111" s="57"/>
      <c r="AV111" s="57"/>
      <c r="AW111" s="57"/>
      <c r="AX111" s="57"/>
      <c r="AY111" s="57"/>
      <c r="AZ111" s="59"/>
      <c r="BA111" s="34" t="str">
        <f>IF(BB111&amp;BC111&lt;&gt;"",MAX(BA$5:BA110)+1,"")</f>
        <v/>
      </c>
      <c r="BB111" s="35"/>
      <c r="BC111" s="35"/>
      <c r="BD111" s="36"/>
      <c r="BE111" s="37"/>
      <c r="BF111" s="51"/>
      <c r="BG111" s="36"/>
      <c r="BH111" s="64"/>
      <c r="BI111" s="64"/>
      <c r="BJ111" s="64"/>
      <c r="BK111" s="64"/>
      <c r="BL111" s="64"/>
    </row>
    <row r="112" spans="1:64" s="56" customFormat="1" ht="14.25" customHeight="1" x14ac:dyDescent="0.15">
      <c r="A112" s="200"/>
      <c r="B112" s="202"/>
      <c r="C112" s="365" t="str">
        <f>IF(A112&lt;&gt;"",VLOOKUP(A112,項目仕様!$A$6:$L$129,3),"")</f>
        <v/>
      </c>
      <c r="D112" s="366"/>
      <c r="E112" s="366"/>
      <c r="F112" s="366"/>
      <c r="G112" s="366"/>
      <c r="H112" s="366"/>
      <c r="I112" s="366"/>
      <c r="J112" s="366"/>
      <c r="K112" s="367"/>
      <c r="L112" s="287"/>
      <c r="M112" s="288"/>
      <c r="N112" s="288"/>
      <c r="O112" s="288"/>
      <c r="P112" s="288"/>
      <c r="Q112" s="288"/>
      <c r="R112" s="288"/>
      <c r="S112" s="288"/>
      <c r="T112" s="289"/>
      <c r="U112" s="57"/>
      <c r="V112" s="57"/>
      <c r="W112" s="152"/>
      <c r="X112" s="152"/>
      <c r="Y112" s="152"/>
      <c r="Z112" s="152"/>
      <c r="AA112" s="152"/>
      <c r="AB112" s="152"/>
      <c r="AC112" s="152"/>
      <c r="AD112" s="152"/>
      <c r="AE112" s="154"/>
      <c r="AF112" s="154"/>
      <c r="AG112" s="154"/>
      <c r="AH112" s="154"/>
      <c r="AI112" s="154"/>
      <c r="AJ112" s="152"/>
      <c r="AK112" s="152"/>
      <c r="AL112" s="152"/>
      <c r="AM112" s="57"/>
      <c r="AN112" s="57"/>
      <c r="AO112" s="57"/>
      <c r="AP112" s="57"/>
      <c r="AQ112" s="57"/>
      <c r="AR112" s="57"/>
      <c r="AS112" s="57"/>
      <c r="AT112" s="57"/>
      <c r="AU112" s="57"/>
      <c r="AV112" s="57"/>
      <c r="AW112" s="57"/>
      <c r="AX112" s="57"/>
      <c r="AY112" s="57"/>
      <c r="AZ112" s="59"/>
      <c r="BA112" s="34" t="str">
        <f>IF(BB112&amp;BC112&lt;&gt;"",MAX(BA$5:BA111)+1,"")</f>
        <v/>
      </c>
      <c r="BB112" s="35"/>
      <c r="BC112" s="35"/>
      <c r="BD112" s="36"/>
      <c r="BE112" s="37"/>
      <c r="BF112" s="51"/>
      <c r="BG112" s="36"/>
      <c r="BH112" s="64"/>
      <c r="BI112" s="64"/>
      <c r="BJ112" s="64"/>
      <c r="BK112" s="64"/>
      <c r="BL112" s="64"/>
    </row>
    <row r="113" spans="1:64" s="56" customFormat="1" ht="14.25" customHeight="1" x14ac:dyDescent="0.15">
      <c r="A113" s="200"/>
      <c r="B113" s="202"/>
      <c r="C113" s="365" t="str">
        <f>IF(A113&lt;&gt;"",VLOOKUP(A113,項目仕様!$A$6:$L$129,3),"")</f>
        <v/>
      </c>
      <c r="D113" s="366"/>
      <c r="E113" s="366"/>
      <c r="F113" s="366"/>
      <c r="G113" s="366"/>
      <c r="H113" s="366"/>
      <c r="I113" s="366"/>
      <c r="J113" s="366"/>
      <c r="K113" s="367"/>
      <c r="L113" s="287"/>
      <c r="M113" s="288"/>
      <c r="N113" s="288"/>
      <c r="O113" s="288"/>
      <c r="P113" s="288"/>
      <c r="Q113" s="288"/>
      <c r="R113" s="288"/>
      <c r="S113" s="288"/>
      <c r="T113" s="289"/>
      <c r="U113" s="70"/>
      <c r="V113" s="146" t="s">
        <v>381</v>
      </c>
      <c r="W113" s="152"/>
      <c r="X113" s="152" t="s">
        <v>367</v>
      </c>
      <c r="Y113" s="152"/>
      <c r="Z113" s="152"/>
      <c r="AA113" s="152"/>
      <c r="AB113" s="152"/>
      <c r="AC113" s="152"/>
      <c r="AD113" s="152"/>
      <c r="AE113" s="154"/>
      <c r="AF113" s="154"/>
      <c r="AG113" s="154"/>
      <c r="AH113" s="154"/>
      <c r="AI113" s="154"/>
      <c r="AJ113" s="152"/>
      <c r="AK113" s="152"/>
      <c r="AL113" s="152"/>
      <c r="AM113" s="57"/>
      <c r="AN113" s="57"/>
      <c r="AO113" s="57"/>
      <c r="AP113" s="57"/>
      <c r="AQ113" s="57"/>
      <c r="AR113" s="57"/>
      <c r="AS113" s="57"/>
      <c r="AT113" s="57"/>
      <c r="AU113" s="57"/>
      <c r="AV113" s="57"/>
      <c r="AW113" s="57"/>
      <c r="AX113" s="57"/>
      <c r="AY113" s="57"/>
      <c r="AZ113" s="59"/>
      <c r="BA113" s="34" t="str">
        <f>IF(BB113&amp;BC113&lt;&gt;"",MAX(BA$5:BA112)+1,"")</f>
        <v/>
      </c>
      <c r="BB113" s="35"/>
      <c r="BC113" s="35"/>
      <c r="BD113" s="36"/>
      <c r="BE113" s="37"/>
      <c r="BF113" s="51"/>
      <c r="BG113" s="36"/>
      <c r="BH113" s="64"/>
      <c r="BI113" s="64"/>
      <c r="BJ113" s="64"/>
      <c r="BK113" s="64"/>
      <c r="BL113" s="64"/>
    </row>
    <row r="114" spans="1:64" s="56" customFormat="1" ht="14.25" customHeight="1" x14ac:dyDescent="0.15">
      <c r="A114" s="200"/>
      <c r="B114" s="202"/>
      <c r="C114" s="365" t="str">
        <f>IF(A114&lt;&gt;"",VLOOKUP(A114,項目仕様!$A$6:$L$129,3),"")</f>
        <v/>
      </c>
      <c r="D114" s="366"/>
      <c r="E114" s="366"/>
      <c r="F114" s="366"/>
      <c r="G114" s="366"/>
      <c r="H114" s="366"/>
      <c r="I114" s="366"/>
      <c r="J114" s="366"/>
      <c r="K114" s="367"/>
      <c r="L114" s="287"/>
      <c r="M114" s="288"/>
      <c r="N114" s="288"/>
      <c r="O114" s="288"/>
      <c r="P114" s="288"/>
      <c r="Q114" s="288"/>
      <c r="R114" s="288"/>
      <c r="S114" s="288"/>
      <c r="T114" s="289"/>
      <c r="U114" s="57"/>
      <c r="V114" s="57"/>
      <c r="W114" s="152"/>
      <c r="X114" s="152"/>
      <c r="Y114" s="173" t="s">
        <v>234</v>
      </c>
      <c r="Z114" s="173"/>
      <c r="AA114" s="173"/>
      <c r="AB114" s="173"/>
      <c r="AC114" s="173"/>
      <c r="AD114" s="173"/>
      <c r="AE114" s="174"/>
      <c r="AF114" s="174"/>
      <c r="AG114" s="174"/>
      <c r="AH114" s="174"/>
      <c r="AI114" s="174"/>
      <c r="AJ114" s="173"/>
      <c r="AK114" s="173"/>
      <c r="AL114" s="173"/>
      <c r="AM114" s="173"/>
      <c r="AN114" s="173"/>
      <c r="AO114" s="173"/>
      <c r="AP114" s="173"/>
      <c r="AQ114" s="57"/>
      <c r="AR114" s="57"/>
      <c r="AS114" s="57"/>
      <c r="AT114" s="57"/>
      <c r="AU114" s="57"/>
      <c r="AV114" s="57"/>
      <c r="AW114" s="57"/>
      <c r="AX114" s="57"/>
      <c r="AY114" s="57"/>
      <c r="AZ114" s="59"/>
      <c r="BA114" s="34" t="str">
        <f>IF(BB114&amp;BC114&lt;&gt;"",MAX(BA$5:BA113)+1,"")</f>
        <v/>
      </c>
      <c r="BB114" s="35"/>
      <c r="BC114" s="35"/>
      <c r="BD114" s="36"/>
      <c r="BE114" s="37"/>
      <c r="BF114" s="51"/>
      <c r="BG114" s="36"/>
      <c r="BH114" s="64"/>
      <c r="BI114" s="64"/>
      <c r="BJ114" s="64"/>
      <c r="BK114" s="64"/>
      <c r="BL114" s="64"/>
    </row>
    <row r="115" spans="1:64" s="56" customFormat="1" ht="14.25" customHeight="1" x14ac:dyDescent="0.15">
      <c r="A115" s="200"/>
      <c r="B115" s="202"/>
      <c r="C115" s="365" t="str">
        <f>IF(A115&lt;&gt;"",VLOOKUP(A115,項目仕様!$A$6:$L$129,3),"")</f>
        <v/>
      </c>
      <c r="D115" s="366"/>
      <c r="E115" s="366"/>
      <c r="F115" s="366"/>
      <c r="G115" s="366"/>
      <c r="H115" s="366"/>
      <c r="I115" s="366"/>
      <c r="J115" s="366"/>
      <c r="K115" s="367"/>
      <c r="L115" s="287"/>
      <c r="M115" s="288"/>
      <c r="N115" s="288"/>
      <c r="O115" s="288"/>
      <c r="P115" s="288"/>
      <c r="Q115" s="288"/>
      <c r="R115" s="288"/>
      <c r="S115" s="288"/>
      <c r="T115" s="289"/>
      <c r="U115" s="57"/>
      <c r="V115" s="57"/>
      <c r="W115" s="152"/>
      <c r="X115" s="152"/>
      <c r="Y115" s="152"/>
      <c r="Z115" s="152" t="s">
        <v>235</v>
      </c>
      <c r="AA115" s="152"/>
      <c r="AB115" s="152"/>
      <c r="AC115" s="152"/>
      <c r="AD115" s="152"/>
      <c r="AE115" s="154"/>
      <c r="AF115" s="154"/>
      <c r="AG115" s="154"/>
      <c r="AH115" s="154"/>
      <c r="AI115" s="154"/>
      <c r="AJ115" s="152"/>
      <c r="AK115" s="152"/>
      <c r="AL115" s="152"/>
      <c r="AM115" s="57"/>
      <c r="AN115" s="57"/>
      <c r="AO115" s="57"/>
      <c r="AP115" s="57"/>
      <c r="AQ115" s="57"/>
      <c r="AR115" s="57"/>
      <c r="AS115" s="57"/>
      <c r="AT115" s="57"/>
      <c r="AU115" s="57"/>
      <c r="AV115" s="57"/>
      <c r="AW115" s="57"/>
      <c r="AX115" s="84" t="s">
        <v>319</v>
      </c>
      <c r="AY115" s="57" t="s">
        <v>236</v>
      </c>
      <c r="AZ115" s="59"/>
      <c r="BA115" s="34">
        <v>36</v>
      </c>
      <c r="BB115" s="35" t="s">
        <v>210</v>
      </c>
      <c r="BC115" s="35"/>
      <c r="BD115" s="36"/>
      <c r="BE115" s="37"/>
      <c r="BF115" s="51"/>
      <c r="BG115" s="36"/>
      <c r="BH115" s="64"/>
      <c r="BI115" s="64"/>
      <c r="BJ115" s="64"/>
      <c r="BK115" s="64"/>
      <c r="BL115" s="64"/>
    </row>
    <row r="116" spans="1:64" s="56" customFormat="1" ht="14.25" customHeight="1" x14ac:dyDescent="0.15">
      <c r="A116" s="200"/>
      <c r="B116" s="202"/>
      <c r="C116" s="365" t="str">
        <f>IF(A116&lt;&gt;"",VLOOKUP(A116,項目仕様!$A$6:$L$129,3),"")</f>
        <v/>
      </c>
      <c r="D116" s="366"/>
      <c r="E116" s="366"/>
      <c r="F116" s="366"/>
      <c r="G116" s="366"/>
      <c r="H116" s="366"/>
      <c r="I116" s="366"/>
      <c r="J116" s="366"/>
      <c r="K116" s="367"/>
      <c r="L116" s="287"/>
      <c r="M116" s="288"/>
      <c r="N116" s="288"/>
      <c r="O116" s="288"/>
      <c r="P116" s="288"/>
      <c r="Q116" s="288"/>
      <c r="R116" s="288"/>
      <c r="S116" s="288"/>
      <c r="T116" s="289"/>
      <c r="U116" s="57"/>
      <c r="V116" s="57"/>
      <c r="W116" s="152"/>
      <c r="X116" s="152"/>
      <c r="Y116" s="152"/>
      <c r="Z116" s="152"/>
      <c r="AA116" s="152"/>
      <c r="AB116" s="152"/>
      <c r="AC116" s="152"/>
      <c r="AD116" s="152"/>
      <c r="AE116" s="154"/>
      <c r="AF116" s="154"/>
      <c r="AG116" s="154"/>
      <c r="AH116" s="154"/>
      <c r="AI116" s="154"/>
      <c r="AJ116" s="152"/>
      <c r="AK116" s="152"/>
      <c r="AL116" s="152"/>
      <c r="AM116" s="57"/>
      <c r="AN116" s="57"/>
      <c r="AO116" s="57"/>
      <c r="AP116" s="57"/>
      <c r="AQ116" s="57"/>
      <c r="AR116" s="57"/>
      <c r="AS116" s="57"/>
      <c r="AT116" s="57"/>
      <c r="AU116" s="57"/>
      <c r="AV116" s="57"/>
      <c r="AW116" s="57"/>
      <c r="AX116" s="57"/>
      <c r="AY116" s="57"/>
      <c r="AZ116" s="59"/>
      <c r="BA116" s="34" t="str">
        <f>IF(BB116&amp;BC116&lt;&gt;"",MAX(BA$5:BA115)+1,"")</f>
        <v/>
      </c>
      <c r="BB116" s="35"/>
      <c r="BC116" s="35"/>
      <c r="BD116" s="36"/>
      <c r="BE116" s="37"/>
      <c r="BF116" s="51"/>
      <c r="BG116" s="36"/>
      <c r="BH116" s="64"/>
      <c r="BI116" s="64"/>
      <c r="BJ116" s="64"/>
      <c r="BK116" s="64"/>
      <c r="BL116" s="64"/>
    </row>
    <row r="117" spans="1:64" s="56" customFormat="1" ht="14.25" customHeight="1" x14ac:dyDescent="0.15">
      <c r="A117" s="200"/>
      <c r="B117" s="202"/>
      <c r="C117" s="365" t="str">
        <f>IF(A117&lt;&gt;"",VLOOKUP(A117,項目仕様!$A$6:$L$129,3),"")</f>
        <v/>
      </c>
      <c r="D117" s="366"/>
      <c r="E117" s="366"/>
      <c r="F117" s="366"/>
      <c r="G117" s="366"/>
      <c r="H117" s="366"/>
      <c r="I117" s="366"/>
      <c r="J117" s="366"/>
      <c r="K117" s="367"/>
      <c r="L117" s="287"/>
      <c r="M117" s="288"/>
      <c r="N117" s="288"/>
      <c r="O117" s="288"/>
      <c r="P117" s="288"/>
      <c r="Q117" s="288"/>
      <c r="R117" s="288"/>
      <c r="S117" s="288"/>
      <c r="T117" s="289"/>
      <c r="U117" s="146"/>
      <c r="V117" s="146" t="s">
        <v>382</v>
      </c>
      <c r="W117" s="161"/>
      <c r="X117" s="161" t="s">
        <v>358</v>
      </c>
      <c r="Y117" s="161"/>
      <c r="Z117" s="161"/>
      <c r="AA117" s="152"/>
      <c r="AB117" s="152"/>
      <c r="AC117" s="152"/>
      <c r="AD117" s="152"/>
      <c r="AE117" s="154"/>
      <c r="AF117" s="154"/>
      <c r="AG117" s="154"/>
      <c r="AH117" s="154"/>
      <c r="AI117" s="154"/>
      <c r="AJ117" s="152"/>
      <c r="AK117" s="152"/>
      <c r="AL117" s="152"/>
      <c r="AM117" s="152"/>
      <c r="AN117" s="152"/>
      <c r="AO117" s="152"/>
      <c r="AP117" s="152"/>
      <c r="AQ117" s="152"/>
      <c r="AR117" s="152"/>
      <c r="AS117" s="152"/>
      <c r="AT117" s="152"/>
      <c r="AU117" s="152"/>
      <c r="AV117" s="152"/>
      <c r="AW117" s="152"/>
      <c r="AX117" s="152"/>
      <c r="AY117" s="152"/>
      <c r="AZ117" s="153"/>
      <c r="BA117" s="34" t="str">
        <f>IF(BB117&amp;BC117&lt;&gt;"",MAX(BA$5:BA116)+1,"")</f>
        <v/>
      </c>
      <c r="BB117" s="35"/>
      <c r="BC117" s="35"/>
      <c r="BD117" s="36"/>
      <c r="BE117" s="37"/>
      <c r="BF117" s="51"/>
      <c r="BG117" s="36"/>
      <c r="BH117" s="64"/>
      <c r="BI117" s="64"/>
      <c r="BJ117" s="64"/>
      <c r="BK117" s="64"/>
      <c r="BL117" s="64"/>
    </row>
    <row r="118" spans="1:64" s="56" customFormat="1" ht="14.25" customHeight="1" x14ac:dyDescent="0.15">
      <c r="A118" s="200"/>
      <c r="B118" s="202"/>
      <c r="C118" s="365" t="str">
        <f>IF(A118&lt;&gt;"",VLOOKUP(A118,項目仕様!$A$6:$L$129,3),"")</f>
        <v/>
      </c>
      <c r="D118" s="366"/>
      <c r="E118" s="366"/>
      <c r="F118" s="366"/>
      <c r="G118" s="366"/>
      <c r="H118" s="366"/>
      <c r="I118" s="366"/>
      <c r="J118" s="366"/>
      <c r="K118" s="367"/>
      <c r="L118" s="287"/>
      <c r="M118" s="288"/>
      <c r="N118" s="288"/>
      <c r="O118" s="288"/>
      <c r="P118" s="288"/>
      <c r="Q118" s="288"/>
      <c r="R118" s="288"/>
      <c r="S118" s="288"/>
      <c r="T118" s="289"/>
      <c r="U118" s="161"/>
      <c r="V118" s="161"/>
      <c r="W118" s="161"/>
      <c r="X118" s="161" t="s">
        <v>397</v>
      </c>
      <c r="Y118" s="161"/>
      <c r="Z118" s="161"/>
      <c r="AA118" s="152"/>
      <c r="AB118" s="152"/>
      <c r="AC118" s="152"/>
      <c r="AD118" s="152"/>
      <c r="AE118" s="154"/>
      <c r="AF118" s="154"/>
      <c r="AG118" s="154"/>
      <c r="AH118" s="154"/>
      <c r="AI118" s="154"/>
      <c r="AJ118" s="152"/>
      <c r="AK118" s="152"/>
      <c r="AL118" s="152"/>
      <c r="AM118" s="152"/>
      <c r="AN118" s="152"/>
      <c r="AO118" s="152"/>
      <c r="AP118" s="152"/>
      <c r="AQ118" s="152"/>
      <c r="AR118" s="152"/>
      <c r="AS118" s="152"/>
      <c r="AT118" s="152"/>
      <c r="AU118" s="152"/>
      <c r="AV118" s="152"/>
      <c r="AW118" s="152"/>
      <c r="AX118" s="152"/>
      <c r="AY118" s="152"/>
      <c r="AZ118" s="153"/>
      <c r="BA118" s="34" t="str">
        <f>IF(BB118&amp;BC118&lt;&gt;"",MAX(BA$5:BA116)+1,"")</f>
        <v/>
      </c>
      <c r="BB118" s="35"/>
      <c r="BC118" s="35"/>
      <c r="BD118" s="36"/>
      <c r="BE118" s="37"/>
      <c r="BF118" s="51"/>
      <c r="BG118" s="36"/>
      <c r="BH118" s="64"/>
      <c r="BI118" s="64"/>
      <c r="BJ118" s="64"/>
      <c r="BK118" s="64"/>
      <c r="BL118" s="64"/>
    </row>
    <row r="119" spans="1:64" s="56" customFormat="1" ht="14.25" customHeight="1" x14ac:dyDescent="0.15">
      <c r="A119" s="200"/>
      <c r="B119" s="202"/>
      <c r="C119" s="365" t="str">
        <f>IF(A119&lt;&gt;"",VLOOKUP(A119,項目仕様!$A$6:$L$129,3),"")</f>
        <v/>
      </c>
      <c r="D119" s="366"/>
      <c r="E119" s="366"/>
      <c r="F119" s="366"/>
      <c r="G119" s="366"/>
      <c r="H119" s="366"/>
      <c r="I119" s="366"/>
      <c r="J119" s="366"/>
      <c r="K119" s="367"/>
      <c r="L119" s="287"/>
      <c r="M119" s="288"/>
      <c r="N119" s="288"/>
      <c r="O119" s="288"/>
      <c r="P119" s="288"/>
      <c r="Q119" s="288"/>
      <c r="R119" s="288"/>
      <c r="S119" s="288"/>
      <c r="T119" s="289"/>
      <c r="U119" s="152"/>
      <c r="V119" s="152"/>
      <c r="W119" s="152"/>
      <c r="X119" s="152"/>
      <c r="Y119" s="152"/>
      <c r="Z119" s="152"/>
      <c r="AA119" s="152"/>
      <c r="AB119" s="152"/>
      <c r="AC119" s="152"/>
      <c r="AD119" s="154"/>
      <c r="AE119" s="154"/>
      <c r="AF119" s="154"/>
      <c r="AG119" s="154"/>
      <c r="AH119" s="154"/>
      <c r="AI119" s="152"/>
      <c r="AJ119" s="152"/>
      <c r="AK119" s="152"/>
      <c r="AL119" s="152"/>
      <c r="AM119" s="152"/>
      <c r="AN119" s="152"/>
      <c r="AO119" s="152"/>
      <c r="AP119" s="152"/>
      <c r="AQ119" s="152"/>
      <c r="AR119" s="152"/>
      <c r="AS119" s="152"/>
      <c r="AT119" s="152"/>
      <c r="AU119" s="152"/>
      <c r="AV119" s="152"/>
      <c r="AW119" s="152"/>
      <c r="AX119" s="152"/>
      <c r="AY119" s="152"/>
      <c r="AZ119" s="153"/>
      <c r="BA119" s="34" t="str">
        <f>IF(BB119&amp;BC119&lt;&gt;"",MAX(BA$5:BA117)+1,"")</f>
        <v/>
      </c>
      <c r="BB119" s="35"/>
      <c r="BC119" s="35"/>
      <c r="BD119" s="36"/>
      <c r="BE119" s="37"/>
      <c r="BF119" s="51"/>
      <c r="BG119" s="36"/>
      <c r="BH119" s="64"/>
      <c r="BI119" s="64"/>
      <c r="BJ119" s="64"/>
      <c r="BK119" s="64"/>
      <c r="BL119" s="64"/>
    </row>
    <row r="120" spans="1:64" s="56" customFormat="1" ht="14.25" customHeight="1" x14ac:dyDescent="0.15">
      <c r="A120" s="200"/>
      <c r="B120" s="202"/>
      <c r="C120" s="365" t="str">
        <f>IF(A120&lt;&gt;"",VLOOKUP(A120,項目仕様!$A$6:$L$129,3),"")</f>
        <v/>
      </c>
      <c r="D120" s="366"/>
      <c r="E120" s="366"/>
      <c r="F120" s="366"/>
      <c r="G120" s="366"/>
      <c r="H120" s="366"/>
      <c r="I120" s="366"/>
      <c r="J120" s="366"/>
      <c r="K120" s="367"/>
      <c r="L120" s="287"/>
      <c r="M120" s="288"/>
      <c r="N120" s="288"/>
      <c r="O120" s="288"/>
      <c r="P120" s="288"/>
      <c r="Q120" s="288"/>
      <c r="R120" s="288"/>
      <c r="S120" s="288"/>
      <c r="T120" s="289"/>
      <c r="U120" s="146" t="s">
        <v>369</v>
      </c>
      <c r="V120" s="161"/>
      <c r="W120" s="161" t="s">
        <v>370</v>
      </c>
      <c r="X120" s="152"/>
      <c r="Y120" s="152"/>
      <c r="Z120" s="152"/>
      <c r="AA120" s="152"/>
      <c r="AB120" s="152"/>
      <c r="AC120" s="152"/>
      <c r="AD120" s="154"/>
      <c r="AE120" s="154"/>
      <c r="AF120" s="154"/>
      <c r="AG120" s="154"/>
      <c r="AH120" s="154"/>
      <c r="AI120" s="152"/>
      <c r="AJ120" s="152"/>
      <c r="AK120" s="152"/>
      <c r="AL120" s="152"/>
      <c r="AM120" s="152"/>
      <c r="AN120" s="152"/>
      <c r="AO120" s="152"/>
      <c r="AP120" s="152"/>
      <c r="AQ120" s="152"/>
      <c r="AR120" s="152"/>
      <c r="AS120" s="152"/>
      <c r="AT120" s="152"/>
      <c r="AU120" s="152"/>
      <c r="AV120" s="152"/>
      <c r="AW120" s="152"/>
      <c r="AX120" s="152"/>
      <c r="AY120" s="152"/>
      <c r="AZ120" s="153"/>
      <c r="BA120" s="34" t="str">
        <f>IF(BB120&amp;BC120&lt;&gt;"",MAX(BA$5:BA118)+1,"")</f>
        <v/>
      </c>
      <c r="BB120" s="35"/>
      <c r="BC120" s="35"/>
      <c r="BD120" s="36"/>
      <c r="BE120" s="37"/>
      <c r="BF120" s="51"/>
      <c r="BG120" s="36"/>
      <c r="BH120" s="64"/>
      <c r="BI120" s="64"/>
      <c r="BJ120" s="64"/>
      <c r="BK120" s="64"/>
      <c r="BL120" s="64"/>
    </row>
    <row r="121" spans="1:64" s="56" customFormat="1" ht="14.25" customHeight="1" x14ac:dyDescent="0.15">
      <c r="A121" s="200"/>
      <c r="B121" s="202"/>
      <c r="C121" s="365" t="str">
        <f>IF(A121&lt;&gt;"",VLOOKUP(A121,項目仕様!$A$6:$L$129,3),"")</f>
        <v/>
      </c>
      <c r="D121" s="366"/>
      <c r="E121" s="366"/>
      <c r="F121" s="366"/>
      <c r="G121" s="366"/>
      <c r="H121" s="366"/>
      <c r="I121" s="366"/>
      <c r="J121" s="366"/>
      <c r="K121" s="367"/>
      <c r="L121" s="287"/>
      <c r="M121" s="288"/>
      <c r="N121" s="288"/>
      <c r="O121" s="288"/>
      <c r="P121" s="288"/>
      <c r="Q121" s="288"/>
      <c r="R121" s="288"/>
      <c r="S121" s="288"/>
      <c r="T121" s="289"/>
      <c r="U121" s="70"/>
      <c r="V121" s="146" t="s">
        <v>371</v>
      </c>
      <c r="W121" s="152"/>
      <c r="X121" s="152" t="s">
        <v>368</v>
      </c>
      <c r="Y121" s="152"/>
      <c r="Z121" s="152"/>
      <c r="AA121" s="152"/>
      <c r="AB121" s="152"/>
      <c r="AC121" s="152"/>
      <c r="AD121" s="152"/>
      <c r="AE121" s="154"/>
      <c r="AF121" s="154"/>
      <c r="AG121" s="154"/>
      <c r="AH121" s="154"/>
      <c r="AI121" s="154"/>
      <c r="AJ121" s="152"/>
      <c r="AK121" s="152"/>
      <c r="AL121" s="152"/>
      <c r="AM121" s="152"/>
      <c r="AN121" s="152"/>
      <c r="AO121" s="152"/>
      <c r="AP121" s="152"/>
      <c r="AQ121" s="152"/>
      <c r="AR121" s="152"/>
      <c r="AS121" s="152"/>
      <c r="AT121" s="152"/>
      <c r="AU121" s="152"/>
      <c r="AV121" s="57"/>
      <c r="AW121" s="57"/>
      <c r="AX121" s="57"/>
      <c r="AY121" s="57"/>
      <c r="AZ121" s="59"/>
      <c r="BA121" s="34" t="str">
        <f>IF(BB121&amp;BC121&lt;&gt;"",MAX(BA$5:BA116)+1,"")</f>
        <v/>
      </c>
      <c r="BB121" s="35"/>
      <c r="BC121" s="35"/>
      <c r="BD121" s="36"/>
      <c r="BE121" s="37"/>
      <c r="BF121" s="51"/>
      <c r="BG121" s="36"/>
      <c r="BH121" s="64"/>
      <c r="BI121" s="64"/>
      <c r="BJ121" s="64"/>
      <c r="BK121" s="64"/>
      <c r="BL121" s="64"/>
    </row>
    <row r="122" spans="1:64" s="56" customFormat="1" ht="14.25" customHeight="1" x14ac:dyDescent="0.15">
      <c r="A122" s="200"/>
      <c r="B122" s="202"/>
      <c r="C122" s="365" t="str">
        <f>IF(A122&lt;&gt;"",VLOOKUP(A122,項目仕様!$A$6:$L$129,3),"")</f>
        <v/>
      </c>
      <c r="D122" s="366"/>
      <c r="E122" s="366"/>
      <c r="F122" s="366"/>
      <c r="G122" s="366"/>
      <c r="H122" s="366"/>
      <c r="I122" s="366"/>
      <c r="J122" s="366"/>
      <c r="K122" s="367"/>
      <c r="L122" s="287"/>
      <c r="M122" s="288"/>
      <c r="N122" s="288"/>
      <c r="O122" s="288"/>
      <c r="P122" s="288"/>
      <c r="Q122" s="288"/>
      <c r="R122" s="288"/>
      <c r="S122" s="288"/>
      <c r="T122" s="289"/>
      <c r="U122" s="57"/>
      <c r="V122" s="57"/>
      <c r="W122" s="152"/>
      <c r="X122" s="152"/>
      <c r="Y122" s="152"/>
      <c r="Z122" s="152"/>
      <c r="AA122" s="152"/>
      <c r="AB122" s="152"/>
      <c r="AC122" s="152"/>
      <c r="AD122" s="152"/>
      <c r="AE122" s="154"/>
      <c r="AF122" s="154"/>
      <c r="AG122" s="154"/>
      <c r="AH122" s="154"/>
      <c r="AI122" s="154"/>
      <c r="AJ122" s="152"/>
      <c r="AK122" s="152"/>
      <c r="AL122" s="152"/>
      <c r="AM122" s="152"/>
      <c r="AN122" s="152"/>
      <c r="AO122" s="152"/>
      <c r="AP122" s="152"/>
      <c r="AQ122" s="152"/>
      <c r="AR122" s="152"/>
      <c r="AS122" s="152"/>
      <c r="AT122" s="152"/>
      <c r="AU122" s="152"/>
      <c r="AV122" s="57"/>
      <c r="AW122" s="57"/>
      <c r="AX122" s="57"/>
      <c r="AY122" s="57"/>
      <c r="AZ122" s="59"/>
      <c r="BA122" s="34" t="str">
        <f>IF(BB122&amp;BC122&lt;&gt;"",MAX(BA$5:BA121)+1,"")</f>
        <v/>
      </c>
      <c r="BB122" s="35"/>
      <c r="BC122" s="35"/>
      <c r="BD122" s="36"/>
      <c r="BE122" s="37"/>
      <c r="BF122" s="51"/>
      <c r="BG122" s="36"/>
      <c r="BH122" s="64"/>
      <c r="BI122" s="64"/>
      <c r="BJ122" s="64"/>
      <c r="BK122" s="64"/>
      <c r="BL122" s="64"/>
    </row>
    <row r="123" spans="1:64" s="56" customFormat="1" ht="14.25" customHeight="1" x14ac:dyDescent="0.15">
      <c r="A123" s="200"/>
      <c r="B123" s="202"/>
      <c r="C123" s="365" t="str">
        <f>IF(A123&lt;&gt;"",VLOOKUP(A123,項目仕様!$A$6:$L$129,3),"")</f>
        <v/>
      </c>
      <c r="D123" s="366"/>
      <c r="E123" s="366"/>
      <c r="F123" s="366"/>
      <c r="G123" s="366"/>
      <c r="H123" s="366"/>
      <c r="I123" s="366"/>
      <c r="J123" s="366"/>
      <c r="K123" s="367"/>
      <c r="L123" s="287"/>
      <c r="M123" s="288"/>
      <c r="N123" s="288"/>
      <c r="O123" s="288"/>
      <c r="P123" s="288"/>
      <c r="Q123" s="288"/>
      <c r="R123" s="288"/>
      <c r="S123" s="288"/>
      <c r="T123" s="289"/>
      <c r="U123" s="57"/>
      <c r="V123" s="70"/>
      <c r="W123" s="146" t="s">
        <v>392</v>
      </c>
      <c r="X123" s="152"/>
      <c r="Y123" s="152" t="s">
        <v>237</v>
      </c>
      <c r="Z123" s="152"/>
      <c r="AA123" s="152"/>
      <c r="AB123" s="152"/>
      <c r="AC123" s="152"/>
      <c r="AD123" s="152"/>
      <c r="AE123" s="154"/>
      <c r="AF123" s="154"/>
      <c r="AG123" s="154"/>
      <c r="AH123" s="154"/>
      <c r="AI123" s="154"/>
      <c r="AJ123" s="152"/>
      <c r="AK123" s="152"/>
      <c r="AL123" s="152"/>
      <c r="AM123" s="152"/>
      <c r="AN123" s="152"/>
      <c r="AO123" s="152"/>
      <c r="AP123" s="152"/>
      <c r="AQ123" s="152"/>
      <c r="AR123" s="152"/>
      <c r="AS123" s="152"/>
      <c r="AT123" s="152"/>
      <c r="AU123" s="152"/>
      <c r="AV123" s="57"/>
      <c r="AW123" s="57"/>
      <c r="AX123" s="57"/>
      <c r="AY123" s="57"/>
      <c r="AZ123" s="59"/>
      <c r="BA123" s="34" t="str">
        <f>IF(BB123&amp;BC123&lt;&gt;"",MAX(BA$5:BA122)+1,"")</f>
        <v/>
      </c>
      <c r="BB123" s="35"/>
      <c r="BC123" s="35"/>
      <c r="BD123" s="36"/>
      <c r="BE123" s="37"/>
      <c r="BF123" s="51"/>
      <c r="BG123" s="36"/>
      <c r="BH123" s="64"/>
      <c r="BI123" s="64"/>
      <c r="BJ123" s="64"/>
      <c r="BK123" s="64"/>
      <c r="BL123" s="64"/>
    </row>
    <row r="124" spans="1:64" s="56" customFormat="1" ht="14.25" customHeight="1" x14ac:dyDescent="0.15">
      <c r="A124" s="200"/>
      <c r="B124" s="202"/>
      <c r="C124" s="365" t="str">
        <f>IF(A124&lt;&gt;"",VLOOKUP(A124,項目仕様!$A$6:$L$129,3),"")</f>
        <v/>
      </c>
      <c r="D124" s="366"/>
      <c r="E124" s="366"/>
      <c r="F124" s="366"/>
      <c r="G124" s="366"/>
      <c r="H124" s="366"/>
      <c r="I124" s="366"/>
      <c r="J124" s="366"/>
      <c r="K124" s="367"/>
      <c r="L124" s="287"/>
      <c r="M124" s="288"/>
      <c r="N124" s="288"/>
      <c r="O124" s="288"/>
      <c r="P124" s="288"/>
      <c r="Q124" s="288"/>
      <c r="R124" s="288"/>
      <c r="S124" s="288"/>
      <c r="T124" s="289"/>
      <c r="U124" s="57"/>
      <c r="V124" s="57"/>
      <c r="W124" s="152"/>
      <c r="X124" s="152"/>
      <c r="Y124" s="152" t="s">
        <v>238</v>
      </c>
      <c r="Z124" s="152"/>
      <c r="AA124" s="152"/>
      <c r="AB124" s="152"/>
      <c r="AC124" s="152"/>
      <c r="AD124" s="152"/>
      <c r="AE124" s="154"/>
      <c r="AF124" s="154"/>
      <c r="AG124" s="154"/>
      <c r="AH124" s="154"/>
      <c r="AI124" s="154"/>
      <c r="AJ124" s="152"/>
      <c r="AK124" s="152"/>
      <c r="AL124" s="152"/>
      <c r="AM124" s="152"/>
      <c r="AN124" s="152"/>
      <c r="AO124" s="152"/>
      <c r="AP124" s="152"/>
      <c r="AQ124" s="152"/>
      <c r="AR124" s="152"/>
      <c r="AS124" s="152"/>
      <c r="AT124" s="152"/>
      <c r="AU124" s="152"/>
      <c r="AV124" s="57"/>
      <c r="AW124" s="84"/>
      <c r="AX124" s="84" t="s">
        <v>172</v>
      </c>
      <c r="AY124" s="57" t="s">
        <v>239</v>
      </c>
      <c r="AZ124" s="59"/>
      <c r="BA124" s="34">
        <f>IF(BB124&amp;BC124&lt;&gt;"",MAX(BA$5:BA123)+1,"")</f>
        <v>37</v>
      </c>
      <c r="BB124" s="35" t="s">
        <v>158</v>
      </c>
      <c r="BC124" s="35"/>
      <c r="BD124" s="36"/>
      <c r="BE124" s="37"/>
      <c r="BF124" s="51"/>
      <c r="BG124" s="36"/>
      <c r="BH124" s="64"/>
      <c r="BI124" s="64"/>
      <c r="BJ124" s="64"/>
      <c r="BK124" s="64"/>
      <c r="BL124" s="64"/>
    </row>
    <row r="125" spans="1:64" s="56" customFormat="1" ht="14.25" customHeight="1" x14ac:dyDescent="0.15">
      <c r="A125" s="200"/>
      <c r="B125" s="202"/>
      <c r="C125" s="365" t="str">
        <f>IF(A125&lt;&gt;"",VLOOKUP(A125,項目仕様!$A$6:$L$129,3),"")</f>
        <v/>
      </c>
      <c r="D125" s="366"/>
      <c r="E125" s="366"/>
      <c r="F125" s="366"/>
      <c r="G125" s="366"/>
      <c r="H125" s="366"/>
      <c r="I125" s="366"/>
      <c r="J125" s="366"/>
      <c r="K125" s="367"/>
      <c r="L125" s="287"/>
      <c r="M125" s="288"/>
      <c r="N125" s="288"/>
      <c r="O125" s="288"/>
      <c r="P125" s="288"/>
      <c r="Q125" s="288"/>
      <c r="R125" s="288"/>
      <c r="S125" s="288"/>
      <c r="T125" s="289"/>
      <c r="U125" s="57"/>
      <c r="V125" s="57"/>
      <c r="W125" s="152"/>
      <c r="X125" s="152"/>
      <c r="Y125" s="152"/>
      <c r="Z125" s="152"/>
      <c r="AA125" s="152"/>
      <c r="AB125" s="152"/>
      <c r="AC125" s="152"/>
      <c r="AD125" s="152"/>
      <c r="AE125" s="154"/>
      <c r="AF125" s="154"/>
      <c r="AG125" s="154"/>
      <c r="AH125" s="154"/>
      <c r="AI125" s="154"/>
      <c r="AJ125" s="152"/>
      <c r="AK125" s="152"/>
      <c r="AL125" s="152"/>
      <c r="AM125" s="152"/>
      <c r="AN125" s="152"/>
      <c r="AO125" s="152"/>
      <c r="AP125" s="152"/>
      <c r="AQ125" s="152"/>
      <c r="AR125" s="152"/>
      <c r="AS125" s="152"/>
      <c r="AT125" s="152"/>
      <c r="AU125" s="152"/>
      <c r="AV125" s="57"/>
      <c r="AW125" s="57"/>
      <c r="AX125" s="57"/>
      <c r="AY125" s="57"/>
      <c r="AZ125" s="59"/>
      <c r="BA125" s="34" t="str">
        <f>IF(BB125&amp;BC125&lt;&gt;"",MAX(BA$5:BA124)+1,"")</f>
        <v/>
      </c>
      <c r="BB125" s="35"/>
      <c r="BC125" s="35"/>
      <c r="BD125" s="36"/>
      <c r="BE125" s="37"/>
      <c r="BF125" s="51"/>
      <c r="BG125" s="36"/>
      <c r="BH125" s="64"/>
      <c r="BI125" s="64"/>
      <c r="BJ125" s="64"/>
      <c r="BK125" s="64"/>
      <c r="BL125" s="64"/>
    </row>
    <row r="126" spans="1:64" s="56" customFormat="1" ht="14.25" customHeight="1" x14ac:dyDescent="0.15">
      <c r="A126" s="200"/>
      <c r="B126" s="202"/>
      <c r="C126" s="365" t="str">
        <f>IF(A126&lt;&gt;"",VLOOKUP(A126,項目仕様!$A$6:$L$129,3),"")</f>
        <v/>
      </c>
      <c r="D126" s="366"/>
      <c r="E126" s="366"/>
      <c r="F126" s="366"/>
      <c r="G126" s="366"/>
      <c r="H126" s="366"/>
      <c r="I126" s="366"/>
      <c r="J126" s="366"/>
      <c r="K126" s="367"/>
      <c r="L126" s="287"/>
      <c r="M126" s="288"/>
      <c r="N126" s="288"/>
      <c r="O126" s="288"/>
      <c r="P126" s="288"/>
      <c r="Q126" s="288"/>
      <c r="R126" s="288"/>
      <c r="S126" s="288"/>
      <c r="T126" s="289"/>
      <c r="U126" s="70"/>
      <c r="V126" s="70"/>
      <c r="W126" s="146" t="s">
        <v>393</v>
      </c>
      <c r="X126" s="152"/>
      <c r="Y126" s="152" t="s">
        <v>177</v>
      </c>
      <c r="Z126" s="152"/>
      <c r="AA126" s="152"/>
      <c r="AB126" s="152"/>
      <c r="AC126" s="152"/>
      <c r="AD126" s="152"/>
      <c r="AE126" s="154"/>
      <c r="AF126" s="154"/>
      <c r="AG126" s="154"/>
      <c r="AH126" s="154"/>
      <c r="AI126" s="154"/>
      <c r="AJ126" s="152"/>
      <c r="AK126" s="152"/>
      <c r="AL126" s="152"/>
      <c r="AM126" s="152"/>
      <c r="AN126" s="152"/>
      <c r="AO126" s="152"/>
      <c r="AP126" s="152"/>
      <c r="AQ126" s="152"/>
      <c r="AR126" s="152"/>
      <c r="AS126" s="152"/>
      <c r="AT126" s="152"/>
      <c r="AU126" s="152"/>
      <c r="AV126" s="57"/>
      <c r="AW126" s="57"/>
      <c r="AX126" s="57"/>
      <c r="AY126" s="57"/>
      <c r="AZ126" s="59"/>
      <c r="BA126" s="34" t="str">
        <f>IF(BB126&amp;BC126&lt;&gt;"",MAX(BA$5:BA125)+1,"")</f>
        <v/>
      </c>
      <c r="BB126" s="35"/>
      <c r="BC126" s="35"/>
      <c r="BD126" s="36"/>
      <c r="BE126" s="37"/>
      <c r="BF126" s="51"/>
      <c r="BG126" s="36"/>
      <c r="BH126" s="64"/>
      <c r="BI126" s="64"/>
      <c r="BJ126" s="64"/>
      <c r="BK126" s="64"/>
      <c r="BL126" s="64"/>
    </row>
    <row r="127" spans="1:64" s="56" customFormat="1" ht="14.25" customHeight="1" x14ac:dyDescent="0.15">
      <c r="A127" s="200"/>
      <c r="B127" s="202"/>
      <c r="C127" s="365" t="str">
        <f>IF(A127&lt;&gt;"",VLOOKUP(A127,項目仕様!$A$6:$L$129,3),"")</f>
        <v/>
      </c>
      <c r="D127" s="366"/>
      <c r="E127" s="366"/>
      <c r="F127" s="366"/>
      <c r="G127" s="366"/>
      <c r="H127" s="366"/>
      <c r="I127" s="366"/>
      <c r="J127" s="366"/>
      <c r="K127" s="367"/>
      <c r="L127" s="287"/>
      <c r="M127" s="288"/>
      <c r="N127" s="288"/>
      <c r="O127" s="288"/>
      <c r="P127" s="288"/>
      <c r="Q127" s="288"/>
      <c r="R127" s="288"/>
      <c r="S127" s="288"/>
      <c r="T127" s="289"/>
      <c r="U127" s="57"/>
      <c r="V127" s="57"/>
      <c r="W127" s="152"/>
      <c r="X127" s="70"/>
      <c r="Y127" s="152"/>
      <c r="Z127" s="152" t="s">
        <v>171</v>
      </c>
      <c r="AA127" s="152"/>
      <c r="AB127" s="152"/>
      <c r="AC127" s="152"/>
      <c r="AD127" s="152"/>
      <c r="AE127" s="154"/>
      <c r="AF127" s="154"/>
      <c r="AG127" s="154"/>
      <c r="AH127" s="154"/>
      <c r="AI127" s="154"/>
      <c r="AJ127" s="152"/>
      <c r="AK127" s="152"/>
      <c r="AL127" s="152"/>
      <c r="AM127" s="152"/>
      <c r="AN127" s="152"/>
      <c r="AO127" s="152"/>
      <c r="AP127" s="152"/>
      <c r="AQ127" s="152"/>
      <c r="AR127" s="152"/>
      <c r="AS127" s="152"/>
      <c r="AT127" s="152"/>
      <c r="AU127" s="152"/>
      <c r="AV127" s="57"/>
      <c r="AW127" s="152"/>
      <c r="AX127" s="84"/>
      <c r="AY127" s="57"/>
      <c r="AZ127" s="59"/>
      <c r="BA127" s="34">
        <f>IF(BB127&amp;BC127&lt;&gt;"",MAX(BA$5:BA126)+1,"")</f>
        <v>38</v>
      </c>
      <c r="BB127" s="35" t="s">
        <v>158</v>
      </c>
      <c r="BC127" s="35"/>
      <c r="BD127" s="36"/>
      <c r="BE127" s="37"/>
      <c r="BF127" s="51"/>
      <c r="BG127" s="36"/>
      <c r="BH127" s="64"/>
      <c r="BI127" s="64"/>
      <c r="BJ127" s="64"/>
      <c r="BK127" s="64"/>
      <c r="BL127" s="64"/>
    </row>
    <row r="128" spans="1:64" s="56" customFormat="1" ht="14.25" customHeight="1" x14ac:dyDescent="0.15">
      <c r="A128" s="200"/>
      <c r="B128" s="202"/>
      <c r="C128" s="365" t="str">
        <f>IF(A128&lt;&gt;"",VLOOKUP(A128,項目仕様!$A$6:$L$129,3),"")</f>
        <v/>
      </c>
      <c r="D128" s="366"/>
      <c r="E128" s="366"/>
      <c r="F128" s="366"/>
      <c r="G128" s="366"/>
      <c r="H128" s="366"/>
      <c r="I128" s="366"/>
      <c r="J128" s="366"/>
      <c r="K128" s="367"/>
      <c r="L128" s="287"/>
      <c r="M128" s="288"/>
      <c r="N128" s="288"/>
      <c r="O128" s="288"/>
      <c r="P128" s="288"/>
      <c r="Q128" s="288"/>
      <c r="R128" s="288"/>
      <c r="S128" s="288"/>
      <c r="T128" s="289"/>
      <c r="U128" s="57"/>
      <c r="V128" s="57"/>
      <c r="W128" s="152"/>
      <c r="X128" s="152"/>
      <c r="Y128" s="152"/>
      <c r="Z128" s="152"/>
      <c r="AA128" s="152" t="s">
        <v>178</v>
      </c>
      <c r="AB128" s="152"/>
      <c r="AC128" s="152"/>
      <c r="AD128" s="152"/>
      <c r="AE128" s="154"/>
      <c r="AF128" s="154"/>
      <c r="AG128" s="154"/>
      <c r="AH128" s="154"/>
      <c r="AI128" s="154"/>
      <c r="AJ128" s="152"/>
      <c r="AK128" s="152"/>
      <c r="AL128" s="152"/>
      <c r="AM128" s="152"/>
      <c r="AN128" s="152"/>
      <c r="AO128" s="152"/>
      <c r="AP128" s="152"/>
      <c r="AQ128" s="152"/>
      <c r="AR128" s="152"/>
      <c r="AS128" s="152"/>
      <c r="AT128" s="152"/>
      <c r="AU128" s="152"/>
      <c r="AV128" s="57"/>
      <c r="AW128" s="152"/>
      <c r="AX128" s="84" t="s">
        <v>172</v>
      </c>
      <c r="AY128" s="152" t="s">
        <v>173</v>
      </c>
      <c r="AZ128" s="59"/>
      <c r="BA128" s="34" t="str">
        <f>IF(BB128&amp;BC128&lt;&gt;"",MAX(BA$5:BA127)+1,"")</f>
        <v/>
      </c>
      <c r="BB128" s="35"/>
      <c r="BC128" s="35"/>
      <c r="BD128" s="36"/>
      <c r="BE128" s="37"/>
      <c r="BF128" s="51"/>
      <c r="BG128" s="36"/>
      <c r="BH128" s="64"/>
      <c r="BI128" s="64"/>
      <c r="BJ128" s="64"/>
      <c r="BK128" s="64"/>
      <c r="BL128" s="64"/>
    </row>
    <row r="129" spans="1:64" s="56" customFormat="1" ht="14.25" customHeight="1" x14ac:dyDescent="0.15">
      <c r="A129" s="200"/>
      <c r="B129" s="202"/>
      <c r="C129" s="365" t="str">
        <f>IF(A129&lt;&gt;"",VLOOKUP(A129,項目仕様!$A$6:$L$129,3),"")</f>
        <v/>
      </c>
      <c r="D129" s="366"/>
      <c r="E129" s="366"/>
      <c r="F129" s="366"/>
      <c r="G129" s="366"/>
      <c r="H129" s="366"/>
      <c r="I129" s="366"/>
      <c r="J129" s="366"/>
      <c r="K129" s="367"/>
      <c r="L129" s="287"/>
      <c r="M129" s="288"/>
      <c r="N129" s="288"/>
      <c r="O129" s="288"/>
      <c r="P129" s="288"/>
      <c r="Q129" s="288"/>
      <c r="R129" s="288"/>
      <c r="S129" s="288"/>
      <c r="T129" s="289"/>
      <c r="U129" s="57"/>
      <c r="V129" s="57"/>
      <c r="W129" s="152"/>
      <c r="X129" s="152"/>
      <c r="Y129" s="152"/>
      <c r="Z129" s="152"/>
      <c r="AA129" s="152"/>
      <c r="AB129" s="152"/>
      <c r="AC129" s="152"/>
      <c r="AD129" s="152"/>
      <c r="AE129" s="154"/>
      <c r="AF129" s="154"/>
      <c r="AG129" s="154"/>
      <c r="AH129" s="154"/>
      <c r="AI129" s="154"/>
      <c r="AJ129" s="152"/>
      <c r="AK129" s="152"/>
      <c r="AL129" s="152"/>
      <c r="AM129" s="152"/>
      <c r="AN129" s="152"/>
      <c r="AO129" s="152"/>
      <c r="AP129" s="152"/>
      <c r="AQ129" s="152"/>
      <c r="AR129" s="152"/>
      <c r="AS129" s="152"/>
      <c r="AT129" s="152"/>
      <c r="AU129" s="152"/>
      <c r="AV129" s="57"/>
      <c r="AW129" s="57"/>
      <c r="AX129" s="57"/>
      <c r="AY129" s="57"/>
      <c r="AZ129" s="59"/>
      <c r="BA129" s="34" t="str">
        <f>IF(BB129&amp;BC129&lt;&gt;"",MAX(BA$5:BA128)+1,"")</f>
        <v/>
      </c>
      <c r="BB129" s="35"/>
      <c r="BC129" s="35"/>
      <c r="BD129" s="36"/>
      <c r="BE129" s="37"/>
      <c r="BF129" s="51"/>
      <c r="BG129" s="36"/>
      <c r="BH129" s="64"/>
      <c r="BI129" s="64"/>
      <c r="BJ129" s="64"/>
      <c r="BK129" s="64"/>
      <c r="BL129" s="64"/>
    </row>
    <row r="130" spans="1:64" s="56" customFormat="1" ht="14.25" customHeight="1" x14ac:dyDescent="0.15">
      <c r="A130" s="200"/>
      <c r="B130" s="202"/>
      <c r="C130" s="365" t="str">
        <f>IF(A130&lt;&gt;"",VLOOKUP(A130,項目仕様!$A$6:$L$129,3),"")</f>
        <v/>
      </c>
      <c r="D130" s="366"/>
      <c r="E130" s="366"/>
      <c r="F130" s="366"/>
      <c r="G130" s="366"/>
      <c r="H130" s="366"/>
      <c r="I130" s="366"/>
      <c r="J130" s="366"/>
      <c r="K130" s="367"/>
      <c r="L130" s="287"/>
      <c r="M130" s="288"/>
      <c r="N130" s="288"/>
      <c r="O130" s="288"/>
      <c r="P130" s="288"/>
      <c r="Q130" s="288"/>
      <c r="R130" s="288"/>
      <c r="S130" s="288"/>
      <c r="T130" s="289"/>
      <c r="U130" s="70"/>
      <c r="V130" s="70"/>
      <c r="W130" s="146" t="s">
        <v>394</v>
      </c>
      <c r="X130" s="152"/>
      <c r="Y130" s="152" t="s">
        <v>179</v>
      </c>
      <c r="Z130" s="152"/>
      <c r="AA130" s="152"/>
      <c r="AB130" s="152"/>
      <c r="AC130" s="152"/>
      <c r="AD130" s="152"/>
      <c r="AE130" s="154"/>
      <c r="AF130" s="154"/>
      <c r="AG130" s="154"/>
      <c r="AH130" s="154"/>
      <c r="AI130" s="154"/>
      <c r="AJ130" s="152"/>
      <c r="AK130" s="152"/>
      <c r="AL130" s="152"/>
      <c r="AM130" s="152"/>
      <c r="AN130" s="152"/>
      <c r="AO130" s="152"/>
      <c r="AP130" s="152"/>
      <c r="AQ130" s="152"/>
      <c r="AR130" s="152"/>
      <c r="AS130" s="152"/>
      <c r="AT130" s="152"/>
      <c r="AU130" s="152"/>
      <c r="AV130" s="57"/>
      <c r="AW130" s="152"/>
      <c r="AX130" s="57"/>
      <c r="AY130" s="57"/>
      <c r="AZ130" s="59"/>
      <c r="BA130" s="34" t="str">
        <f>IF(BB130&amp;BC130&lt;&gt;"",MAX(BA$5:BA129)+1,"")</f>
        <v/>
      </c>
      <c r="BB130" s="35"/>
      <c r="BC130" s="35"/>
      <c r="BD130" s="36"/>
      <c r="BE130" s="37"/>
      <c r="BF130" s="51"/>
      <c r="BG130" s="36"/>
      <c r="BH130" s="64"/>
      <c r="BI130" s="64"/>
      <c r="BJ130" s="64"/>
      <c r="BK130" s="64"/>
      <c r="BL130" s="64"/>
    </row>
    <row r="131" spans="1:64" s="56" customFormat="1" ht="14.25" customHeight="1" x14ac:dyDescent="0.15">
      <c r="A131" s="200"/>
      <c r="B131" s="202"/>
      <c r="C131" s="365" t="str">
        <f>IF(A131&lt;&gt;"",VLOOKUP(A131,項目仕様!$A$6:$L$129,3),"")</f>
        <v/>
      </c>
      <c r="D131" s="366"/>
      <c r="E131" s="366"/>
      <c r="F131" s="366"/>
      <c r="G131" s="366"/>
      <c r="H131" s="366"/>
      <c r="I131" s="366"/>
      <c r="J131" s="366"/>
      <c r="K131" s="367"/>
      <c r="L131" s="287"/>
      <c r="M131" s="288"/>
      <c r="N131" s="288"/>
      <c r="O131" s="288"/>
      <c r="P131" s="288"/>
      <c r="Q131" s="288"/>
      <c r="R131" s="288"/>
      <c r="S131" s="288"/>
      <c r="T131" s="289"/>
      <c r="U131" s="57"/>
      <c r="V131" s="70"/>
      <c r="W131" s="70"/>
      <c r="X131" s="70"/>
      <c r="Y131" s="152"/>
      <c r="Z131" s="152" t="s">
        <v>171</v>
      </c>
      <c r="AA131" s="152"/>
      <c r="AB131" s="152"/>
      <c r="AC131" s="152"/>
      <c r="AD131" s="152"/>
      <c r="AE131" s="154"/>
      <c r="AF131" s="154"/>
      <c r="AG131" s="154"/>
      <c r="AH131" s="154"/>
      <c r="AI131" s="154"/>
      <c r="AJ131" s="152"/>
      <c r="AK131" s="152"/>
      <c r="AL131" s="152"/>
      <c r="AM131" s="152"/>
      <c r="AN131" s="152"/>
      <c r="AO131" s="152"/>
      <c r="AP131" s="152"/>
      <c r="AQ131" s="152"/>
      <c r="AR131" s="152"/>
      <c r="AS131" s="152"/>
      <c r="AT131" s="152"/>
      <c r="AU131" s="152"/>
      <c r="AV131" s="57"/>
      <c r="AW131" s="152"/>
      <c r="AX131" s="84"/>
      <c r="AY131" s="57"/>
      <c r="AZ131" s="59"/>
      <c r="BA131" s="34">
        <f>IF(BB131&amp;BC131&lt;&gt;"",MAX(BA$5:BA130)+1,"")</f>
        <v>39</v>
      </c>
      <c r="BB131" s="35" t="s">
        <v>158</v>
      </c>
      <c r="BC131" s="35"/>
      <c r="BD131" s="36"/>
      <c r="BE131" s="37"/>
      <c r="BF131" s="51"/>
      <c r="BG131" s="36"/>
      <c r="BH131" s="64"/>
      <c r="BI131" s="64"/>
      <c r="BJ131" s="64"/>
      <c r="BK131" s="64"/>
      <c r="BL131" s="64"/>
    </row>
    <row r="132" spans="1:64" s="56" customFormat="1" ht="14.25" customHeight="1" x14ac:dyDescent="0.15">
      <c r="A132" s="200"/>
      <c r="B132" s="202"/>
      <c r="C132" s="365" t="str">
        <f>IF(A132&lt;&gt;"",VLOOKUP(A132,項目仕様!$A$6:$L$129,3),"")</f>
        <v/>
      </c>
      <c r="D132" s="366"/>
      <c r="E132" s="366"/>
      <c r="F132" s="366"/>
      <c r="G132" s="366"/>
      <c r="H132" s="366"/>
      <c r="I132" s="366"/>
      <c r="J132" s="366"/>
      <c r="K132" s="367"/>
      <c r="L132" s="287"/>
      <c r="M132" s="288"/>
      <c r="N132" s="288"/>
      <c r="O132" s="288"/>
      <c r="P132" s="288"/>
      <c r="Q132" s="288"/>
      <c r="R132" s="288"/>
      <c r="S132" s="288"/>
      <c r="T132" s="289"/>
      <c r="U132" s="57"/>
      <c r="V132" s="57"/>
      <c r="W132" s="152"/>
      <c r="X132" s="152"/>
      <c r="Y132" s="152"/>
      <c r="Z132" s="152"/>
      <c r="AA132" s="152" t="s">
        <v>174</v>
      </c>
      <c r="AB132" s="152"/>
      <c r="AC132" s="152"/>
      <c r="AD132" s="152"/>
      <c r="AE132" s="154"/>
      <c r="AF132" s="154"/>
      <c r="AG132" s="154"/>
      <c r="AH132" s="154"/>
      <c r="AI132" s="154"/>
      <c r="AJ132" s="152"/>
      <c r="AK132" s="152"/>
      <c r="AL132" s="152"/>
      <c r="AM132" s="152"/>
      <c r="AN132" s="152"/>
      <c r="AO132" s="152"/>
      <c r="AP132" s="152"/>
      <c r="AQ132" s="152"/>
      <c r="AR132" s="152"/>
      <c r="AS132" s="152"/>
      <c r="AT132" s="152"/>
      <c r="AU132" s="152"/>
      <c r="AV132" s="57"/>
      <c r="AW132" s="152"/>
      <c r="AX132" s="84" t="s">
        <v>172</v>
      </c>
      <c r="AY132" s="152" t="s">
        <v>173</v>
      </c>
      <c r="AZ132" s="59"/>
      <c r="BA132" s="34" t="str">
        <f>IF(BB132&amp;BC132&lt;&gt;"",MAX(BA$5:BA131)+1,"")</f>
        <v/>
      </c>
      <c r="BB132" s="35"/>
      <c r="BC132" s="35"/>
      <c r="BD132" s="36"/>
      <c r="BE132" s="37"/>
      <c r="BF132" s="51"/>
      <c r="BG132" s="36"/>
      <c r="BH132" s="64"/>
      <c r="BI132" s="64"/>
      <c r="BJ132" s="64"/>
      <c r="BK132" s="64"/>
      <c r="BL132" s="64"/>
    </row>
    <row r="133" spans="1:64" s="56" customFormat="1" ht="14.25" customHeight="1" x14ac:dyDescent="0.15">
      <c r="A133" s="200"/>
      <c r="B133" s="202"/>
      <c r="C133" s="365" t="str">
        <f>IF(A133&lt;&gt;"",VLOOKUP(A133,項目仕様!$A$6:$L$129,3),"")</f>
        <v/>
      </c>
      <c r="D133" s="366"/>
      <c r="E133" s="366"/>
      <c r="F133" s="366"/>
      <c r="G133" s="366"/>
      <c r="H133" s="366"/>
      <c r="I133" s="366"/>
      <c r="J133" s="366"/>
      <c r="K133" s="367"/>
      <c r="L133" s="287"/>
      <c r="M133" s="288"/>
      <c r="N133" s="288"/>
      <c r="O133" s="288"/>
      <c r="P133" s="288"/>
      <c r="Q133" s="288"/>
      <c r="R133" s="288"/>
      <c r="S133" s="288"/>
      <c r="T133" s="289"/>
      <c r="U133" s="57"/>
      <c r="V133" s="57"/>
      <c r="W133" s="152"/>
      <c r="X133" s="152"/>
      <c r="Y133" s="152"/>
      <c r="Z133" s="152"/>
      <c r="AA133" s="152"/>
      <c r="AB133" s="152"/>
      <c r="AC133" s="152"/>
      <c r="AD133" s="152"/>
      <c r="AE133" s="154"/>
      <c r="AF133" s="154"/>
      <c r="AG133" s="154"/>
      <c r="AH133" s="154"/>
      <c r="AI133" s="154"/>
      <c r="AJ133" s="152"/>
      <c r="AK133" s="152"/>
      <c r="AL133" s="152"/>
      <c r="AM133" s="152"/>
      <c r="AN133" s="152"/>
      <c r="AO133" s="152"/>
      <c r="AP133" s="152"/>
      <c r="AQ133" s="152"/>
      <c r="AR133" s="152"/>
      <c r="AS133" s="152"/>
      <c r="AT133" s="152"/>
      <c r="AU133" s="152"/>
      <c r="AV133" s="57"/>
      <c r="AW133" s="152"/>
      <c r="AX133" s="57"/>
      <c r="AY133" s="57"/>
      <c r="AZ133" s="59"/>
      <c r="BA133" s="34" t="str">
        <f>IF(BB133&amp;BC133&lt;&gt;"",MAX(BA$5:BA132)+1,"")</f>
        <v/>
      </c>
      <c r="BB133" s="35"/>
      <c r="BC133" s="35"/>
      <c r="BD133" s="36"/>
      <c r="BE133" s="37"/>
      <c r="BF133" s="51"/>
      <c r="BG133" s="36"/>
      <c r="BH133" s="64"/>
      <c r="BI133" s="64"/>
      <c r="BJ133" s="64"/>
      <c r="BK133" s="64"/>
      <c r="BL133" s="64"/>
    </row>
    <row r="134" spans="1:64" s="56" customFormat="1" ht="14.25" customHeight="1" x14ac:dyDescent="0.15">
      <c r="A134" s="200"/>
      <c r="B134" s="202"/>
      <c r="C134" s="365" t="str">
        <f>IF(A134&lt;&gt;"",VLOOKUP(A134,項目仕様!$A$6:$L$129,3),"")</f>
        <v/>
      </c>
      <c r="D134" s="366"/>
      <c r="E134" s="366"/>
      <c r="F134" s="366"/>
      <c r="G134" s="366"/>
      <c r="H134" s="366"/>
      <c r="I134" s="366"/>
      <c r="J134" s="366"/>
      <c r="K134" s="367"/>
      <c r="L134" s="287"/>
      <c r="M134" s="288"/>
      <c r="N134" s="288"/>
      <c r="O134" s="288"/>
      <c r="P134" s="288"/>
      <c r="Q134" s="288"/>
      <c r="R134" s="288"/>
      <c r="S134" s="288"/>
      <c r="T134" s="289"/>
      <c r="U134" s="70"/>
      <c r="V134" s="163"/>
      <c r="W134" s="163" t="s">
        <v>241</v>
      </c>
      <c r="X134" s="164"/>
      <c r="Y134" s="164" t="s">
        <v>176</v>
      </c>
      <c r="Z134" s="152"/>
      <c r="AA134" s="152"/>
      <c r="AB134" s="152"/>
      <c r="AC134" s="152"/>
      <c r="AD134" s="152"/>
      <c r="AE134" s="154"/>
      <c r="AF134" s="154"/>
      <c r="AG134" s="154"/>
      <c r="AH134" s="154"/>
      <c r="AI134" s="154"/>
      <c r="AJ134" s="152"/>
      <c r="AK134" s="152"/>
      <c r="AL134" s="152"/>
      <c r="AM134" s="152"/>
      <c r="AN134" s="152"/>
      <c r="AO134" s="152"/>
      <c r="AP134" s="152"/>
      <c r="AQ134" s="152"/>
      <c r="AR134" s="152"/>
      <c r="AS134" s="152"/>
      <c r="AT134" s="152"/>
      <c r="AU134" s="152"/>
      <c r="AV134" s="57"/>
      <c r="AW134" s="57"/>
      <c r="AX134" s="57"/>
      <c r="AY134" s="57"/>
      <c r="AZ134" s="59"/>
      <c r="BA134" s="34">
        <f>IF(BB134&amp;BC134&lt;&gt;"",MAX(BA$5:BA133)+1,"")</f>
        <v>40</v>
      </c>
      <c r="BB134" s="35" t="s">
        <v>158</v>
      </c>
      <c r="BC134" s="35"/>
      <c r="BD134" s="36"/>
      <c r="BE134" s="37"/>
      <c r="BF134" s="51"/>
      <c r="BG134" s="36"/>
      <c r="BH134" s="64"/>
      <c r="BI134" s="64"/>
      <c r="BJ134" s="64"/>
      <c r="BK134" s="64"/>
      <c r="BL134" s="64"/>
    </row>
    <row r="135" spans="1:64" s="56" customFormat="1" ht="14.25" customHeight="1" x14ac:dyDescent="0.15">
      <c r="A135" s="200"/>
      <c r="B135" s="202"/>
      <c r="C135" s="365" t="str">
        <f>IF(A135&lt;&gt;"",VLOOKUP(A135,項目仕様!$A$6:$L$129,3),"")</f>
        <v/>
      </c>
      <c r="D135" s="366"/>
      <c r="E135" s="366"/>
      <c r="F135" s="366"/>
      <c r="G135" s="366"/>
      <c r="H135" s="366"/>
      <c r="I135" s="366"/>
      <c r="J135" s="366"/>
      <c r="K135" s="367"/>
      <c r="L135" s="287"/>
      <c r="M135" s="288"/>
      <c r="N135" s="288"/>
      <c r="O135" s="288"/>
      <c r="P135" s="288"/>
      <c r="Q135" s="288"/>
      <c r="R135" s="288"/>
      <c r="S135" s="288"/>
      <c r="T135" s="289"/>
      <c r="U135" s="57"/>
      <c r="V135" s="57"/>
      <c r="W135" s="152"/>
      <c r="X135" s="152"/>
      <c r="Y135" s="152"/>
      <c r="Z135" s="152"/>
      <c r="AA135" s="152"/>
      <c r="AB135" s="152"/>
      <c r="AC135" s="152"/>
      <c r="AD135" s="152"/>
      <c r="AE135" s="154"/>
      <c r="AF135" s="154"/>
      <c r="AG135" s="154"/>
      <c r="AH135" s="154"/>
      <c r="AI135" s="154"/>
      <c r="AJ135" s="152"/>
      <c r="AK135" s="152"/>
      <c r="AL135" s="152"/>
      <c r="AM135" s="152"/>
      <c r="AN135" s="152"/>
      <c r="AO135" s="152"/>
      <c r="AP135" s="152"/>
      <c r="AQ135" s="152"/>
      <c r="AR135" s="152"/>
      <c r="AS135" s="152"/>
      <c r="AT135" s="152"/>
      <c r="AU135" s="152"/>
      <c r="AV135" s="57"/>
      <c r="AW135" s="57"/>
      <c r="AX135" s="57"/>
      <c r="AY135" s="57"/>
      <c r="AZ135" s="59"/>
      <c r="BA135" s="34" t="str">
        <f>IF(BB135&amp;BC135&lt;&gt;"",MAX(BA$5:BA134)+1,"")</f>
        <v/>
      </c>
      <c r="BB135" s="35"/>
      <c r="BC135" s="35"/>
      <c r="BD135" s="36"/>
      <c r="BE135" s="37"/>
      <c r="BF135" s="51"/>
      <c r="BG135" s="36"/>
      <c r="BH135" s="64"/>
      <c r="BI135" s="64"/>
      <c r="BJ135" s="64"/>
      <c r="BK135" s="64"/>
      <c r="BL135" s="64"/>
    </row>
    <row r="136" spans="1:64" s="56" customFormat="1" ht="14.25" customHeight="1" x14ac:dyDescent="0.15">
      <c r="A136" s="200"/>
      <c r="B136" s="202"/>
      <c r="C136" s="365" t="str">
        <f>IF(A136&lt;&gt;"",VLOOKUP(A136,項目仕様!$A$6:$L$129,3),"")</f>
        <v/>
      </c>
      <c r="D136" s="366"/>
      <c r="E136" s="366"/>
      <c r="F136" s="366"/>
      <c r="G136" s="366"/>
      <c r="H136" s="366"/>
      <c r="I136" s="366"/>
      <c r="J136" s="366"/>
      <c r="K136" s="367"/>
      <c r="L136" s="287"/>
      <c r="M136" s="288"/>
      <c r="N136" s="288"/>
      <c r="O136" s="288"/>
      <c r="P136" s="288"/>
      <c r="Q136" s="288"/>
      <c r="R136" s="288"/>
      <c r="S136" s="288"/>
      <c r="T136" s="289"/>
      <c r="U136" s="70"/>
      <c r="V136" s="146" t="s">
        <v>372</v>
      </c>
      <c r="W136" s="152"/>
      <c r="X136" s="152" t="s">
        <v>367</v>
      </c>
      <c r="Y136" s="152"/>
      <c r="Z136" s="152"/>
      <c r="AA136" s="152"/>
      <c r="AB136" s="152"/>
      <c r="AC136" s="152"/>
      <c r="AD136" s="152"/>
      <c r="AE136" s="154"/>
      <c r="AF136" s="154"/>
      <c r="AG136" s="154"/>
      <c r="AH136" s="154"/>
      <c r="AI136" s="154"/>
      <c r="AJ136" s="152"/>
      <c r="AK136" s="152"/>
      <c r="AL136" s="152"/>
      <c r="AM136" s="152"/>
      <c r="AN136" s="152"/>
      <c r="AO136" s="152"/>
      <c r="AP136" s="152"/>
      <c r="AQ136" s="152"/>
      <c r="AR136" s="152"/>
      <c r="AS136" s="152"/>
      <c r="AT136" s="152"/>
      <c r="AU136" s="152"/>
      <c r="AV136" s="57"/>
      <c r="AW136" s="57"/>
      <c r="AX136" s="57"/>
      <c r="AY136" s="57"/>
      <c r="AZ136" s="59"/>
      <c r="BA136" s="34" t="str">
        <f>IF(BB136&amp;BC136&lt;&gt;"",MAX(BA$5:BA135)+1,"")</f>
        <v/>
      </c>
      <c r="BB136" s="35"/>
      <c r="BC136" s="35"/>
      <c r="BD136" s="36"/>
      <c r="BE136" s="37"/>
      <c r="BF136" s="51"/>
      <c r="BG136" s="36"/>
      <c r="BH136" s="64"/>
      <c r="BI136" s="64"/>
      <c r="BJ136" s="64"/>
      <c r="BK136" s="64"/>
      <c r="BL136" s="64"/>
    </row>
    <row r="137" spans="1:64" s="56" customFormat="1" ht="14.25" customHeight="1" x14ac:dyDescent="0.15">
      <c r="A137" s="200"/>
      <c r="B137" s="202"/>
      <c r="C137" s="365" t="str">
        <f>IF(A137&lt;&gt;"",VLOOKUP(A137,項目仕様!$A$6:$L$129,3),"")</f>
        <v/>
      </c>
      <c r="D137" s="366"/>
      <c r="E137" s="366"/>
      <c r="F137" s="366"/>
      <c r="G137" s="366"/>
      <c r="H137" s="366"/>
      <c r="I137" s="366"/>
      <c r="J137" s="366"/>
      <c r="K137" s="367"/>
      <c r="L137" s="287"/>
      <c r="M137" s="288"/>
      <c r="N137" s="288"/>
      <c r="O137" s="288"/>
      <c r="P137" s="288"/>
      <c r="Q137" s="288"/>
      <c r="R137" s="288"/>
      <c r="S137" s="288"/>
      <c r="T137" s="289"/>
      <c r="U137" s="57"/>
      <c r="V137" s="57"/>
      <c r="W137" s="152"/>
      <c r="X137" s="152"/>
      <c r="Y137" s="152"/>
      <c r="Z137" s="152"/>
      <c r="AA137" s="152"/>
      <c r="AB137" s="152"/>
      <c r="AC137" s="152"/>
      <c r="AD137" s="152"/>
      <c r="AE137" s="154"/>
      <c r="AF137" s="154"/>
      <c r="AG137" s="154"/>
      <c r="AH137" s="154"/>
      <c r="AI137" s="154"/>
      <c r="AJ137" s="152"/>
      <c r="AK137" s="152"/>
      <c r="AL137" s="152"/>
      <c r="AM137" s="152"/>
      <c r="AN137" s="152"/>
      <c r="AO137" s="152"/>
      <c r="AP137" s="152"/>
      <c r="AQ137" s="152"/>
      <c r="AR137" s="152"/>
      <c r="AS137" s="152"/>
      <c r="AT137" s="152"/>
      <c r="AU137" s="152"/>
      <c r="AV137" s="57"/>
      <c r="AW137" s="57"/>
      <c r="AX137" s="57"/>
      <c r="AY137" s="57"/>
      <c r="AZ137" s="59"/>
      <c r="BA137" s="34" t="str">
        <f>IF(BB137&amp;BC137&lt;&gt;"",MAX(BA$5:BA136)+1,"")</f>
        <v/>
      </c>
      <c r="BB137" s="35"/>
      <c r="BC137" s="35"/>
      <c r="BD137" s="36"/>
      <c r="BE137" s="37"/>
      <c r="BF137" s="51"/>
      <c r="BG137" s="36"/>
      <c r="BH137" s="64"/>
      <c r="BI137" s="64"/>
      <c r="BJ137" s="64"/>
      <c r="BK137" s="64"/>
      <c r="BL137" s="64"/>
    </row>
    <row r="138" spans="1:64" s="56" customFormat="1" ht="14.25" customHeight="1" x14ac:dyDescent="0.15">
      <c r="A138" s="200"/>
      <c r="B138" s="202"/>
      <c r="C138" s="365" t="str">
        <f>IF(A138&lt;&gt;"",VLOOKUP(A138,項目仕様!$A$6:$L$129,3),"")</f>
        <v/>
      </c>
      <c r="D138" s="366"/>
      <c r="E138" s="366"/>
      <c r="F138" s="366"/>
      <c r="G138" s="366"/>
      <c r="H138" s="366"/>
      <c r="I138" s="366"/>
      <c r="J138" s="366"/>
      <c r="K138" s="367"/>
      <c r="L138" s="287"/>
      <c r="M138" s="288"/>
      <c r="N138" s="288"/>
      <c r="O138" s="288"/>
      <c r="P138" s="288"/>
      <c r="Q138" s="288"/>
      <c r="R138" s="288"/>
      <c r="S138" s="288"/>
      <c r="T138" s="289"/>
      <c r="U138" s="57"/>
      <c r="V138" s="70"/>
      <c r="W138" s="146" t="s">
        <v>225</v>
      </c>
      <c r="X138" s="152"/>
      <c r="Y138" s="152" t="s">
        <v>242</v>
      </c>
      <c r="Z138" s="152"/>
      <c r="AA138" s="152"/>
      <c r="AB138" s="152"/>
      <c r="AC138" s="152"/>
      <c r="AD138" s="152"/>
      <c r="AE138" s="154"/>
      <c r="AF138" s="154"/>
      <c r="AG138" s="154"/>
      <c r="AH138" s="154"/>
      <c r="AI138" s="154"/>
      <c r="AJ138" s="152"/>
      <c r="AK138" s="152"/>
      <c r="AL138" s="152"/>
      <c r="AM138" s="152"/>
      <c r="AN138" s="152"/>
      <c r="AO138" s="152"/>
      <c r="AP138" s="152"/>
      <c r="AQ138" s="152"/>
      <c r="AR138" s="152"/>
      <c r="AS138" s="152"/>
      <c r="AT138" s="152"/>
      <c r="AU138" s="152"/>
      <c r="AV138" s="57"/>
      <c r="AW138" s="57"/>
      <c r="AX138" s="57"/>
      <c r="AY138" s="57"/>
      <c r="AZ138" s="59"/>
      <c r="BA138" s="34" t="str">
        <f>IF(BB138&amp;BC138&lt;&gt;"",MAX(BA$5:BA137)+1,"")</f>
        <v/>
      </c>
      <c r="BB138" s="35"/>
      <c r="BC138" s="35"/>
      <c r="BD138" s="36"/>
      <c r="BE138" s="37"/>
      <c r="BF138" s="51"/>
      <c r="BG138" s="36"/>
      <c r="BH138" s="64"/>
      <c r="BI138" s="64"/>
      <c r="BJ138" s="64"/>
      <c r="BK138" s="64"/>
      <c r="BL138" s="64"/>
    </row>
    <row r="139" spans="1:64" s="56" customFormat="1" ht="14.25" customHeight="1" x14ac:dyDescent="0.15">
      <c r="A139" s="200"/>
      <c r="B139" s="202"/>
      <c r="C139" s="365" t="str">
        <f>IF(A139&lt;&gt;"",VLOOKUP(A139,項目仕様!$A$6:$L$129,3),"")</f>
        <v/>
      </c>
      <c r="D139" s="366"/>
      <c r="E139" s="366"/>
      <c r="F139" s="366"/>
      <c r="G139" s="366"/>
      <c r="H139" s="366"/>
      <c r="I139" s="366"/>
      <c r="J139" s="366"/>
      <c r="K139" s="367"/>
      <c r="L139" s="287"/>
      <c r="M139" s="288"/>
      <c r="N139" s="288"/>
      <c r="O139" s="288"/>
      <c r="P139" s="288"/>
      <c r="Q139" s="288"/>
      <c r="R139" s="288"/>
      <c r="S139" s="288"/>
      <c r="T139" s="289"/>
      <c r="U139" s="57"/>
      <c r="V139" s="57"/>
      <c r="W139" s="152"/>
      <c r="X139" s="152"/>
      <c r="Y139" s="152"/>
      <c r="Z139" s="152" t="s">
        <v>243</v>
      </c>
      <c r="AA139" s="152"/>
      <c r="AB139" s="152"/>
      <c r="AC139" s="152"/>
      <c r="AD139" s="152"/>
      <c r="AE139" s="154"/>
      <c r="AF139" s="154"/>
      <c r="AG139" s="154"/>
      <c r="AH139" s="154"/>
      <c r="AI139" s="154"/>
      <c r="AJ139" s="152"/>
      <c r="AK139" s="152"/>
      <c r="AL139" s="152"/>
      <c r="AM139" s="152"/>
      <c r="AN139" s="152"/>
      <c r="AO139" s="152"/>
      <c r="AP139" s="152"/>
      <c r="AQ139" s="152"/>
      <c r="AR139" s="152"/>
      <c r="AS139" s="152"/>
      <c r="AT139" s="152"/>
      <c r="AU139" s="152"/>
      <c r="AV139" s="57"/>
      <c r="AW139" s="57"/>
      <c r="AX139" s="57"/>
      <c r="AY139" s="57"/>
      <c r="AZ139" s="59"/>
      <c r="BA139" s="34">
        <f>IF(BB139&amp;BC139&lt;&gt;"",MAX(BA$5:BA138)+1,"")</f>
        <v>41</v>
      </c>
      <c r="BB139" s="35" t="s">
        <v>244</v>
      </c>
      <c r="BC139" s="35"/>
      <c r="BD139" s="36"/>
      <c r="BE139" s="37"/>
      <c r="BF139" s="51"/>
      <c r="BG139" s="36"/>
      <c r="BH139" s="64"/>
      <c r="BI139" s="64"/>
      <c r="BJ139" s="64"/>
      <c r="BK139" s="64"/>
      <c r="BL139" s="64"/>
    </row>
    <row r="140" spans="1:64" s="56" customFormat="1" ht="14.25" customHeight="1" x14ac:dyDescent="0.15">
      <c r="A140" s="200"/>
      <c r="B140" s="202"/>
      <c r="C140" s="365" t="str">
        <f>IF(A140&lt;&gt;"",VLOOKUP(A140,項目仕様!$A$6:$L$129,3),"")</f>
        <v/>
      </c>
      <c r="D140" s="366"/>
      <c r="E140" s="366"/>
      <c r="F140" s="366"/>
      <c r="G140" s="366"/>
      <c r="H140" s="366"/>
      <c r="I140" s="366"/>
      <c r="J140" s="366"/>
      <c r="K140" s="367"/>
      <c r="L140" s="287"/>
      <c r="M140" s="288"/>
      <c r="N140" s="288"/>
      <c r="O140" s="288"/>
      <c r="P140" s="288"/>
      <c r="Q140" s="288"/>
      <c r="R140" s="288"/>
      <c r="S140" s="288"/>
      <c r="T140" s="289"/>
      <c r="U140" s="57"/>
      <c r="V140" s="57"/>
      <c r="W140" s="152"/>
      <c r="X140" s="152"/>
      <c r="Y140" s="152"/>
      <c r="Z140" s="152"/>
      <c r="AA140" s="152" t="s">
        <v>245</v>
      </c>
      <c r="AB140" s="152"/>
      <c r="AC140" s="152"/>
      <c r="AD140" s="152"/>
      <c r="AE140" s="152"/>
      <c r="AF140" s="154"/>
      <c r="AG140" s="154"/>
      <c r="AH140" s="154"/>
      <c r="AI140" s="154"/>
      <c r="AJ140" s="154"/>
      <c r="AK140" s="152"/>
      <c r="AL140" s="152"/>
      <c r="AM140" s="152"/>
      <c r="AN140" s="152"/>
      <c r="AO140" s="152"/>
      <c r="AP140" s="152"/>
      <c r="AQ140" s="152"/>
      <c r="AR140" s="152"/>
      <c r="AS140" s="152"/>
      <c r="AT140" s="152"/>
      <c r="AU140" s="152"/>
      <c r="AV140" s="57"/>
      <c r="AW140" s="57"/>
      <c r="AX140" s="84" t="s">
        <v>319</v>
      </c>
      <c r="AY140" s="57" t="s">
        <v>246</v>
      </c>
      <c r="AZ140" s="59"/>
      <c r="BA140" s="34" t="str">
        <f>IF(BB140&amp;BC140&lt;&gt;"",MAX(BA$5:BA139)+1,"")</f>
        <v/>
      </c>
      <c r="BB140" s="35"/>
      <c r="BC140" s="35"/>
      <c r="BD140" s="36"/>
      <c r="BE140" s="37"/>
      <c r="BF140" s="51"/>
      <c r="BG140" s="36"/>
      <c r="BH140" s="64"/>
      <c r="BI140" s="64"/>
      <c r="BJ140" s="64"/>
      <c r="BK140" s="64"/>
      <c r="BL140" s="64"/>
    </row>
    <row r="141" spans="1:64" s="56" customFormat="1" ht="14.25" customHeight="1" x14ac:dyDescent="0.15">
      <c r="A141" s="200"/>
      <c r="B141" s="202"/>
      <c r="C141" s="365" t="str">
        <f>IF(A141&lt;&gt;"",VLOOKUP(A141,項目仕様!$A$6:$L$129,3),"")</f>
        <v/>
      </c>
      <c r="D141" s="366"/>
      <c r="E141" s="366"/>
      <c r="F141" s="366"/>
      <c r="G141" s="366"/>
      <c r="H141" s="366"/>
      <c r="I141" s="366"/>
      <c r="J141" s="366"/>
      <c r="K141" s="367"/>
      <c r="L141" s="287"/>
      <c r="M141" s="288"/>
      <c r="N141" s="288"/>
      <c r="O141" s="288"/>
      <c r="P141" s="288"/>
      <c r="Q141" s="288"/>
      <c r="R141" s="288"/>
      <c r="S141" s="288"/>
      <c r="T141" s="289"/>
      <c r="U141" s="57"/>
      <c r="V141" s="57"/>
      <c r="W141" s="152"/>
      <c r="X141" s="152"/>
      <c r="Y141" s="152"/>
      <c r="Z141" s="164" t="s">
        <v>247</v>
      </c>
      <c r="AA141" s="152"/>
      <c r="AB141" s="152"/>
      <c r="AC141" s="152"/>
      <c r="AD141" s="152"/>
      <c r="AE141" s="154"/>
      <c r="AF141" s="154"/>
      <c r="AG141" s="154"/>
      <c r="AH141" s="154"/>
      <c r="AI141" s="154"/>
      <c r="AJ141" s="152"/>
      <c r="AK141" s="152"/>
      <c r="AL141" s="152"/>
      <c r="AM141" s="152"/>
      <c r="AN141" s="152"/>
      <c r="AO141" s="152"/>
      <c r="AP141" s="152"/>
      <c r="AQ141" s="152"/>
      <c r="AR141" s="152"/>
      <c r="AS141" s="152"/>
      <c r="AT141" s="152"/>
      <c r="AU141" s="152"/>
      <c r="AV141" s="57"/>
      <c r="AW141" s="57"/>
      <c r="AX141" s="57"/>
      <c r="AY141" s="57"/>
      <c r="AZ141" s="59"/>
      <c r="BA141" s="34" t="str">
        <f>IF(BB141&amp;BC141&lt;&gt;"",MAX(BA$5:BA140)+1,"")</f>
        <v/>
      </c>
      <c r="BB141" s="35"/>
      <c r="BC141" s="35"/>
      <c r="BD141" s="36"/>
      <c r="BE141" s="37"/>
      <c r="BF141" s="51"/>
      <c r="BG141" s="36"/>
      <c r="BH141" s="64"/>
      <c r="BI141" s="64"/>
      <c r="BJ141" s="64"/>
      <c r="BK141" s="64"/>
      <c r="BL141" s="64"/>
    </row>
    <row r="142" spans="1:64" s="56" customFormat="1" ht="14.25" customHeight="1" x14ac:dyDescent="0.15">
      <c r="A142" s="200"/>
      <c r="B142" s="202"/>
      <c r="C142" s="365" t="str">
        <f>IF(A142&lt;&gt;"",VLOOKUP(A142,項目仕様!$A$6:$L$129,3),"")</f>
        <v/>
      </c>
      <c r="D142" s="366"/>
      <c r="E142" s="366"/>
      <c r="F142" s="366"/>
      <c r="G142" s="366"/>
      <c r="H142" s="366"/>
      <c r="I142" s="366"/>
      <c r="J142" s="366"/>
      <c r="K142" s="367"/>
      <c r="L142" s="287"/>
      <c r="M142" s="288"/>
      <c r="N142" s="288"/>
      <c r="O142" s="288"/>
      <c r="P142" s="288"/>
      <c r="Q142" s="288"/>
      <c r="R142" s="288"/>
      <c r="S142" s="288"/>
      <c r="T142" s="289"/>
      <c r="U142" s="57"/>
      <c r="V142" s="57"/>
      <c r="W142" s="152"/>
      <c r="X142" s="152"/>
      <c r="Y142" s="152"/>
      <c r="Z142" s="152"/>
      <c r="AA142" s="152"/>
      <c r="AB142" s="152"/>
      <c r="AC142" s="152"/>
      <c r="AD142" s="152"/>
      <c r="AE142" s="154"/>
      <c r="AF142" s="154"/>
      <c r="AG142" s="154"/>
      <c r="AH142" s="154"/>
      <c r="AI142" s="154"/>
      <c r="AJ142" s="152"/>
      <c r="AK142" s="152"/>
      <c r="AL142" s="152"/>
      <c r="AM142" s="152"/>
      <c r="AN142" s="152"/>
      <c r="AO142" s="152"/>
      <c r="AP142" s="152"/>
      <c r="AQ142" s="152"/>
      <c r="AR142" s="152"/>
      <c r="AS142" s="152"/>
      <c r="AT142" s="152"/>
      <c r="AU142" s="152"/>
      <c r="AV142" s="57"/>
      <c r="AW142" s="57"/>
      <c r="AX142" s="57"/>
      <c r="AY142" s="57"/>
      <c r="AZ142" s="59"/>
      <c r="BA142" s="34" t="str">
        <f>IF(BB142&amp;BC142&lt;&gt;"",MAX(BA$5:BA141)+1,"")</f>
        <v/>
      </c>
      <c r="BB142" s="35"/>
      <c r="BC142" s="35"/>
      <c r="BD142" s="36"/>
      <c r="BE142" s="37"/>
      <c r="BF142" s="51"/>
      <c r="BG142" s="36"/>
      <c r="BH142" s="64"/>
      <c r="BI142" s="64"/>
      <c r="BJ142" s="64"/>
      <c r="BK142" s="64"/>
      <c r="BL142" s="64"/>
    </row>
    <row r="143" spans="1:64" s="56" customFormat="1" ht="14.25" customHeight="1" x14ac:dyDescent="0.15">
      <c r="A143" s="200"/>
      <c r="B143" s="202"/>
      <c r="C143" s="365" t="str">
        <f>IF(A143&lt;&gt;"",VLOOKUP(A143,項目仕様!$A$6:$L$129,3),"")</f>
        <v/>
      </c>
      <c r="D143" s="366"/>
      <c r="E143" s="366"/>
      <c r="F143" s="366"/>
      <c r="G143" s="366"/>
      <c r="H143" s="366"/>
      <c r="I143" s="366"/>
      <c r="J143" s="366"/>
      <c r="K143" s="367"/>
      <c r="L143" s="287"/>
      <c r="M143" s="288"/>
      <c r="N143" s="288"/>
      <c r="O143" s="288"/>
      <c r="P143" s="288"/>
      <c r="Q143" s="288"/>
      <c r="R143" s="288"/>
      <c r="S143" s="288"/>
      <c r="T143" s="289"/>
      <c r="U143" s="57"/>
      <c r="V143" s="85"/>
      <c r="W143" s="146" t="s">
        <v>228</v>
      </c>
      <c r="X143" s="152"/>
      <c r="Y143" s="152" t="s">
        <v>248</v>
      </c>
      <c r="Z143" s="152"/>
      <c r="AA143" s="152"/>
      <c r="AB143" s="152"/>
      <c r="AC143" s="152"/>
      <c r="AD143" s="152"/>
      <c r="AE143" s="154"/>
      <c r="AF143" s="154"/>
      <c r="AG143" s="154"/>
      <c r="AH143" s="154"/>
      <c r="AI143" s="154"/>
      <c r="AJ143" s="152"/>
      <c r="AK143" s="152"/>
      <c r="AL143" s="152"/>
      <c r="AM143" s="152"/>
      <c r="AN143" s="152"/>
      <c r="AO143" s="152"/>
      <c r="AP143" s="152"/>
      <c r="AQ143" s="152"/>
      <c r="AR143" s="152"/>
      <c r="AS143" s="152"/>
      <c r="AT143" s="152"/>
      <c r="AU143" s="152"/>
      <c r="AV143" s="57"/>
      <c r="AW143" s="57"/>
      <c r="AX143" s="57"/>
      <c r="AY143" s="57"/>
      <c r="AZ143" s="59"/>
      <c r="BA143" s="34" t="str">
        <f>IF(BB143&amp;BC143&lt;&gt;"",MAX(BA$5:BA142)+1,"")</f>
        <v/>
      </c>
      <c r="BB143" s="35"/>
      <c r="BC143" s="35"/>
      <c r="BD143" s="36"/>
      <c r="BE143" s="37"/>
      <c r="BF143" s="51"/>
      <c r="BG143" s="36"/>
      <c r="BH143" s="64"/>
      <c r="BI143" s="64"/>
      <c r="BJ143" s="64"/>
      <c r="BK143" s="64"/>
      <c r="BL143" s="64"/>
    </row>
    <row r="144" spans="1:64" s="56" customFormat="1" ht="14.25" customHeight="1" x14ac:dyDescent="0.15">
      <c r="A144" s="200"/>
      <c r="B144" s="202"/>
      <c r="C144" s="365" t="str">
        <f>IF(A144&lt;&gt;"",VLOOKUP(A144,項目仕様!$A$6:$L$129,3),"")</f>
        <v/>
      </c>
      <c r="D144" s="366"/>
      <c r="E144" s="366"/>
      <c r="F144" s="366"/>
      <c r="G144" s="366"/>
      <c r="H144" s="366"/>
      <c r="I144" s="366"/>
      <c r="J144" s="366"/>
      <c r="K144" s="367"/>
      <c r="L144" s="287"/>
      <c r="M144" s="288"/>
      <c r="N144" s="288"/>
      <c r="O144" s="288"/>
      <c r="P144" s="288"/>
      <c r="Q144" s="288"/>
      <c r="R144" s="288"/>
      <c r="S144" s="288"/>
      <c r="T144" s="289"/>
      <c r="U144" s="57"/>
      <c r="V144" s="57"/>
      <c r="W144" s="152"/>
      <c r="X144" s="152"/>
      <c r="Y144" s="152" t="s">
        <v>249</v>
      </c>
      <c r="Z144" s="152"/>
      <c r="AA144" s="152"/>
      <c r="AB144" s="152"/>
      <c r="AC144" s="152"/>
      <c r="AD144" s="152"/>
      <c r="AE144" s="154"/>
      <c r="AF144" s="154"/>
      <c r="AG144" s="154"/>
      <c r="AH144" s="154"/>
      <c r="AI144" s="154"/>
      <c r="AJ144" s="152"/>
      <c r="AK144" s="152"/>
      <c r="AL144" s="152"/>
      <c r="AM144" s="152"/>
      <c r="AN144" s="152"/>
      <c r="AO144" s="152"/>
      <c r="AP144" s="152"/>
      <c r="AQ144" s="152"/>
      <c r="AR144" s="152"/>
      <c r="AS144" s="152"/>
      <c r="AT144" s="152"/>
      <c r="AU144" s="152"/>
      <c r="AV144" s="57"/>
      <c r="AX144" s="84" t="s">
        <v>172</v>
      </c>
      <c r="AY144" s="57" t="s">
        <v>250</v>
      </c>
      <c r="AZ144" s="59"/>
      <c r="BA144" s="34">
        <f>IF(BB144&amp;BC144&lt;&gt;"",MAX(BA$5:BA143)+1,"")</f>
        <v>42</v>
      </c>
      <c r="BB144" s="35" t="s">
        <v>158</v>
      </c>
      <c r="BC144" s="35"/>
      <c r="BD144" s="36"/>
      <c r="BE144" s="37"/>
      <c r="BF144" s="51"/>
      <c r="BG144" s="36"/>
      <c r="BH144" s="64"/>
      <c r="BI144" s="64"/>
      <c r="BJ144" s="64"/>
      <c r="BK144" s="64"/>
      <c r="BL144" s="64"/>
    </row>
    <row r="145" spans="1:64" s="56" customFormat="1" ht="14.25" customHeight="1" x14ac:dyDescent="0.15">
      <c r="A145" s="200"/>
      <c r="B145" s="202"/>
      <c r="C145" s="365" t="str">
        <f>IF(A145&lt;&gt;"",VLOOKUP(A145,項目仕様!$A$6:$L$129,3),"")</f>
        <v/>
      </c>
      <c r="D145" s="366"/>
      <c r="E145" s="366"/>
      <c r="F145" s="366"/>
      <c r="G145" s="366"/>
      <c r="H145" s="366"/>
      <c r="I145" s="366"/>
      <c r="J145" s="366"/>
      <c r="K145" s="367"/>
      <c r="L145" s="287"/>
      <c r="M145" s="288"/>
      <c r="N145" s="288"/>
      <c r="O145" s="288"/>
      <c r="P145" s="288"/>
      <c r="Q145" s="288"/>
      <c r="R145" s="288"/>
      <c r="S145" s="288"/>
      <c r="T145" s="289"/>
      <c r="U145" s="57"/>
      <c r="V145" s="57"/>
      <c r="W145" s="152"/>
      <c r="X145" s="152"/>
      <c r="Y145" s="152"/>
      <c r="Z145" s="152"/>
      <c r="AA145" s="152"/>
      <c r="AB145" s="152"/>
      <c r="AC145" s="152"/>
      <c r="AD145" s="152"/>
      <c r="AE145" s="154"/>
      <c r="AF145" s="154"/>
      <c r="AG145" s="154"/>
      <c r="AH145" s="154"/>
      <c r="AI145" s="154"/>
      <c r="AJ145" s="152"/>
      <c r="AK145" s="152"/>
      <c r="AL145" s="152"/>
      <c r="AM145" s="152"/>
      <c r="AN145" s="152"/>
      <c r="AO145" s="152"/>
      <c r="AP145" s="152"/>
      <c r="AQ145" s="152"/>
      <c r="AR145" s="152"/>
      <c r="AS145" s="152"/>
      <c r="AT145" s="152"/>
      <c r="AU145" s="152"/>
      <c r="AV145" s="57"/>
      <c r="AW145" s="57"/>
      <c r="AX145" s="57"/>
      <c r="AY145" s="57"/>
      <c r="AZ145" s="59"/>
      <c r="BA145" s="34" t="str">
        <f>IF(BB145&amp;BC145&lt;&gt;"",MAX(BA$5:BA144)+1,"")</f>
        <v/>
      </c>
      <c r="BB145" s="35"/>
      <c r="BC145" s="35"/>
      <c r="BD145" s="36"/>
      <c r="BE145" s="37"/>
      <c r="BF145" s="51"/>
      <c r="BG145" s="36"/>
      <c r="BH145" s="64"/>
      <c r="BI145" s="64"/>
      <c r="BJ145" s="64"/>
      <c r="BK145" s="64"/>
      <c r="BL145" s="64"/>
    </row>
    <row r="146" spans="1:64" s="56" customFormat="1" ht="14.25" customHeight="1" x14ac:dyDescent="0.15">
      <c r="A146" s="200"/>
      <c r="B146" s="202"/>
      <c r="C146" s="365" t="str">
        <f>IF(A146&lt;&gt;"",VLOOKUP(A146,項目仕様!$A$6:$L$129,3),"")</f>
        <v/>
      </c>
      <c r="D146" s="366"/>
      <c r="E146" s="366"/>
      <c r="F146" s="366"/>
      <c r="G146" s="366"/>
      <c r="H146" s="366"/>
      <c r="I146" s="366"/>
      <c r="J146" s="366"/>
      <c r="K146" s="367"/>
      <c r="L146" s="287"/>
      <c r="M146" s="288"/>
      <c r="N146" s="288"/>
      <c r="O146" s="288"/>
      <c r="P146" s="288"/>
      <c r="Q146" s="288"/>
      <c r="R146" s="288"/>
      <c r="S146" s="288"/>
      <c r="T146" s="289"/>
      <c r="U146" s="70"/>
      <c r="V146" s="70"/>
      <c r="W146" s="146" t="s">
        <v>373</v>
      </c>
      <c r="X146" s="152"/>
      <c r="Y146" s="152" t="s">
        <v>177</v>
      </c>
      <c r="Z146" s="152"/>
      <c r="AA146" s="152"/>
      <c r="AB146" s="152"/>
      <c r="AC146" s="152"/>
      <c r="AD146" s="152"/>
      <c r="AE146" s="154"/>
      <c r="AF146" s="154"/>
      <c r="AG146" s="154"/>
      <c r="AH146" s="154"/>
      <c r="AI146" s="154"/>
      <c r="AJ146" s="152"/>
      <c r="AK146" s="152"/>
      <c r="AL146" s="152"/>
      <c r="AM146" s="152"/>
      <c r="AN146" s="152"/>
      <c r="AO146" s="152"/>
      <c r="AP146" s="152"/>
      <c r="AQ146" s="152"/>
      <c r="AR146" s="152"/>
      <c r="AS146" s="152"/>
      <c r="AT146" s="152"/>
      <c r="AU146" s="152"/>
      <c r="AV146" s="57"/>
      <c r="AW146" s="57"/>
      <c r="AX146" s="57"/>
      <c r="AY146" s="57"/>
      <c r="AZ146" s="59"/>
      <c r="BA146" s="34" t="str">
        <f>IF(BB146&amp;BC146&lt;&gt;"",MAX(BA$5:BA145)+1,"")</f>
        <v/>
      </c>
      <c r="BB146" s="35"/>
      <c r="BC146" s="35"/>
      <c r="BD146" s="36"/>
      <c r="BE146" s="37"/>
      <c r="BF146" s="51"/>
      <c r="BG146" s="36"/>
      <c r="BH146" s="64"/>
      <c r="BI146" s="64"/>
      <c r="BJ146" s="64"/>
      <c r="BK146" s="64"/>
      <c r="BL146" s="64"/>
    </row>
    <row r="147" spans="1:64" s="56" customFormat="1" ht="14.25" customHeight="1" x14ac:dyDescent="0.15">
      <c r="A147" s="200"/>
      <c r="B147" s="202"/>
      <c r="C147" s="365" t="str">
        <f>IF(A147&lt;&gt;"",VLOOKUP(A147,項目仕様!$A$6:$L$129,3),"")</f>
        <v/>
      </c>
      <c r="D147" s="366"/>
      <c r="E147" s="366"/>
      <c r="F147" s="366"/>
      <c r="G147" s="366"/>
      <c r="H147" s="366"/>
      <c r="I147" s="366"/>
      <c r="J147" s="366"/>
      <c r="K147" s="367"/>
      <c r="L147" s="287"/>
      <c r="M147" s="288"/>
      <c r="N147" s="288"/>
      <c r="O147" s="288"/>
      <c r="P147" s="288"/>
      <c r="Q147" s="288"/>
      <c r="R147" s="288"/>
      <c r="S147" s="288"/>
      <c r="T147" s="289"/>
      <c r="U147" s="57"/>
      <c r="V147" s="57"/>
      <c r="W147" s="152"/>
      <c r="X147" s="70"/>
      <c r="Y147" s="152"/>
      <c r="Z147" s="152" t="s">
        <v>171</v>
      </c>
      <c r="AA147" s="152"/>
      <c r="AB147" s="152"/>
      <c r="AC147" s="152"/>
      <c r="AD147" s="152"/>
      <c r="AE147" s="154"/>
      <c r="AF147" s="154"/>
      <c r="AG147" s="154"/>
      <c r="AH147" s="154"/>
      <c r="AI147" s="154"/>
      <c r="AJ147" s="152"/>
      <c r="AK147" s="152"/>
      <c r="AL147" s="152"/>
      <c r="AM147" s="152"/>
      <c r="AN147" s="152"/>
      <c r="AO147" s="152"/>
      <c r="AP147" s="152"/>
      <c r="AQ147" s="152"/>
      <c r="AR147" s="152"/>
      <c r="AS147" s="152"/>
      <c r="AT147" s="152"/>
      <c r="AU147" s="152"/>
      <c r="AV147" s="57"/>
      <c r="AW147" s="152"/>
      <c r="AX147" s="84"/>
      <c r="AY147" s="57"/>
      <c r="AZ147" s="59"/>
      <c r="BA147" s="34">
        <f>IF(BB147&amp;BC147&lt;&gt;"",MAX(BA$5:BA146)+1,"")</f>
        <v>43</v>
      </c>
      <c r="BB147" s="35" t="s">
        <v>158</v>
      </c>
      <c r="BC147" s="35"/>
      <c r="BD147" s="36"/>
      <c r="BE147" s="37"/>
      <c r="BF147" s="51"/>
      <c r="BG147" s="36"/>
      <c r="BH147" s="64"/>
      <c r="BI147" s="64"/>
      <c r="BJ147" s="64"/>
      <c r="BK147" s="64"/>
      <c r="BL147" s="64"/>
    </row>
    <row r="148" spans="1:64" s="56" customFormat="1" ht="14.25" customHeight="1" x14ac:dyDescent="0.15">
      <c r="A148" s="200"/>
      <c r="B148" s="202"/>
      <c r="C148" s="365" t="str">
        <f>IF(A148&lt;&gt;"",VLOOKUP(A148,項目仕様!$A$6:$L$129,3),"")</f>
        <v/>
      </c>
      <c r="D148" s="366"/>
      <c r="E148" s="366"/>
      <c r="F148" s="366"/>
      <c r="G148" s="366"/>
      <c r="H148" s="366"/>
      <c r="I148" s="366"/>
      <c r="J148" s="366"/>
      <c r="K148" s="367"/>
      <c r="L148" s="287"/>
      <c r="M148" s="288"/>
      <c r="N148" s="288"/>
      <c r="O148" s="288"/>
      <c r="P148" s="288"/>
      <c r="Q148" s="288"/>
      <c r="R148" s="288"/>
      <c r="S148" s="288"/>
      <c r="T148" s="289"/>
      <c r="U148" s="57"/>
      <c r="V148" s="57"/>
      <c r="W148" s="152"/>
      <c r="X148" s="152"/>
      <c r="Y148" s="152"/>
      <c r="Z148" s="152"/>
      <c r="AA148" s="152" t="s">
        <v>178</v>
      </c>
      <c r="AB148" s="152"/>
      <c r="AC148" s="152"/>
      <c r="AD148" s="152"/>
      <c r="AE148" s="154"/>
      <c r="AF148" s="154"/>
      <c r="AG148" s="154"/>
      <c r="AH148" s="154"/>
      <c r="AI148" s="154"/>
      <c r="AJ148" s="152"/>
      <c r="AK148" s="152"/>
      <c r="AL148" s="152"/>
      <c r="AM148" s="152"/>
      <c r="AN148" s="152"/>
      <c r="AO148" s="152"/>
      <c r="AP148" s="152"/>
      <c r="AQ148" s="152"/>
      <c r="AR148" s="152"/>
      <c r="AS148" s="152"/>
      <c r="AT148" s="152"/>
      <c r="AU148" s="152"/>
      <c r="AV148" s="57"/>
      <c r="AW148" s="152"/>
      <c r="AX148" s="84" t="s">
        <v>172</v>
      </c>
      <c r="AY148" s="152" t="s">
        <v>173</v>
      </c>
      <c r="AZ148" s="59"/>
      <c r="BA148" s="34" t="str">
        <f>IF(BB148&amp;BC148&lt;&gt;"",MAX(BA$5:BA147)+1,"")</f>
        <v/>
      </c>
      <c r="BB148" s="35"/>
      <c r="BC148" s="35"/>
      <c r="BD148" s="36"/>
      <c r="BE148" s="37"/>
      <c r="BF148" s="51"/>
      <c r="BG148" s="36"/>
      <c r="BH148" s="64"/>
      <c r="BI148" s="64"/>
      <c r="BJ148" s="64"/>
      <c r="BK148" s="64"/>
      <c r="BL148" s="64"/>
    </row>
    <row r="149" spans="1:64" s="56" customFormat="1" ht="14.25" customHeight="1" x14ac:dyDescent="0.15">
      <c r="A149" s="200"/>
      <c r="B149" s="202"/>
      <c r="C149" s="365" t="str">
        <f>IF(A149&lt;&gt;"",VLOOKUP(A149,項目仕様!$A$6:$L$129,3),"")</f>
        <v/>
      </c>
      <c r="D149" s="366"/>
      <c r="E149" s="366"/>
      <c r="F149" s="366"/>
      <c r="G149" s="366"/>
      <c r="H149" s="366"/>
      <c r="I149" s="366"/>
      <c r="J149" s="366"/>
      <c r="K149" s="367"/>
      <c r="L149" s="287"/>
      <c r="M149" s="288"/>
      <c r="N149" s="288"/>
      <c r="O149" s="288"/>
      <c r="P149" s="288"/>
      <c r="Q149" s="288"/>
      <c r="R149" s="288"/>
      <c r="S149" s="288"/>
      <c r="T149" s="289"/>
      <c r="U149" s="57"/>
      <c r="V149" s="57"/>
      <c r="W149" s="152"/>
      <c r="X149" s="152"/>
      <c r="Y149" s="152"/>
      <c r="Z149" s="152"/>
      <c r="AA149" s="152"/>
      <c r="AB149" s="152"/>
      <c r="AC149" s="152"/>
      <c r="AD149" s="152"/>
      <c r="AE149" s="154"/>
      <c r="AF149" s="154"/>
      <c r="AG149" s="154"/>
      <c r="AH149" s="154"/>
      <c r="AI149" s="154"/>
      <c r="AJ149" s="152"/>
      <c r="AK149" s="152"/>
      <c r="AL149" s="152"/>
      <c r="AM149" s="152"/>
      <c r="AN149" s="152"/>
      <c r="AO149" s="152"/>
      <c r="AP149" s="152"/>
      <c r="AQ149" s="152"/>
      <c r="AR149" s="152"/>
      <c r="AS149" s="152"/>
      <c r="AT149" s="152"/>
      <c r="AU149" s="152"/>
      <c r="AV149" s="57"/>
      <c r="AW149" s="57"/>
      <c r="AX149" s="57"/>
      <c r="AY149" s="57"/>
      <c r="AZ149" s="59"/>
      <c r="BA149" s="34" t="str">
        <f>IF(BB149&amp;BC149&lt;&gt;"",MAX(BA$5:BA148)+1,"")</f>
        <v/>
      </c>
      <c r="BB149" s="35"/>
      <c r="BC149" s="35"/>
      <c r="BD149" s="36"/>
      <c r="BE149" s="37"/>
      <c r="BF149" s="51"/>
      <c r="BG149" s="36"/>
      <c r="BH149" s="64"/>
      <c r="BI149" s="64"/>
      <c r="BJ149" s="64"/>
      <c r="BK149" s="64"/>
      <c r="BL149" s="64"/>
    </row>
    <row r="150" spans="1:64" s="56" customFormat="1" ht="14.25" customHeight="1" x14ac:dyDescent="0.15">
      <c r="A150" s="200"/>
      <c r="B150" s="202"/>
      <c r="C150" s="365" t="str">
        <f>IF(A150&lt;&gt;"",VLOOKUP(A150,項目仕様!$A$6:$L$129,3),"")</f>
        <v/>
      </c>
      <c r="D150" s="366"/>
      <c r="E150" s="366"/>
      <c r="F150" s="366"/>
      <c r="G150" s="366"/>
      <c r="H150" s="366"/>
      <c r="I150" s="366"/>
      <c r="J150" s="366"/>
      <c r="K150" s="367"/>
      <c r="L150" s="287"/>
      <c r="M150" s="288"/>
      <c r="N150" s="288"/>
      <c r="O150" s="288"/>
      <c r="P150" s="288"/>
      <c r="Q150" s="288"/>
      <c r="R150" s="288"/>
      <c r="S150" s="288"/>
      <c r="T150" s="289"/>
      <c r="U150" s="70"/>
      <c r="V150" s="70"/>
      <c r="W150" s="146" t="s">
        <v>395</v>
      </c>
      <c r="X150" s="152"/>
      <c r="Y150" s="152" t="s">
        <v>179</v>
      </c>
      <c r="Z150" s="152"/>
      <c r="AA150" s="152"/>
      <c r="AB150" s="152"/>
      <c r="AC150" s="152"/>
      <c r="AD150" s="152"/>
      <c r="AE150" s="154"/>
      <c r="AF150" s="154"/>
      <c r="AG150" s="154"/>
      <c r="AH150" s="154"/>
      <c r="AI150" s="154"/>
      <c r="AJ150" s="152"/>
      <c r="AK150" s="152"/>
      <c r="AL150" s="152"/>
      <c r="AM150" s="152"/>
      <c r="AN150" s="152"/>
      <c r="AO150" s="152"/>
      <c r="AP150" s="152"/>
      <c r="AQ150" s="152"/>
      <c r="AR150" s="152"/>
      <c r="AS150" s="152"/>
      <c r="AT150" s="152"/>
      <c r="AU150" s="152"/>
      <c r="AV150" s="57"/>
      <c r="AW150" s="57"/>
      <c r="AX150" s="57"/>
      <c r="AY150" s="57"/>
      <c r="AZ150" s="59"/>
      <c r="BA150" s="34" t="str">
        <f>IF(BB150&amp;BC150&lt;&gt;"",MAX(BA$5:BA149)+1,"")</f>
        <v/>
      </c>
      <c r="BB150" s="35"/>
      <c r="BC150" s="35"/>
      <c r="BD150" s="36"/>
      <c r="BE150" s="37"/>
      <c r="BF150" s="51"/>
      <c r="BG150" s="36"/>
      <c r="BH150" s="64"/>
      <c r="BI150" s="64"/>
      <c r="BJ150" s="64"/>
      <c r="BK150" s="64"/>
      <c r="BL150" s="64"/>
    </row>
    <row r="151" spans="1:64" s="56" customFormat="1" ht="14.25" customHeight="1" x14ac:dyDescent="0.15">
      <c r="A151" s="200"/>
      <c r="B151" s="202"/>
      <c r="C151" s="365" t="str">
        <f>IF(A151&lt;&gt;"",VLOOKUP(A151,項目仕様!$A$6:$L$129,3),"")</f>
        <v/>
      </c>
      <c r="D151" s="366"/>
      <c r="E151" s="366"/>
      <c r="F151" s="366"/>
      <c r="G151" s="366"/>
      <c r="H151" s="366"/>
      <c r="I151" s="366"/>
      <c r="J151" s="366"/>
      <c r="K151" s="367"/>
      <c r="L151" s="287"/>
      <c r="M151" s="288"/>
      <c r="N151" s="288"/>
      <c r="O151" s="288"/>
      <c r="P151" s="288"/>
      <c r="Q151" s="288"/>
      <c r="R151" s="288"/>
      <c r="S151" s="288"/>
      <c r="T151" s="289"/>
      <c r="U151" s="57"/>
      <c r="V151" s="70"/>
      <c r="W151" s="70"/>
      <c r="X151" s="70"/>
      <c r="Y151" s="152"/>
      <c r="Z151" s="152" t="s">
        <v>171</v>
      </c>
      <c r="AA151" s="152"/>
      <c r="AB151" s="152"/>
      <c r="AC151" s="152"/>
      <c r="AD151" s="152"/>
      <c r="AE151" s="154"/>
      <c r="AF151" s="154"/>
      <c r="AG151" s="154"/>
      <c r="AH151" s="154"/>
      <c r="AI151" s="154"/>
      <c r="AJ151" s="152"/>
      <c r="AK151" s="152"/>
      <c r="AL151" s="152"/>
      <c r="AM151" s="152"/>
      <c r="AN151" s="152"/>
      <c r="AO151" s="152"/>
      <c r="AP151" s="152"/>
      <c r="AQ151" s="152"/>
      <c r="AR151" s="152"/>
      <c r="AS151" s="152"/>
      <c r="AT151" s="152"/>
      <c r="AU151" s="152"/>
      <c r="AV151" s="57"/>
      <c r="AW151" s="84"/>
      <c r="AX151" s="84"/>
      <c r="AY151" s="57"/>
      <c r="AZ151" s="59"/>
      <c r="BA151" s="34">
        <f>IF(BB151&amp;BC151&lt;&gt;"",MAX(BA$5:BA150)+1,"")</f>
        <v>44</v>
      </c>
      <c r="BB151" s="35" t="s">
        <v>158</v>
      </c>
      <c r="BC151" s="35"/>
      <c r="BD151" s="36"/>
      <c r="BE151" s="37"/>
      <c r="BF151" s="51"/>
      <c r="BG151" s="36"/>
      <c r="BH151" s="64"/>
      <c r="BI151" s="64"/>
      <c r="BJ151" s="64"/>
      <c r="BK151" s="64"/>
      <c r="BL151" s="64"/>
    </row>
    <row r="152" spans="1:64" s="56" customFormat="1" ht="14.25" customHeight="1" x14ac:dyDescent="0.15">
      <c r="A152" s="200"/>
      <c r="B152" s="202"/>
      <c r="C152" s="365" t="str">
        <f>IF(A152&lt;&gt;"",VLOOKUP(A152,項目仕様!$A$6:$L$129,3),"")</f>
        <v/>
      </c>
      <c r="D152" s="366"/>
      <c r="E152" s="366"/>
      <c r="F152" s="366"/>
      <c r="G152" s="366"/>
      <c r="H152" s="366"/>
      <c r="I152" s="366"/>
      <c r="J152" s="366"/>
      <c r="K152" s="367"/>
      <c r="L152" s="287"/>
      <c r="M152" s="288"/>
      <c r="N152" s="288"/>
      <c r="O152" s="288"/>
      <c r="P152" s="288"/>
      <c r="Q152" s="288"/>
      <c r="R152" s="288"/>
      <c r="S152" s="288"/>
      <c r="T152" s="289"/>
      <c r="U152" s="57"/>
      <c r="V152" s="57"/>
      <c r="W152" s="152"/>
      <c r="X152" s="152"/>
      <c r="Y152" s="152"/>
      <c r="Z152" s="152"/>
      <c r="AA152" s="152" t="s">
        <v>174</v>
      </c>
      <c r="AB152" s="152"/>
      <c r="AC152" s="152"/>
      <c r="AD152" s="152"/>
      <c r="AE152" s="154"/>
      <c r="AF152" s="154"/>
      <c r="AG152" s="154"/>
      <c r="AH152" s="154"/>
      <c r="AI152" s="154"/>
      <c r="AJ152" s="152"/>
      <c r="AK152" s="152"/>
      <c r="AL152" s="152"/>
      <c r="AM152" s="152"/>
      <c r="AN152" s="152"/>
      <c r="AO152" s="152"/>
      <c r="AP152" s="152"/>
      <c r="AQ152" s="152"/>
      <c r="AR152" s="152"/>
      <c r="AS152" s="152"/>
      <c r="AT152" s="152"/>
      <c r="AU152" s="152"/>
      <c r="AV152" s="57"/>
      <c r="AW152" s="84"/>
      <c r="AX152" s="84" t="s">
        <v>172</v>
      </c>
      <c r="AY152" s="152" t="s">
        <v>173</v>
      </c>
      <c r="AZ152" s="59"/>
      <c r="BA152" s="34" t="str">
        <f>IF(BB152&amp;BC152&lt;&gt;"",MAX(BA$5:BA151)+1,"")</f>
        <v/>
      </c>
      <c r="BB152" s="35"/>
      <c r="BC152" s="35"/>
      <c r="BD152" s="36"/>
      <c r="BE152" s="37"/>
      <c r="BF152" s="51"/>
      <c r="BG152" s="36"/>
      <c r="BH152" s="64"/>
      <c r="BI152" s="64"/>
      <c r="BJ152" s="64"/>
      <c r="BK152" s="64"/>
      <c r="BL152" s="64"/>
    </row>
    <row r="153" spans="1:64" s="56" customFormat="1" ht="14.25" customHeight="1" x14ac:dyDescent="0.15">
      <c r="A153" s="200"/>
      <c r="B153" s="202"/>
      <c r="C153" s="365" t="str">
        <f>IF(A153&lt;&gt;"",VLOOKUP(A153,項目仕様!$A$6:$L$129,3),"")</f>
        <v/>
      </c>
      <c r="D153" s="366"/>
      <c r="E153" s="366"/>
      <c r="F153" s="366"/>
      <c r="G153" s="366"/>
      <c r="H153" s="366"/>
      <c r="I153" s="366"/>
      <c r="J153" s="366"/>
      <c r="K153" s="367"/>
      <c r="L153" s="287"/>
      <c r="M153" s="288"/>
      <c r="N153" s="288"/>
      <c r="O153" s="288"/>
      <c r="P153" s="288"/>
      <c r="Q153" s="288"/>
      <c r="R153" s="288"/>
      <c r="S153" s="288"/>
      <c r="T153" s="289"/>
      <c r="U153" s="57"/>
      <c r="V153" s="57"/>
      <c r="W153" s="152"/>
      <c r="X153" s="152"/>
      <c r="Y153" s="152"/>
      <c r="Z153" s="152"/>
      <c r="AA153" s="152"/>
      <c r="AB153" s="152"/>
      <c r="AC153" s="152"/>
      <c r="AD153" s="152"/>
      <c r="AE153" s="154"/>
      <c r="AF153" s="154"/>
      <c r="AG153" s="154"/>
      <c r="AH153" s="154"/>
      <c r="AI153" s="154"/>
      <c r="AJ153" s="152"/>
      <c r="AK153" s="152"/>
      <c r="AL153" s="152"/>
      <c r="AM153" s="152"/>
      <c r="AN153" s="152"/>
      <c r="AO153" s="152"/>
      <c r="AP153" s="152"/>
      <c r="AQ153" s="152"/>
      <c r="AR153" s="152"/>
      <c r="AS153" s="152"/>
      <c r="AT153" s="152"/>
      <c r="AU153" s="152"/>
      <c r="AV153" s="57"/>
      <c r="AW153" s="57"/>
      <c r="AX153" s="57"/>
      <c r="AY153" s="57"/>
      <c r="AZ153" s="59"/>
      <c r="BA153" s="34" t="str">
        <f>IF(BB153&amp;BC153&lt;&gt;"",MAX(BA$5:BA152)+1,"")</f>
        <v/>
      </c>
      <c r="BB153" s="35"/>
      <c r="BC153" s="35"/>
      <c r="BD153" s="36"/>
      <c r="BE153" s="37"/>
      <c r="BF153" s="51"/>
      <c r="BG153" s="36"/>
      <c r="BH153" s="64"/>
      <c r="BI153" s="64"/>
      <c r="BJ153" s="64"/>
      <c r="BK153" s="64"/>
      <c r="BL153" s="64"/>
    </row>
    <row r="154" spans="1:64" s="56" customFormat="1" ht="14.25" customHeight="1" x14ac:dyDescent="0.15">
      <c r="A154" s="200"/>
      <c r="B154" s="202"/>
      <c r="C154" s="365" t="str">
        <f>IF(A154&lt;&gt;"",VLOOKUP(A154,項目仕様!$A$6:$L$129,3),"")</f>
        <v/>
      </c>
      <c r="D154" s="366"/>
      <c r="E154" s="366"/>
      <c r="F154" s="366"/>
      <c r="G154" s="366"/>
      <c r="H154" s="366"/>
      <c r="I154" s="366"/>
      <c r="J154" s="366"/>
      <c r="K154" s="367"/>
      <c r="L154" s="287"/>
      <c r="M154" s="288"/>
      <c r="N154" s="288"/>
      <c r="O154" s="288"/>
      <c r="P154" s="288"/>
      <c r="Q154" s="288"/>
      <c r="R154" s="288"/>
      <c r="S154" s="288"/>
      <c r="T154" s="289"/>
      <c r="U154" s="70"/>
      <c r="V154" s="163"/>
      <c r="W154" s="163" t="s">
        <v>251</v>
      </c>
      <c r="X154" s="164"/>
      <c r="Y154" s="164" t="s">
        <v>176</v>
      </c>
      <c r="Z154" s="164"/>
      <c r="AA154" s="152"/>
      <c r="AB154" s="152"/>
      <c r="AC154" s="152"/>
      <c r="AD154" s="152"/>
      <c r="AE154" s="154"/>
      <c r="AF154" s="154"/>
      <c r="AG154" s="154"/>
      <c r="AH154" s="154"/>
      <c r="AI154" s="154"/>
      <c r="AJ154" s="152"/>
      <c r="AK154" s="152"/>
      <c r="AL154" s="152"/>
      <c r="AM154" s="152"/>
      <c r="AN154" s="152"/>
      <c r="AO154" s="152"/>
      <c r="AP154" s="152"/>
      <c r="AQ154" s="152"/>
      <c r="AR154" s="152"/>
      <c r="AS154" s="152"/>
      <c r="AT154" s="152"/>
      <c r="AU154" s="152"/>
      <c r="AV154" s="57"/>
      <c r="AW154" s="57"/>
      <c r="AX154" s="57"/>
      <c r="AY154" s="57"/>
      <c r="AZ154" s="59"/>
      <c r="BA154" s="34">
        <f>IF(BB154&amp;BC154&lt;&gt;"",MAX(BA$5:BA153)+1,"")</f>
        <v>45</v>
      </c>
      <c r="BB154" s="35" t="s">
        <v>158</v>
      </c>
      <c r="BC154" s="35"/>
      <c r="BD154" s="36"/>
      <c r="BE154" s="37"/>
      <c r="BF154" s="51"/>
      <c r="BG154" s="36"/>
      <c r="BH154" s="64"/>
      <c r="BI154" s="64"/>
      <c r="BJ154" s="64"/>
      <c r="BK154" s="64"/>
      <c r="BL154" s="64"/>
    </row>
    <row r="155" spans="1:64" s="56" customFormat="1" ht="14.25" customHeight="1" x14ac:dyDescent="0.15">
      <c r="A155" s="200"/>
      <c r="B155" s="202"/>
      <c r="C155" s="365" t="str">
        <f>IF(A155&lt;&gt;"",VLOOKUP(A155,項目仕様!$A$6:$L$129,3),"")</f>
        <v/>
      </c>
      <c r="D155" s="366"/>
      <c r="E155" s="366"/>
      <c r="F155" s="366"/>
      <c r="G155" s="366"/>
      <c r="H155" s="366"/>
      <c r="I155" s="366"/>
      <c r="J155" s="366"/>
      <c r="K155" s="367"/>
      <c r="L155" s="287"/>
      <c r="M155" s="288"/>
      <c r="N155" s="288"/>
      <c r="O155" s="288"/>
      <c r="P155" s="288"/>
      <c r="Q155" s="288"/>
      <c r="R155" s="288"/>
      <c r="S155" s="288"/>
      <c r="T155" s="289"/>
      <c r="U155" s="57"/>
      <c r="V155" s="57"/>
      <c r="W155" s="57"/>
      <c r="X155" s="57"/>
      <c r="Y155" s="57"/>
      <c r="Z155" s="57"/>
      <c r="AA155" s="57"/>
      <c r="AB155" s="57"/>
      <c r="AC155" s="57"/>
      <c r="AD155" s="60"/>
      <c r="AE155" s="60"/>
      <c r="AF155" s="60"/>
      <c r="AG155" s="60"/>
      <c r="AH155" s="60"/>
      <c r="AI155" s="57"/>
      <c r="AJ155" s="57"/>
      <c r="AK155" s="57"/>
      <c r="AL155" s="57"/>
      <c r="AM155" s="57"/>
      <c r="AN155" s="57"/>
      <c r="AO155" s="57"/>
      <c r="AP155" s="57"/>
      <c r="AQ155" s="57"/>
      <c r="AR155" s="57"/>
      <c r="AS155" s="57"/>
      <c r="AT155" s="57"/>
      <c r="AU155" s="57"/>
      <c r="AV155" s="57"/>
      <c r="AW155" s="57"/>
      <c r="AX155" s="57"/>
      <c r="AY155" s="57"/>
      <c r="AZ155" s="59"/>
      <c r="BA155" s="34" t="str">
        <f>IF(BB155&amp;BC155&lt;&gt;"",MAX(BA$5:BA154)+1,"")</f>
        <v/>
      </c>
      <c r="BB155" s="35"/>
      <c r="BC155" s="35"/>
      <c r="BD155" s="36"/>
      <c r="BE155" s="37"/>
      <c r="BF155" s="51"/>
      <c r="BG155" s="36"/>
      <c r="BH155" s="64"/>
      <c r="BI155" s="64"/>
      <c r="BJ155" s="64"/>
      <c r="BK155" s="64"/>
      <c r="BL155" s="64"/>
    </row>
    <row r="156" spans="1:64" s="56" customFormat="1" ht="14.25" customHeight="1" x14ac:dyDescent="0.15">
      <c r="A156" s="200"/>
      <c r="B156" s="202"/>
      <c r="C156" s="365" t="str">
        <f>IF(A156&lt;&gt;"",VLOOKUP(A156,項目仕様!$A$6:$L$129,3),"")</f>
        <v/>
      </c>
      <c r="D156" s="366"/>
      <c r="E156" s="366"/>
      <c r="F156" s="366"/>
      <c r="G156" s="366"/>
      <c r="H156" s="366"/>
      <c r="I156" s="366"/>
      <c r="J156" s="366"/>
      <c r="K156" s="367"/>
      <c r="L156" s="287"/>
      <c r="M156" s="288"/>
      <c r="N156" s="288"/>
      <c r="O156" s="288"/>
      <c r="P156" s="288"/>
      <c r="Q156" s="288"/>
      <c r="R156" s="288"/>
      <c r="S156" s="288"/>
      <c r="T156" s="289"/>
      <c r="U156" s="57"/>
      <c r="V156" s="57"/>
      <c r="W156" s="57"/>
      <c r="X156" s="57"/>
      <c r="Y156" s="57"/>
      <c r="Z156" s="57"/>
      <c r="AA156" s="57"/>
      <c r="AB156" s="57"/>
      <c r="AC156" s="57"/>
      <c r="AD156" s="60"/>
      <c r="AE156" s="60"/>
      <c r="AF156" s="60"/>
      <c r="AG156" s="60"/>
      <c r="AH156" s="60"/>
      <c r="AI156" s="57"/>
      <c r="AJ156" s="57"/>
      <c r="AK156" s="57"/>
      <c r="AL156" s="57"/>
      <c r="AM156" s="57"/>
      <c r="AN156" s="57"/>
      <c r="AO156" s="57"/>
      <c r="AP156" s="57"/>
      <c r="AQ156" s="57"/>
      <c r="AR156" s="57"/>
      <c r="AS156" s="57"/>
      <c r="AT156" s="57"/>
      <c r="AU156" s="57"/>
      <c r="AV156" s="57"/>
      <c r="AW156" s="57"/>
      <c r="AX156" s="57"/>
      <c r="AY156" s="57"/>
      <c r="AZ156" s="59"/>
      <c r="BA156" s="34" t="str">
        <f>IF(BB156&amp;BC156&lt;&gt;"",MAX(BA$5:BA155)+1,"")</f>
        <v/>
      </c>
      <c r="BB156" s="35"/>
      <c r="BC156" s="35"/>
      <c r="BD156" s="36"/>
      <c r="BE156" s="37"/>
      <c r="BF156" s="51"/>
      <c r="BG156" s="36"/>
      <c r="BH156" s="64"/>
      <c r="BI156" s="64"/>
      <c r="BJ156" s="64"/>
      <c r="BK156" s="64"/>
      <c r="BL156" s="64"/>
    </row>
    <row r="157" spans="1:64" s="56" customFormat="1" ht="14.25" customHeight="1" x14ac:dyDescent="0.15">
      <c r="A157" s="200">
        <v>2</v>
      </c>
      <c r="B157" s="202"/>
      <c r="C157" s="365" t="str">
        <f>IF(A157&lt;&gt;"",VLOOKUP(A157,項目仕様!$A$6:$L$129,3),"")</f>
        <v>戻る</v>
      </c>
      <c r="D157" s="366"/>
      <c r="E157" s="366"/>
      <c r="F157" s="366"/>
      <c r="G157" s="366"/>
      <c r="H157" s="366"/>
      <c r="I157" s="366"/>
      <c r="J157" s="366"/>
      <c r="K157" s="367"/>
      <c r="L157" s="269" t="s">
        <v>396</v>
      </c>
      <c r="M157" s="270"/>
      <c r="N157" s="270"/>
      <c r="O157" s="270"/>
      <c r="P157" s="270"/>
      <c r="Q157" s="270"/>
      <c r="R157" s="270"/>
      <c r="S157" s="270"/>
      <c r="T157" s="271"/>
      <c r="U157" s="65" t="s">
        <v>252</v>
      </c>
      <c r="V157" s="57"/>
      <c r="W157" s="57" t="s">
        <v>253</v>
      </c>
      <c r="X157" s="57"/>
      <c r="Y157" s="57"/>
      <c r="Z157" s="57"/>
      <c r="AA157" s="57"/>
      <c r="AB157" s="57"/>
      <c r="AC157" s="57"/>
      <c r="AD157" s="60"/>
      <c r="AE157" s="60"/>
      <c r="AF157" s="60"/>
      <c r="AG157" s="60"/>
      <c r="AH157" s="60"/>
      <c r="AI157" s="57"/>
      <c r="AJ157" s="57"/>
      <c r="AK157" s="57"/>
      <c r="AL157" s="57"/>
      <c r="AM157" s="57"/>
      <c r="AN157" s="57"/>
      <c r="AO157" s="57"/>
      <c r="AP157" s="57"/>
      <c r="AQ157" s="57"/>
      <c r="AR157" s="57"/>
      <c r="AS157" s="57"/>
      <c r="AT157" s="57"/>
      <c r="AU157" s="57"/>
      <c r="AV157" s="57"/>
      <c r="AW157" s="57"/>
      <c r="AX157" s="57"/>
      <c r="AY157" s="57"/>
      <c r="AZ157" s="59"/>
      <c r="BA157" s="34" t="str">
        <f>IF(BB157&amp;BC157&lt;&gt;"",MAX(BA$5:BA156)+1,"")</f>
        <v/>
      </c>
      <c r="BB157" s="35"/>
      <c r="BC157" s="35"/>
      <c r="BD157" s="36"/>
      <c r="BE157" s="37"/>
      <c r="BF157" s="51"/>
      <c r="BG157" s="36"/>
      <c r="BH157" s="64"/>
      <c r="BI157" s="64"/>
      <c r="BJ157" s="64"/>
      <c r="BK157" s="64"/>
      <c r="BL157" s="64"/>
    </row>
    <row r="158" spans="1:64" s="56" customFormat="1" ht="14.25" customHeight="1" x14ac:dyDescent="0.15">
      <c r="A158" s="200"/>
      <c r="B158" s="202"/>
      <c r="C158" s="365" t="str">
        <f>IF(A158&lt;&gt;"",VLOOKUP(A158,項目仕様!$A$6:$L$129,3),"")</f>
        <v/>
      </c>
      <c r="D158" s="366"/>
      <c r="E158" s="366"/>
      <c r="F158" s="366"/>
      <c r="G158" s="366"/>
      <c r="H158" s="366"/>
      <c r="I158" s="366"/>
      <c r="J158" s="366"/>
      <c r="K158" s="367"/>
      <c r="L158" s="287"/>
      <c r="M158" s="288"/>
      <c r="N158" s="288"/>
      <c r="O158" s="288"/>
      <c r="P158" s="288"/>
      <c r="Q158" s="288"/>
      <c r="R158" s="288"/>
      <c r="S158" s="288"/>
      <c r="T158" s="289"/>
      <c r="U158" s="58"/>
      <c r="V158" s="57"/>
      <c r="W158" s="57"/>
      <c r="X158" s="57" t="s">
        <v>254</v>
      </c>
      <c r="Y158" s="57"/>
      <c r="Z158" s="57"/>
      <c r="AA158" s="57"/>
      <c r="AB158" s="57"/>
      <c r="AC158" s="57"/>
      <c r="AD158" s="60"/>
      <c r="AE158" s="60"/>
      <c r="AF158" s="60"/>
      <c r="AG158" s="60"/>
      <c r="AH158" s="60"/>
      <c r="AI158" s="57"/>
      <c r="AJ158" s="57"/>
      <c r="AK158" s="57"/>
      <c r="AL158" s="57"/>
      <c r="AM158" s="57"/>
      <c r="AN158" s="57"/>
      <c r="AO158" s="57"/>
      <c r="AP158" s="57"/>
      <c r="AQ158" s="57"/>
      <c r="AR158" s="57"/>
      <c r="AS158" s="57"/>
      <c r="AT158" s="57"/>
      <c r="AU158" s="57"/>
      <c r="AV158" s="57"/>
      <c r="AX158" s="84" t="s">
        <v>255</v>
      </c>
      <c r="AY158" s="57" t="s">
        <v>256</v>
      </c>
      <c r="AZ158" s="59"/>
      <c r="BA158" s="34">
        <f>IF(BB158&amp;BC158&lt;&gt;"",MAX(BA$5:BA157)+1,"")</f>
        <v>46</v>
      </c>
      <c r="BB158" s="35" t="s">
        <v>158</v>
      </c>
      <c r="BC158" s="35"/>
      <c r="BD158" s="36"/>
      <c r="BE158" s="37"/>
      <c r="BF158" s="51"/>
      <c r="BG158" s="36"/>
      <c r="BH158" s="64"/>
      <c r="BI158" s="64"/>
      <c r="BJ158" s="64"/>
      <c r="BK158" s="64"/>
      <c r="BL158" s="64"/>
    </row>
    <row r="159" spans="1:64" s="56" customFormat="1" ht="14.25" customHeight="1" x14ac:dyDescent="0.15">
      <c r="A159" s="200"/>
      <c r="B159" s="202"/>
      <c r="C159" s="365" t="str">
        <f>IF(A159&lt;&gt;"",VLOOKUP(A159,項目仕様!$A$6:$L$129,3),"")</f>
        <v/>
      </c>
      <c r="D159" s="366"/>
      <c r="E159" s="366"/>
      <c r="F159" s="366"/>
      <c r="G159" s="366"/>
      <c r="H159" s="366"/>
      <c r="I159" s="366"/>
      <c r="J159" s="366"/>
      <c r="K159" s="367"/>
      <c r="L159" s="287"/>
      <c r="M159" s="288"/>
      <c r="N159" s="288"/>
      <c r="O159" s="288"/>
      <c r="P159" s="288"/>
      <c r="Q159" s="288"/>
      <c r="R159" s="288"/>
      <c r="S159" s="288"/>
      <c r="T159" s="289"/>
      <c r="U159" s="58"/>
      <c r="V159" s="70" t="s">
        <v>257</v>
      </c>
      <c r="W159" s="57"/>
      <c r="X159" s="57" t="s">
        <v>258</v>
      </c>
      <c r="Y159" s="57"/>
      <c r="Z159" s="57"/>
      <c r="AA159" s="57"/>
      <c r="AB159" s="57"/>
      <c r="AC159" s="57"/>
      <c r="AD159" s="60"/>
      <c r="AE159" s="60"/>
      <c r="AF159" s="60"/>
      <c r="AG159" s="60"/>
      <c r="AH159" s="60"/>
      <c r="AI159" s="57"/>
      <c r="AJ159" s="57"/>
      <c r="AK159" s="57"/>
      <c r="AL159" s="57"/>
      <c r="AM159" s="57"/>
      <c r="AN159" s="57"/>
      <c r="AO159" s="57"/>
      <c r="AP159" s="57"/>
      <c r="AQ159" s="57"/>
      <c r="AR159" s="57"/>
      <c r="AS159" s="57"/>
      <c r="AT159" s="57"/>
      <c r="AU159" s="57"/>
      <c r="AV159" s="57"/>
      <c r="AW159" s="57"/>
      <c r="AX159" s="57"/>
      <c r="AY159" s="57"/>
      <c r="AZ159" s="59"/>
      <c r="BA159" s="34" t="str">
        <f>IF(BB159&amp;BC159&lt;&gt;"",MAX(BA$5:BA158)+1,"")</f>
        <v/>
      </c>
      <c r="BB159" s="35"/>
      <c r="BC159" s="35"/>
      <c r="BD159" s="36"/>
      <c r="BE159" s="37"/>
      <c r="BF159" s="51"/>
      <c r="BG159" s="36"/>
      <c r="BH159" s="64"/>
      <c r="BI159" s="64"/>
      <c r="BJ159" s="64"/>
      <c r="BK159" s="64"/>
      <c r="BL159" s="64"/>
    </row>
    <row r="160" spans="1:64" s="56" customFormat="1" ht="14.25" customHeight="1" x14ac:dyDescent="0.15">
      <c r="A160" s="200"/>
      <c r="B160" s="202"/>
      <c r="C160" s="365" t="str">
        <f>IF(A160&lt;&gt;"",VLOOKUP(A160,項目仕様!$A$6:$L$129,3),"")</f>
        <v/>
      </c>
      <c r="D160" s="366"/>
      <c r="E160" s="366"/>
      <c r="F160" s="366"/>
      <c r="G160" s="366"/>
      <c r="H160" s="366"/>
      <c r="I160" s="366"/>
      <c r="J160" s="366"/>
      <c r="K160" s="367"/>
      <c r="L160" s="287"/>
      <c r="M160" s="288"/>
      <c r="N160" s="288"/>
      <c r="O160" s="288"/>
      <c r="P160" s="288"/>
      <c r="Q160" s="288"/>
      <c r="R160" s="288"/>
      <c r="S160" s="288"/>
      <c r="T160" s="289"/>
      <c r="U160" s="58"/>
      <c r="V160" s="70"/>
      <c r="W160" s="70" t="s">
        <v>259</v>
      </c>
      <c r="X160" s="57"/>
      <c r="Y160" s="57" t="s">
        <v>333</v>
      </c>
      <c r="Z160" s="57"/>
      <c r="AA160" s="57"/>
      <c r="AB160" s="57"/>
      <c r="AC160" s="57"/>
      <c r="AD160" s="60"/>
      <c r="AE160" s="60"/>
      <c r="AF160" s="60"/>
      <c r="AG160" s="60"/>
      <c r="AH160" s="60"/>
      <c r="AI160" s="57"/>
      <c r="AJ160" s="57"/>
      <c r="AK160" s="57"/>
      <c r="AL160" s="57"/>
      <c r="AM160" s="57"/>
      <c r="AN160" s="57"/>
      <c r="AO160" s="57"/>
      <c r="AP160" s="57"/>
      <c r="AQ160" s="57"/>
      <c r="AR160" s="57"/>
      <c r="AS160" s="57"/>
      <c r="AT160" s="57"/>
      <c r="AU160" s="57"/>
      <c r="AV160" s="57"/>
      <c r="AW160" s="57"/>
      <c r="AX160" s="57"/>
      <c r="AY160" s="57"/>
      <c r="AZ160" s="59"/>
      <c r="BA160" s="34">
        <f>IF(BB160&amp;BC160&lt;&gt;"",MAX(BA$5:BA159)+1,"")</f>
        <v>47</v>
      </c>
      <c r="BB160" s="35" t="s">
        <v>158</v>
      </c>
      <c r="BC160" s="35"/>
      <c r="BD160" s="36"/>
      <c r="BE160" s="37"/>
      <c r="BF160" s="51"/>
      <c r="BG160" s="36"/>
      <c r="BH160" s="64"/>
      <c r="BI160" s="64"/>
      <c r="BJ160" s="64"/>
      <c r="BK160" s="64"/>
      <c r="BL160" s="64"/>
    </row>
    <row r="161" spans="1:64" s="56" customFormat="1" ht="14.25" customHeight="1" x14ac:dyDescent="0.15">
      <c r="A161" s="200"/>
      <c r="B161" s="202"/>
      <c r="C161" s="365" t="str">
        <f>IF(A161&lt;&gt;"",VLOOKUP(A161,項目仕様!$A$6:$L$129,3),"")</f>
        <v/>
      </c>
      <c r="D161" s="366"/>
      <c r="E161" s="366"/>
      <c r="F161" s="366"/>
      <c r="G161" s="366"/>
      <c r="H161" s="366"/>
      <c r="I161" s="366"/>
      <c r="J161" s="366"/>
      <c r="K161" s="367"/>
      <c r="L161" s="287"/>
      <c r="M161" s="288"/>
      <c r="N161" s="288"/>
      <c r="O161" s="288"/>
      <c r="P161" s="288"/>
      <c r="Q161" s="288"/>
      <c r="R161" s="288"/>
      <c r="S161" s="288"/>
      <c r="T161" s="289"/>
      <c r="U161" s="58"/>
      <c r="V161" s="70" t="s">
        <v>260</v>
      </c>
      <c r="W161" s="57"/>
      <c r="X161" s="57" t="s">
        <v>261</v>
      </c>
      <c r="Y161" s="57"/>
      <c r="Z161" s="57"/>
      <c r="AA161" s="57"/>
      <c r="AB161" s="57"/>
      <c r="AC161" s="57"/>
      <c r="AD161" s="60"/>
      <c r="AE161" s="60"/>
      <c r="AF161" s="60"/>
      <c r="AG161" s="60"/>
      <c r="AH161" s="60"/>
      <c r="AI161" s="57"/>
      <c r="AJ161" s="57"/>
      <c r="AK161" s="57"/>
      <c r="AL161" s="57"/>
      <c r="AM161" s="57"/>
      <c r="AN161" s="57"/>
      <c r="AO161" s="57"/>
      <c r="AP161" s="57"/>
      <c r="AQ161" s="57"/>
      <c r="AR161" s="57"/>
      <c r="AS161" s="57"/>
      <c r="AT161" s="57"/>
      <c r="AU161" s="57"/>
      <c r="AV161" s="57"/>
      <c r="AW161" s="57"/>
      <c r="AX161" s="57"/>
      <c r="AY161" s="57"/>
      <c r="AZ161" s="59"/>
      <c r="BA161" s="34" t="str">
        <f>IF(BB161&amp;BC161&lt;&gt;"",MAX(BA$5:BA160)+1,"")</f>
        <v/>
      </c>
      <c r="BB161" s="35"/>
      <c r="BC161" s="35"/>
      <c r="BD161" s="36"/>
      <c r="BE161" s="37"/>
      <c r="BF161" s="51"/>
      <c r="BG161" s="36"/>
      <c r="BH161" s="64"/>
      <c r="BI161" s="64"/>
      <c r="BJ161" s="64"/>
      <c r="BK161" s="64"/>
      <c r="BL161" s="64"/>
    </row>
    <row r="162" spans="1:64" s="56" customFormat="1" ht="14.25" customHeight="1" x14ac:dyDescent="0.15">
      <c r="A162" s="200"/>
      <c r="B162" s="202"/>
      <c r="C162" s="365" t="str">
        <f>IF(A162&lt;&gt;"",VLOOKUP(A162,項目仕様!$A$6:$L$129,3),"")</f>
        <v/>
      </c>
      <c r="D162" s="366"/>
      <c r="E162" s="366"/>
      <c r="F162" s="366"/>
      <c r="G162" s="366"/>
      <c r="H162" s="366"/>
      <c r="I162" s="366"/>
      <c r="J162" s="366"/>
      <c r="K162" s="367"/>
      <c r="L162" s="287"/>
      <c r="M162" s="288"/>
      <c r="N162" s="288"/>
      <c r="O162" s="288"/>
      <c r="P162" s="288"/>
      <c r="Q162" s="288"/>
      <c r="R162" s="288"/>
      <c r="S162" s="288"/>
      <c r="T162" s="289"/>
      <c r="U162" s="58"/>
      <c r="V162" s="57"/>
      <c r="W162" s="70" t="s">
        <v>262</v>
      </c>
      <c r="X162" s="57"/>
      <c r="Y162" s="147" t="s">
        <v>263</v>
      </c>
      <c r="Z162" s="57"/>
      <c r="AA162" s="57"/>
      <c r="AB162" s="57"/>
      <c r="AC162" s="57"/>
      <c r="AD162" s="60"/>
      <c r="AE162" s="60"/>
      <c r="AF162" s="60"/>
      <c r="AG162" s="60"/>
      <c r="AH162" s="60"/>
      <c r="AI162" s="57"/>
      <c r="AJ162" s="57"/>
      <c r="AK162" s="57"/>
      <c r="AL162" s="57"/>
      <c r="AM162" s="57"/>
      <c r="AN162" s="57"/>
      <c r="AO162" s="57"/>
      <c r="AP162" s="57"/>
      <c r="AQ162" s="57"/>
      <c r="AR162" s="57"/>
      <c r="AS162" s="57"/>
      <c r="AT162" s="57"/>
      <c r="AU162" s="57"/>
      <c r="AV162" s="57"/>
      <c r="AW162" s="57"/>
      <c r="AX162" s="57"/>
      <c r="AY162" s="57"/>
      <c r="AZ162" s="59"/>
      <c r="BA162" s="34">
        <f>IF(BB162&amp;BC162&lt;&gt;"",MAX(BA$5:BA161)+1,"")</f>
        <v>48</v>
      </c>
      <c r="BB162" s="35" t="s">
        <v>158</v>
      </c>
      <c r="BC162" s="35"/>
      <c r="BD162" s="36"/>
      <c r="BE162" s="37"/>
      <c r="BF162" s="51"/>
      <c r="BG162" s="36"/>
      <c r="BH162" s="64"/>
      <c r="BI162" s="64"/>
      <c r="BJ162" s="64"/>
      <c r="BK162" s="64"/>
      <c r="BL162" s="64"/>
    </row>
    <row r="163" spans="1:64" s="56" customFormat="1" ht="14.25" customHeight="1" x14ac:dyDescent="0.15">
      <c r="A163" s="200"/>
      <c r="B163" s="202"/>
      <c r="C163" s="365" t="str">
        <f>IF(A163&lt;&gt;"",VLOOKUP(A163,項目仕様!$A$6:$L$129,3),"")</f>
        <v/>
      </c>
      <c r="D163" s="366"/>
      <c r="E163" s="366"/>
      <c r="F163" s="366"/>
      <c r="G163" s="366"/>
      <c r="H163" s="366"/>
      <c r="I163" s="366"/>
      <c r="J163" s="366"/>
      <c r="K163" s="367"/>
      <c r="L163" s="287"/>
      <c r="M163" s="288"/>
      <c r="N163" s="288"/>
      <c r="O163" s="288"/>
      <c r="P163" s="288"/>
      <c r="Q163" s="288"/>
      <c r="R163" s="288"/>
      <c r="S163" s="288"/>
      <c r="T163" s="289"/>
      <c r="U163" s="57"/>
      <c r="V163" s="57"/>
      <c r="W163" s="57"/>
      <c r="X163" s="57"/>
      <c r="Y163" s="141" t="s">
        <v>332</v>
      </c>
      <c r="Z163" s="57"/>
      <c r="AA163" s="57"/>
      <c r="AB163" s="57"/>
      <c r="AC163" s="57"/>
      <c r="AD163" s="60"/>
      <c r="AE163" s="60"/>
      <c r="AF163" s="60"/>
      <c r="AG163" s="60"/>
      <c r="AH163" s="60"/>
      <c r="AI163" s="57"/>
      <c r="AJ163" s="57"/>
      <c r="AK163" s="57"/>
      <c r="AL163" s="57"/>
      <c r="AM163" s="57"/>
      <c r="AN163" s="57"/>
      <c r="AO163" s="57"/>
      <c r="AP163" s="57"/>
      <c r="AQ163" s="57"/>
      <c r="AR163" s="57"/>
      <c r="AS163" s="57"/>
      <c r="AT163" s="57"/>
      <c r="AU163" s="57"/>
      <c r="AV163" s="57"/>
      <c r="AW163" s="57"/>
      <c r="AX163" s="57"/>
      <c r="AY163" s="57"/>
      <c r="AZ163" s="59"/>
      <c r="BA163" s="34" t="str">
        <f>IF(BB163&amp;BC163&lt;&gt;"",MAX(BA$5:BA162)+1,"")</f>
        <v/>
      </c>
      <c r="BB163" s="35"/>
      <c r="BC163" s="35"/>
      <c r="BD163" s="36"/>
      <c r="BE163" s="37"/>
      <c r="BF163" s="51"/>
      <c r="BG163" s="36"/>
      <c r="BH163" s="64"/>
      <c r="BI163" s="64"/>
      <c r="BJ163" s="64"/>
      <c r="BK163" s="64"/>
      <c r="BL163" s="64"/>
    </row>
    <row r="164" spans="1:64" s="56" customFormat="1" ht="14.25" customHeight="1" x14ac:dyDescent="0.15">
      <c r="A164" s="200"/>
      <c r="B164" s="202"/>
      <c r="C164" s="365" t="str">
        <f>IF(A164&lt;&gt;"",VLOOKUP(A164,項目仕様!$A$6:$L$129,3),"")</f>
        <v/>
      </c>
      <c r="D164" s="366"/>
      <c r="E164" s="366"/>
      <c r="F164" s="366"/>
      <c r="G164" s="366"/>
      <c r="H164" s="366"/>
      <c r="I164" s="366"/>
      <c r="J164" s="366"/>
      <c r="K164" s="367"/>
      <c r="L164" s="287"/>
      <c r="M164" s="288"/>
      <c r="N164" s="288"/>
      <c r="O164" s="288"/>
      <c r="P164" s="288"/>
      <c r="Q164" s="288"/>
      <c r="R164" s="288"/>
      <c r="S164" s="288"/>
      <c r="T164" s="289"/>
      <c r="U164" s="139"/>
      <c r="V164" s="140"/>
      <c r="W164" s="140"/>
      <c r="X164" s="140"/>
      <c r="Y164" s="140"/>
      <c r="Z164" s="140"/>
      <c r="AA164" s="140"/>
      <c r="AB164" s="140"/>
      <c r="AC164" s="140"/>
      <c r="AD164" s="141"/>
      <c r="AE164" s="141"/>
      <c r="AF164" s="141"/>
      <c r="AG164" s="141"/>
      <c r="AH164" s="141"/>
      <c r="AI164" s="140"/>
      <c r="AJ164" s="140"/>
      <c r="AK164" s="140"/>
      <c r="AL164" s="140"/>
      <c r="AM164" s="140"/>
      <c r="AN164" s="140"/>
      <c r="AO164" s="140"/>
      <c r="AP164" s="140"/>
      <c r="AQ164" s="140"/>
      <c r="AR164" s="140"/>
      <c r="AS164" s="140"/>
      <c r="AT164" s="140"/>
      <c r="AU164" s="140"/>
      <c r="AV164" s="140"/>
      <c r="AW164" s="140"/>
      <c r="AX164" s="140"/>
      <c r="AY164" s="140"/>
      <c r="AZ164" s="142"/>
      <c r="BA164" s="34" t="str">
        <f>IF(BB164&amp;BC164&lt;&gt;"",MAX(BA$5:BA163)+1,"")</f>
        <v/>
      </c>
      <c r="BB164" s="35"/>
      <c r="BC164" s="35"/>
      <c r="BD164" s="36"/>
      <c r="BE164" s="37"/>
      <c r="BF164" s="51"/>
      <c r="BG164" s="36"/>
      <c r="BH164" s="64"/>
      <c r="BI164" s="64"/>
      <c r="BJ164" s="64"/>
      <c r="BK164" s="64"/>
      <c r="BL164" s="64"/>
    </row>
    <row r="165" spans="1:64" s="56" customFormat="1" ht="14.25" customHeight="1" x14ac:dyDescent="0.15">
      <c r="A165" s="200"/>
      <c r="B165" s="202"/>
      <c r="C165" s="365" t="str">
        <f>IF(A165&lt;&gt;"",VLOOKUP(A165,項目仕様!$A$6:$L$129,3),"")</f>
        <v/>
      </c>
      <c r="D165" s="366"/>
      <c r="E165" s="366"/>
      <c r="F165" s="366"/>
      <c r="G165" s="366"/>
      <c r="H165" s="366"/>
      <c r="I165" s="366"/>
      <c r="J165" s="366"/>
      <c r="K165" s="367"/>
      <c r="L165" s="287"/>
      <c r="M165" s="288"/>
      <c r="N165" s="288"/>
      <c r="O165" s="288"/>
      <c r="P165" s="288"/>
      <c r="Q165" s="288"/>
      <c r="R165" s="288"/>
      <c r="S165" s="288"/>
      <c r="T165" s="289"/>
      <c r="U165" s="143"/>
      <c r="V165" s="140"/>
      <c r="W165" s="140"/>
      <c r="X165" s="140"/>
      <c r="Y165" s="140"/>
      <c r="Z165" s="140"/>
      <c r="AA165" s="140"/>
      <c r="AB165" s="140"/>
      <c r="AC165" s="140"/>
      <c r="AD165" s="141"/>
      <c r="AE165" s="141"/>
      <c r="AF165" s="141"/>
      <c r="AG165" s="141"/>
      <c r="AH165" s="141"/>
      <c r="AI165" s="140"/>
      <c r="AJ165" s="140"/>
      <c r="AK165" s="140"/>
      <c r="AL165" s="140"/>
      <c r="AM165" s="140"/>
      <c r="AN165" s="140"/>
      <c r="AO165" s="140"/>
      <c r="AP165" s="140"/>
      <c r="AQ165" s="140"/>
      <c r="AR165" s="140"/>
      <c r="AS165" s="140"/>
      <c r="AT165" s="140"/>
      <c r="AU165" s="140"/>
      <c r="AV165" s="140"/>
      <c r="AW165" s="144"/>
      <c r="AX165" s="145"/>
      <c r="AY165" s="140"/>
      <c r="AZ165" s="142"/>
      <c r="BA165" s="34" t="str">
        <f>IF(BB165&amp;BC165&lt;&gt;"",MAX(BA$5:BA164)+1,"")</f>
        <v/>
      </c>
      <c r="BB165" s="35"/>
      <c r="BC165" s="35"/>
      <c r="BD165" s="36"/>
      <c r="BE165" s="37"/>
      <c r="BF165" s="51"/>
      <c r="BG165" s="36"/>
      <c r="BH165" s="64"/>
      <c r="BI165" s="64"/>
      <c r="BJ165" s="64"/>
      <c r="BK165" s="64"/>
      <c r="BL165" s="64"/>
    </row>
    <row r="166" spans="1:64" s="56" customFormat="1" ht="14.25" customHeight="1" x14ac:dyDescent="0.15">
      <c r="A166" s="200"/>
      <c r="B166" s="202"/>
      <c r="C166" s="365" t="str">
        <f>IF(A166&lt;&gt;"",VLOOKUP(A166,項目仕様!$A$6:$L$129,3),"")</f>
        <v/>
      </c>
      <c r="D166" s="366"/>
      <c r="E166" s="366"/>
      <c r="F166" s="366"/>
      <c r="G166" s="366"/>
      <c r="H166" s="366"/>
      <c r="I166" s="366"/>
      <c r="J166" s="366"/>
      <c r="K166" s="367"/>
      <c r="L166" s="287"/>
      <c r="M166" s="288"/>
      <c r="N166" s="288"/>
      <c r="O166" s="288"/>
      <c r="P166" s="288"/>
      <c r="Q166" s="288"/>
      <c r="R166" s="288"/>
      <c r="S166" s="288"/>
      <c r="T166" s="289"/>
      <c r="U166" s="143"/>
      <c r="V166" s="146"/>
      <c r="W166" s="140"/>
      <c r="X166" s="140"/>
      <c r="Y166" s="140"/>
      <c r="Z166" s="140"/>
      <c r="AA166" s="140"/>
      <c r="AB166" s="140"/>
      <c r="AC166" s="140"/>
      <c r="AD166" s="141"/>
      <c r="AE166" s="141"/>
      <c r="AF166" s="141"/>
      <c r="AG166" s="141"/>
      <c r="AH166" s="141"/>
      <c r="AI166" s="140"/>
      <c r="AJ166" s="140"/>
      <c r="AK166" s="140"/>
      <c r="AL166" s="140"/>
      <c r="AM166" s="140"/>
      <c r="AN166" s="140"/>
      <c r="AO166" s="140"/>
      <c r="AP166" s="140"/>
      <c r="AQ166" s="140"/>
      <c r="AR166" s="140"/>
      <c r="AS166" s="140"/>
      <c r="AT166" s="140"/>
      <c r="AU166" s="140"/>
      <c r="AV166" s="140"/>
      <c r="AW166" s="140"/>
      <c r="AX166" s="140"/>
      <c r="AY166" s="140"/>
      <c r="AZ166" s="142"/>
      <c r="BA166" s="34" t="str">
        <f>IF(BB166&amp;BC166&lt;&gt;"",MAX(BA$5:BA165)+1,"")</f>
        <v/>
      </c>
      <c r="BB166" s="35"/>
      <c r="BC166" s="35"/>
      <c r="BD166" s="36"/>
      <c r="BE166" s="37"/>
      <c r="BF166" s="51"/>
      <c r="BG166" s="36"/>
      <c r="BH166" s="64"/>
      <c r="BI166" s="64"/>
      <c r="BJ166" s="64"/>
      <c r="BK166" s="64"/>
      <c r="BL166" s="64"/>
    </row>
    <row r="167" spans="1:64" s="56" customFormat="1" ht="14.25" customHeight="1" x14ac:dyDescent="0.15">
      <c r="A167" s="200"/>
      <c r="B167" s="202"/>
      <c r="C167" s="365" t="str">
        <f>IF(A167&lt;&gt;"",VLOOKUP(A167,項目仕様!$A$6:$L$129,3),"")</f>
        <v/>
      </c>
      <c r="D167" s="366"/>
      <c r="E167" s="366"/>
      <c r="F167" s="366"/>
      <c r="G167" s="366"/>
      <c r="H167" s="366"/>
      <c r="I167" s="366"/>
      <c r="J167" s="366"/>
      <c r="K167" s="367"/>
      <c r="L167" s="287"/>
      <c r="M167" s="288"/>
      <c r="N167" s="288"/>
      <c r="O167" s="288"/>
      <c r="P167" s="288"/>
      <c r="Q167" s="288"/>
      <c r="R167" s="288"/>
      <c r="S167" s="288"/>
      <c r="T167" s="289"/>
      <c r="U167" s="143"/>
      <c r="V167" s="146"/>
      <c r="W167" s="146"/>
      <c r="X167" s="140"/>
      <c r="Y167" s="140"/>
      <c r="Z167" s="140"/>
      <c r="AA167" s="140"/>
      <c r="AB167" s="140"/>
      <c r="AC167" s="140"/>
      <c r="AD167" s="141"/>
      <c r="AE167" s="141"/>
      <c r="AF167" s="141"/>
      <c r="AG167" s="141"/>
      <c r="AH167" s="141"/>
      <c r="AI167" s="140"/>
      <c r="AJ167" s="140"/>
      <c r="AK167" s="140"/>
      <c r="AL167" s="140"/>
      <c r="AM167" s="140"/>
      <c r="AN167" s="140"/>
      <c r="AO167" s="140"/>
      <c r="AP167" s="140"/>
      <c r="AQ167" s="140"/>
      <c r="AR167" s="140"/>
      <c r="AS167" s="140"/>
      <c r="AT167" s="140"/>
      <c r="AU167" s="140"/>
      <c r="AV167" s="140"/>
      <c r="AW167" s="140"/>
      <c r="AX167" s="140"/>
      <c r="AY167" s="140"/>
      <c r="AZ167" s="142"/>
      <c r="BA167" s="34" t="str">
        <f>IF(BB167&amp;BC167&lt;&gt;"",MAX(BA$5:BA166)+1,"")</f>
        <v/>
      </c>
      <c r="BB167" s="35"/>
      <c r="BC167" s="35"/>
      <c r="BD167" s="36"/>
      <c r="BE167" s="37"/>
      <c r="BF167" s="51"/>
      <c r="BG167" s="36"/>
      <c r="BH167" s="64"/>
      <c r="BI167" s="64"/>
      <c r="BJ167" s="64"/>
      <c r="BK167" s="64"/>
      <c r="BL167" s="64"/>
    </row>
    <row r="168" spans="1:64" s="56" customFormat="1" ht="14.25" customHeight="1" x14ac:dyDescent="0.15">
      <c r="A168" s="200"/>
      <c r="B168" s="202"/>
      <c r="C168" s="365" t="str">
        <f>IF(A168&lt;&gt;"",VLOOKUP(A168,項目仕様!$A$6:$L$129,3),"")</f>
        <v/>
      </c>
      <c r="D168" s="366"/>
      <c r="E168" s="366"/>
      <c r="F168" s="366"/>
      <c r="G168" s="366"/>
      <c r="H168" s="366"/>
      <c r="I168" s="366"/>
      <c r="J168" s="366"/>
      <c r="K168" s="367"/>
      <c r="L168" s="287"/>
      <c r="M168" s="288"/>
      <c r="N168" s="288"/>
      <c r="O168" s="288"/>
      <c r="P168" s="288"/>
      <c r="Q168" s="288"/>
      <c r="R168" s="288"/>
      <c r="S168" s="288"/>
      <c r="T168" s="289"/>
      <c r="U168" s="143"/>
      <c r="V168" s="146"/>
      <c r="W168" s="140"/>
      <c r="X168" s="140"/>
      <c r="Y168" s="140"/>
      <c r="Z168" s="140"/>
      <c r="AA168" s="140"/>
      <c r="AB168" s="140"/>
      <c r="AC168" s="140"/>
      <c r="AD168" s="141"/>
      <c r="AE168" s="141"/>
      <c r="AF168" s="141"/>
      <c r="AG168" s="141"/>
      <c r="AH168" s="141"/>
      <c r="AI168" s="140"/>
      <c r="AJ168" s="140"/>
      <c r="AK168" s="140"/>
      <c r="AL168" s="140"/>
      <c r="AM168" s="140"/>
      <c r="AN168" s="140"/>
      <c r="AO168" s="140"/>
      <c r="AP168" s="140"/>
      <c r="AQ168" s="140"/>
      <c r="AR168" s="140"/>
      <c r="AS168" s="140"/>
      <c r="AT168" s="140"/>
      <c r="AU168" s="140"/>
      <c r="AV168" s="140"/>
      <c r="AW168" s="140"/>
      <c r="AX168" s="140"/>
      <c r="AY168" s="140"/>
      <c r="AZ168" s="142"/>
      <c r="BA168" s="34" t="str">
        <f>IF(BB168&amp;BC168&lt;&gt;"",MAX(BA$5:BA167)+1,"")</f>
        <v/>
      </c>
      <c r="BB168" s="35"/>
      <c r="BC168" s="35"/>
      <c r="BD168" s="36"/>
      <c r="BE168" s="37"/>
      <c r="BF168" s="51"/>
      <c r="BG168" s="36"/>
      <c r="BH168" s="64"/>
      <c r="BI168" s="64"/>
      <c r="BJ168" s="64"/>
      <c r="BK168" s="64"/>
      <c r="BL168" s="64"/>
    </row>
    <row r="169" spans="1:64" s="56" customFormat="1" ht="14.25" customHeight="1" x14ac:dyDescent="0.15">
      <c r="A169" s="200"/>
      <c r="B169" s="202"/>
      <c r="C169" s="365" t="str">
        <f>IF(A169&lt;&gt;"",VLOOKUP(A169,項目仕様!$A$6:$L$129,3),"")</f>
        <v/>
      </c>
      <c r="D169" s="366"/>
      <c r="E169" s="366"/>
      <c r="F169" s="366"/>
      <c r="G169" s="366"/>
      <c r="H169" s="366"/>
      <c r="I169" s="366"/>
      <c r="J169" s="366"/>
      <c r="K169" s="367"/>
      <c r="L169" s="287"/>
      <c r="M169" s="288"/>
      <c r="N169" s="288"/>
      <c r="O169" s="288"/>
      <c r="P169" s="288"/>
      <c r="Q169" s="288"/>
      <c r="R169" s="288"/>
      <c r="S169" s="288"/>
      <c r="T169" s="289"/>
      <c r="U169" s="143"/>
      <c r="V169" s="140"/>
      <c r="W169" s="146"/>
      <c r="X169" s="140"/>
      <c r="Y169" s="141"/>
      <c r="Z169" s="140"/>
      <c r="AA169" s="140"/>
      <c r="AB169" s="140"/>
      <c r="AC169" s="140"/>
      <c r="AD169" s="141"/>
      <c r="AE169" s="141"/>
      <c r="AF169" s="141"/>
      <c r="AG169" s="141"/>
      <c r="AH169" s="141"/>
      <c r="AI169" s="140"/>
      <c r="AJ169" s="140"/>
      <c r="AK169" s="140"/>
      <c r="AL169" s="140"/>
      <c r="AM169" s="140"/>
      <c r="AN169" s="140"/>
      <c r="AO169" s="140"/>
      <c r="AP169" s="140"/>
      <c r="AQ169" s="140"/>
      <c r="AR169" s="140"/>
      <c r="AS169" s="140"/>
      <c r="AT169" s="140"/>
      <c r="AU169" s="140"/>
      <c r="AV169" s="140"/>
      <c r="AW169" s="140"/>
      <c r="AX169" s="140"/>
      <c r="AY169" s="140"/>
      <c r="AZ169" s="142"/>
      <c r="BA169" s="34" t="str">
        <f>IF(BB169&amp;BC169&lt;&gt;"",MAX(BA$5:BA168)+1,"")</f>
        <v/>
      </c>
      <c r="BB169" s="35"/>
      <c r="BC169" s="35"/>
      <c r="BD169" s="36"/>
      <c r="BE169" s="37"/>
      <c r="BF169" s="51"/>
      <c r="BG169" s="36"/>
      <c r="BH169" s="64"/>
      <c r="BI169" s="64"/>
      <c r="BJ169" s="64"/>
      <c r="BK169" s="64"/>
      <c r="BL169" s="64"/>
    </row>
    <row r="170" spans="1:64" s="56" customFormat="1" ht="14.25" customHeight="1" x14ac:dyDescent="0.15">
      <c r="A170" s="200"/>
      <c r="B170" s="202"/>
      <c r="C170" s="365" t="str">
        <f>IF(A170&lt;&gt;"",VLOOKUP(A170,項目仕様!$A$6:$L$129,3),"")</f>
        <v/>
      </c>
      <c r="D170" s="366"/>
      <c r="E170" s="366"/>
      <c r="F170" s="366"/>
      <c r="G170" s="366"/>
      <c r="H170" s="366"/>
      <c r="I170" s="366"/>
      <c r="J170" s="366"/>
      <c r="K170" s="367"/>
      <c r="L170" s="287"/>
      <c r="M170" s="288"/>
      <c r="N170" s="288"/>
      <c r="O170" s="288"/>
      <c r="P170" s="288"/>
      <c r="Q170" s="288"/>
      <c r="R170" s="288"/>
      <c r="S170" s="288"/>
      <c r="T170" s="289"/>
      <c r="U170" s="57"/>
      <c r="V170" s="57"/>
      <c r="W170" s="57"/>
      <c r="X170" s="57"/>
      <c r="Y170" s="57"/>
      <c r="Z170" s="57"/>
      <c r="AA170" s="57"/>
      <c r="AB170" s="57"/>
      <c r="AC170" s="57"/>
      <c r="AD170" s="60"/>
      <c r="AE170" s="60"/>
      <c r="AF170" s="60"/>
      <c r="AG170" s="60"/>
      <c r="AH170" s="60"/>
      <c r="AI170" s="57"/>
      <c r="AJ170" s="57"/>
      <c r="AK170" s="57"/>
      <c r="AL170" s="57"/>
      <c r="AM170" s="57"/>
      <c r="AN170" s="57"/>
      <c r="AO170" s="57"/>
      <c r="AP170" s="57"/>
      <c r="AQ170" s="57"/>
      <c r="AR170" s="57"/>
      <c r="AS170" s="57"/>
      <c r="AT170" s="57"/>
      <c r="AU170" s="57"/>
      <c r="AV170" s="57"/>
      <c r="AW170" s="57"/>
      <c r="AX170" s="57"/>
      <c r="AY170" s="57"/>
      <c r="AZ170" s="59"/>
      <c r="BA170" s="34" t="str">
        <f>IF(BB170&amp;BC170&lt;&gt;"",MAX(BA$5:BA169)+1,"")</f>
        <v/>
      </c>
      <c r="BB170" s="35"/>
      <c r="BC170" s="35"/>
      <c r="BD170" s="36"/>
      <c r="BE170" s="37"/>
      <c r="BF170" s="51"/>
      <c r="BG170" s="36"/>
      <c r="BH170" s="64"/>
      <c r="BI170" s="64"/>
      <c r="BJ170" s="64"/>
      <c r="BK170" s="64"/>
      <c r="BL170" s="64"/>
    </row>
    <row r="171" spans="1:64" s="56" customFormat="1" ht="14.25" customHeight="1" x14ac:dyDescent="0.15">
      <c r="A171" s="200"/>
      <c r="B171" s="202"/>
      <c r="C171" s="365" t="str">
        <f>IF(A171&lt;&gt;"",VLOOKUP(A171,項目仕様!$A$6:$L$129,3),"")</f>
        <v/>
      </c>
      <c r="D171" s="366"/>
      <c r="E171" s="366"/>
      <c r="F171" s="366"/>
      <c r="G171" s="366"/>
      <c r="H171" s="366"/>
      <c r="I171" s="366"/>
      <c r="J171" s="366"/>
      <c r="K171" s="367"/>
      <c r="L171" s="287"/>
      <c r="M171" s="288"/>
      <c r="N171" s="288"/>
      <c r="O171" s="288"/>
      <c r="P171" s="288"/>
      <c r="Q171" s="288"/>
      <c r="R171" s="288"/>
      <c r="S171" s="288"/>
      <c r="T171" s="289"/>
      <c r="U171" s="57"/>
      <c r="V171" s="57"/>
      <c r="W171" s="57"/>
      <c r="X171" s="57"/>
      <c r="Y171" s="57"/>
      <c r="Z171" s="57"/>
      <c r="AA171" s="57"/>
      <c r="AB171" s="57"/>
      <c r="AC171" s="57"/>
      <c r="AD171" s="60"/>
      <c r="AE171" s="60"/>
      <c r="AF171" s="60"/>
      <c r="AG171" s="60"/>
      <c r="AH171" s="60"/>
      <c r="AI171" s="57"/>
      <c r="AJ171" s="57"/>
      <c r="AK171" s="57"/>
      <c r="AL171" s="57"/>
      <c r="AM171" s="57"/>
      <c r="AN171" s="57"/>
      <c r="AO171" s="57"/>
      <c r="AP171" s="57"/>
      <c r="AQ171" s="57"/>
      <c r="AR171" s="57"/>
      <c r="AS171" s="57"/>
      <c r="AT171" s="57"/>
      <c r="AU171" s="57"/>
      <c r="AV171" s="57"/>
      <c r="AW171" s="57"/>
      <c r="AX171" s="57"/>
      <c r="AY171" s="57"/>
      <c r="AZ171" s="59"/>
      <c r="BA171" s="34" t="str">
        <f>IF(BB171&amp;BC171&lt;&gt;"",MAX(BA$5:BA170)+1,"")</f>
        <v/>
      </c>
      <c r="BB171" s="35"/>
      <c r="BC171" s="35"/>
      <c r="BD171" s="36"/>
      <c r="BE171" s="37"/>
      <c r="BF171" s="51"/>
      <c r="BG171" s="36"/>
      <c r="BH171" s="64"/>
      <c r="BI171" s="64"/>
      <c r="BJ171" s="64"/>
      <c r="BK171" s="64"/>
      <c r="BL171" s="64"/>
    </row>
    <row r="172" spans="1:64" s="56" customFormat="1" ht="14.25" customHeight="1" x14ac:dyDescent="0.15">
      <c r="A172" s="200"/>
      <c r="B172" s="202"/>
      <c r="C172" s="365" t="str">
        <f>IF(A172&lt;&gt;"",VLOOKUP(A172,項目仕様!$A$6:$L$129,3),"")</f>
        <v/>
      </c>
      <c r="D172" s="366"/>
      <c r="E172" s="366"/>
      <c r="F172" s="366"/>
      <c r="G172" s="366"/>
      <c r="H172" s="366"/>
      <c r="I172" s="366"/>
      <c r="J172" s="366"/>
      <c r="K172" s="367"/>
      <c r="L172" s="287"/>
      <c r="M172" s="288"/>
      <c r="N172" s="288"/>
      <c r="O172" s="288"/>
      <c r="P172" s="288"/>
      <c r="Q172" s="288"/>
      <c r="R172" s="288"/>
      <c r="S172" s="288"/>
      <c r="T172" s="289"/>
      <c r="U172" s="57"/>
      <c r="V172" s="57"/>
      <c r="W172" s="57"/>
      <c r="X172" s="57"/>
      <c r="Y172" s="57"/>
      <c r="Z172" s="57"/>
      <c r="AA172" s="57"/>
      <c r="AB172" s="57"/>
      <c r="AC172" s="57"/>
      <c r="AD172" s="60"/>
      <c r="AE172" s="60"/>
      <c r="AF172" s="60"/>
      <c r="AG172" s="60"/>
      <c r="AH172" s="60"/>
      <c r="AI172" s="57"/>
      <c r="AJ172" s="57"/>
      <c r="AK172" s="57"/>
      <c r="AL172" s="57"/>
      <c r="AM172" s="57"/>
      <c r="AN172" s="57"/>
      <c r="AO172" s="57"/>
      <c r="AP172" s="57"/>
      <c r="AQ172" s="57"/>
      <c r="AR172" s="57"/>
      <c r="AS172" s="57"/>
      <c r="AT172" s="57"/>
      <c r="AU172" s="57"/>
      <c r="AV172" s="57"/>
      <c r="AW172" s="57"/>
      <c r="AX172" s="57"/>
      <c r="AY172" s="57"/>
      <c r="AZ172" s="59"/>
      <c r="BA172" s="34" t="str">
        <f>IF(BB172&amp;BC172&lt;&gt;"",MAX(BA$5:BA171)+1,"")</f>
        <v/>
      </c>
      <c r="BB172" s="35"/>
      <c r="BC172" s="35"/>
      <c r="BD172" s="36"/>
      <c r="BE172" s="37"/>
      <c r="BF172" s="51"/>
      <c r="BG172" s="36"/>
      <c r="BH172" s="64"/>
      <c r="BI172" s="64"/>
      <c r="BJ172" s="64"/>
      <c r="BK172" s="64"/>
      <c r="BL172" s="64"/>
    </row>
    <row r="173" spans="1:64" s="56" customFormat="1" ht="14.25" customHeight="1" x14ac:dyDescent="0.15">
      <c r="A173" s="200"/>
      <c r="B173" s="202"/>
      <c r="C173" s="365" t="str">
        <f>IF(A173&lt;&gt;"",VLOOKUP(A173,項目仕様!$A$6:$L$129,3),"")</f>
        <v/>
      </c>
      <c r="D173" s="366"/>
      <c r="E173" s="366"/>
      <c r="F173" s="366"/>
      <c r="G173" s="366"/>
      <c r="H173" s="366"/>
      <c r="I173" s="366"/>
      <c r="J173" s="366"/>
      <c r="K173" s="367"/>
      <c r="L173" s="287"/>
      <c r="M173" s="288"/>
      <c r="N173" s="288"/>
      <c r="O173" s="288"/>
      <c r="P173" s="288"/>
      <c r="Q173" s="288"/>
      <c r="R173" s="288"/>
      <c r="S173" s="288"/>
      <c r="T173" s="289"/>
      <c r="U173" s="57"/>
      <c r="V173" s="57"/>
      <c r="W173" s="57"/>
      <c r="X173" s="57"/>
      <c r="Y173" s="57"/>
      <c r="Z173" s="57"/>
      <c r="AA173" s="57"/>
      <c r="AB173" s="57"/>
      <c r="AC173" s="57"/>
      <c r="AD173" s="60"/>
      <c r="AE173" s="60"/>
      <c r="AF173" s="60"/>
      <c r="AG173" s="60"/>
      <c r="AH173" s="60"/>
      <c r="AI173" s="57"/>
      <c r="AJ173" s="57"/>
      <c r="AK173" s="57"/>
      <c r="AL173" s="57"/>
      <c r="AM173" s="57"/>
      <c r="AN173" s="57"/>
      <c r="AO173" s="57"/>
      <c r="AP173" s="57"/>
      <c r="AQ173" s="57"/>
      <c r="AR173" s="57"/>
      <c r="AS173" s="57"/>
      <c r="AT173" s="57"/>
      <c r="AU173" s="57"/>
      <c r="AV173" s="57"/>
      <c r="AW173" s="57"/>
      <c r="AX173" s="57"/>
      <c r="AY173" s="57"/>
      <c r="AZ173" s="59"/>
      <c r="BA173" s="34" t="str">
        <f>IF(BB173&amp;BC173&lt;&gt;"",MAX(BA$5:BA172)+1,"")</f>
        <v/>
      </c>
      <c r="BB173" s="35"/>
      <c r="BC173" s="35"/>
      <c r="BD173" s="36"/>
      <c r="BE173" s="37"/>
      <c r="BF173" s="51"/>
      <c r="BG173" s="36"/>
      <c r="BH173" s="64"/>
      <c r="BI173" s="64"/>
      <c r="BJ173" s="64"/>
      <c r="BK173" s="64"/>
      <c r="BL173" s="64"/>
    </row>
    <row r="174" spans="1:64" s="56" customFormat="1" ht="14.25" customHeight="1" x14ac:dyDescent="0.15">
      <c r="A174" s="200"/>
      <c r="B174" s="202"/>
      <c r="C174" s="365" t="str">
        <f>IF(A174&lt;&gt;"",VLOOKUP(A174,項目仕様!$A$6:$L$129,3),"")</f>
        <v/>
      </c>
      <c r="D174" s="366"/>
      <c r="E174" s="366"/>
      <c r="F174" s="366"/>
      <c r="G174" s="366"/>
      <c r="H174" s="366"/>
      <c r="I174" s="366"/>
      <c r="J174" s="366"/>
      <c r="K174" s="367"/>
      <c r="L174" s="287"/>
      <c r="M174" s="288"/>
      <c r="N174" s="288"/>
      <c r="O174" s="288"/>
      <c r="P174" s="288"/>
      <c r="Q174" s="288"/>
      <c r="R174" s="288"/>
      <c r="S174" s="288"/>
      <c r="T174" s="289"/>
      <c r="U174" s="57"/>
      <c r="V174" s="57"/>
      <c r="W174" s="57"/>
      <c r="X174" s="57"/>
      <c r="Y174" s="57"/>
      <c r="Z174" s="57"/>
      <c r="AA174" s="60"/>
      <c r="AB174" s="57"/>
      <c r="AC174" s="57"/>
      <c r="AD174" s="60"/>
      <c r="AE174" s="60"/>
      <c r="AF174" s="60"/>
      <c r="AG174" s="60"/>
      <c r="AH174" s="60"/>
      <c r="AI174" s="57"/>
      <c r="AJ174" s="57"/>
      <c r="AK174" s="57"/>
      <c r="AL174" s="57"/>
      <c r="AM174" s="57"/>
      <c r="AN174" s="57"/>
      <c r="AO174" s="57"/>
      <c r="AP174" s="57"/>
      <c r="AQ174" s="57"/>
      <c r="AR174" s="57"/>
      <c r="AS174" s="57"/>
      <c r="AT174" s="57"/>
      <c r="AU174" s="57"/>
      <c r="AV174" s="57"/>
      <c r="AW174" s="57"/>
      <c r="AX174" s="57"/>
      <c r="AY174" s="57"/>
      <c r="AZ174" s="59"/>
      <c r="BA174" s="34" t="str">
        <f>IF(BB174&amp;BC174&lt;&gt;"",MAX(BA$5:BA173)+1,"")</f>
        <v/>
      </c>
      <c r="BB174" s="35"/>
      <c r="BC174" s="35"/>
      <c r="BD174" s="36"/>
      <c r="BE174" s="37"/>
      <c r="BF174" s="51"/>
      <c r="BG174" s="36"/>
      <c r="BH174" s="64"/>
      <c r="BI174" s="64"/>
      <c r="BJ174" s="64"/>
      <c r="BK174" s="64"/>
      <c r="BL174" s="64"/>
    </row>
    <row r="175" spans="1:64" s="56" customFormat="1" ht="14.25" customHeight="1" x14ac:dyDescent="0.15">
      <c r="A175" s="200"/>
      <c r="B175" s="202"/>
      <c r="C175" s="365" t="str">
        <f>IF(A175&lt;&gt;"",VLOOKUP(A175,項目仕様!$A$6:$L$129,3),"")</f>
        <v/>
      </c>
      <c r="D175" s="366"/>
      <c r="E175" s="366"/>
      <c r="F175" s="366"/>
      <c r="G175" s="366"/>
      <c r="H175" s="366"/>
      <c r="I175" s="366"/>
      <c r="J175" s="366"/>
      <c r="K175" s="367"/>
      <c r="L175" s="287"/>
      <c r="M175" s="288"/>
      <c r="N175" s="288"/>
      <c r="O175" s="288"/>
      <c r="P175" s="288"/>
      <c r="Q175" s="288"/>
      <c r="R175" s="288"/>
      <c r="S175" s="288"/>
      <c r="T175" s="289"/>
      <c r="U175" s="57"/>
      <c r="V175" s="57"/>
      <c r="W175" s="57"/>
      <c r="X175" s="57"/>
      <c r="Y175" s="57"/>
      <c r="Z175" s="57"/>
      <c r="AA175" s="60"/>
      <c r="AB175" s="57"/>
      <c r="AC175" s="57"/>
      <c r="AD175" s="60"/>
      <c r="AE175" s="60"/>
      <c r="AF175" s="60"/>
      <c r="AG175" s="60"/>
      <c r="AH175" s="60"/>
      <c r="AI175" s="57"/>
      <c r="AJ175" s="57"/>
      <c r="AK175" s="57"/>
      <c r="AL175" s="57"/>
      <c r="AM175" s="57"/>
      <c r="AN175" s="57"/>
      <c r="AO175" s="57"/>
      <c r="AP175" s="57"/>
      <c r="AQ175" s="57"/>
      <c r="AR175" s="57"/>
      <c r="AS175" s="57"/>
      <c r="AT175" s="57"/>
      <c r="AU175" s="57"/>
      <c r="AV175" s="57"/>
      <c r="AW175" s="57"/>
      <c r="AX175" s="57"/>
      <c r="AY175" s="57"/>
      <c r="AZ175" s="59"/>
      <c r="BA175" s="34" t="str">
        <f>IF(BB175&amp;BC175&lt;&gt;"",MAX(BA$5:BA174)+1,"")</f>
        <v/>
      </c>
      <c r="BB175" s="35"/>
      <c r="BC175" s="35"/>
      <c r="BD175" s="36"/>
      <c r="BE175" s="37"/>
      <c r="BF175" s="51"/>
      <c r="BG175" s="36"/>
      <c r="BH175" s="64"/>
      <c r="BI175" s="64"/>
      <c r="BJ175" s="64"/>
      <c r="BK175" s="64"/>
      <c r="BL175" s="64"/>
    </row>
    <row r="176" spans="1:64" s="56" customFormat="1" ht="14.25" customHeight="1" x14ac:dyDescent="0.15">
      <c r="A176" s="200"/>
      <c r="B176" s="202"/>
      <c r="C176" s="365" t="str">
        <f>IF(A176&lt;&gt;"",VLOOKUP(A176,項目仕様!$A$6:$L$129,3),"")</f>
        <v/>
      </c>
      <c r="D176" s="366"/>
      <c r="E176" s="366"/>
      <c r="F176" s="366"/>
      <c r="G176" s="366"/>
      <c r="H176" s="366"/>
      <c r="I176" s="366"/>
      <c r="J176" s="366"/>
      <c r="K176" s="367"/>
      <c r="L176" s="287"/>
      <c r="M176" s="288"/>
      <c r="N176" s="288"/>
      <c r="O176" s="288"/>
      <c r="P176" s="288"/>
      <c r="Q176" s="288"/>
      <c r="R176" s="288"/>
      <c r="S176" s="288"/>
      <c r="T176" s="289"/>
      <c r="U176" s="57"/>
      <c r="V176" s="57"/>
      <c r="W176" s="57"/>
      <c r="X176" s="57"/>
      <c r="Y176" s="57"/>
      <c r="Z176" s="60"/>
      <c r="AA176" s="60"/>
      <c r="AB176" s="57"/>
      <c r="AC176" s="57"/>
      <c r="AD176" s="57"/>
      <c r="AE176" s="60"/>
      <c r="AF176" s="60"/>
      <c r="AG176" s="60"/>
      <c r="AH176" s="60"/>
      <c r="AI176" s="60"/>
      <c r="AJ176" s="57"/>
      <c r="AK176" s="57"/>
      <c r="AL176" s="57"/>
      <c r="AM176" s="57"/>
      <c r="AN176" s="57"/>
      <c r="AO176" s="57"/>
      <c r="AP176" s="57"/>
      <c r="AQ176" s="57"/>
      <c r="AR176" s="57"/>
      <c r="AS176" s="57"/>
      <c r="AT176" s="57"/>
      <c r="AU176" s="57"/>
      <c r="AV176" s="57"/>
      <c r="AW176" s="57"/>
      <c r="AX176" s="57"/>
      <c r="AY176" s="57"/>
      <c r="AZ176" s="59"/>
      <c r="BA176" s="34" t="str">
        <f>IF(BB176&amp;BC176&lt;&gt;"",MAX(BA$5:BA175)+1,"")</f>
        <v/>
      </c>
      <c r="BB176" s="35"/>
      <c r="BC176" s="35"/>
      <c r="BD176" s="36"/>
      <c r="BE176" s="37"/>
      <c r="BF176" s="51"/>
      <c r="BG176" s="36"/>
      <c r="BH176" s="64"/>
      <c r="BI176" s="64"/>
      <c r="BJ176" s="64"/>
      <c r="BK176" s="64"/>
      <c r="BL176" s="64"/>
    </row>
    <row r="177" spans="1:64" s="56" customFormat="1" ht="14.25" customHeight="1" x14ac:dyDescent="0.15">
      <c r="A177" s="200"/>
      <c r="B177" s="202"/>
      <c r="C177" s="365" t="str">
        <f>IF(A177&lt;&gt;"",VLOOKUP(A177,項目仕様!$A$6:$L$129,3),"")</f>
        <v/>
      </c>
      <c r="D177" s="366"/>
      <c r="E177" s="366"/>
      <c r="F177" s="366"/>
      <c r="G177" s="366"/>
      <c r="H177" s="366"/>
      <c r="I177" s="366"/>
      <c r="J177" s="366"/>
      <c r="K177" s="367"/>
      <c r="L177" s="287"/>
      <c r="M177" s="288"/>
      <c r="N177" s="288"/>
      <c r="O177" s="288"/>
      <c r="P177" s="288"/>
      <c r="Q177" s="288"/>
      <c r="R177" s="288"/>
      <c r="S177" s="288"/>
      <c r="T177" s="289"/>
      <c r="U177" s="57"/>
      <c r="V177" s="57"/>
      <c r="W177" s="57"/>
      <c r="X177" s="57"/>
      <c r="Y177" s="57"/>
      <c r="Z177" s="60"/>
      <c r="AA177" s="57"/>
      <c r="AB177" s="57"/>
      <c r="AC177" s="57"/>
      <c r="AD177" s="60"/>
      <c r="AE177" s="60"/>
      <c r="AF177" s="60"/>
      <c r="AG177" s="60"/>
      <c r="AH177" s="60"/>
      <c r="AI177" s="57"/>
      <c r="AJ177" s="57"/>
      <c r="AK177" s="57"/>
      <c r="AL177" s="57"/>
      <c r="AM177" s="57"/>
      <c r="AN177" s="57"/>
      <c r="AO177" s="57"/>
      <c r="AP177" s="57"/>
      <c r="AQ177" s="57"/>
      <c r="AR177" s="57"/>
      <c r="AS177" s="57"/>
      <c r="AT177" s="57"/>
      <c r="AU177" s="57"/>
      <c r="AV177" s="57"/>
      <c r="AW177" s="57"/>
      <c r="AX177" s="57"/>
      <c r="AY177" s="57"/>
      <c r="AZ177" s="59"/>
      <c r="BA177" s="34" t="str">
        <f>IF(BB177&amp;BC177&lt;&gt;"",MAX(BA$5:BA176)+1,"")</f>
        <v/>
      </c>
      <c r="BB177" s="35"/>
      <c r="BC177" s="35"/>
      <c r="BD177" s="36"/>
      <c r="BE177" s="37"/>
      <c r="BF177" s="51"/>
      <c r="BG177" s="36"/>
      <c r="BH177" s="64"/>
      <c r="BI177" s="64"/>
      <c r="BJ177" s="64"/>
      <c r="BK177" s="64"/>
      <c r="BL177" s="64"/>
    </row>
    <row r="178" spans="1:64" s="56" customFormat="1" ht="14.25" customHeight="1" x14ac:dyDescent="0.15">
      <c r="A178" s="200"/>
      <c r="B178" s="202"/>
      <c r="C178" s="365" t="str">
        <f>IF(A178&lt;&gt;"",VLOOKUP(A178,項目仕様!$A$6:$L$129,3),"")</f>
        <v/>
      </c>
      <c r="D178" s="366"/>
      <c r="E178" s="366"/>
      <c r="F178" s="366"/>
      <c r="G178" s="366"/>
      <c r="H178" s="366"/>
      <c r="I178" s="366"/>
      <c r="J178" s="366"/>
      <c r="K178" s="367"/>
      <c r="L178" s="287"/>
      <c r="M178" s="288"/>
      <c r="N178" s="288"/>
      <c r="O178" s="288"/>
      <c r="P178" s="288"/>
      <c r="Q178" s="288"/>
      <c r="R178" s="288"/>
      <c r="S178" s="288"/>
      <c r="T178" s="289"/>
      <c r="U178" s="57"/>
      <c r="V178" s="57"/>
      <c r="W178" s="57"/>
      <c r="X178" s="57"/>
      <c r="Y178" s="57"/>
      <c r="Z178" s="60"/>
      <c r="AA178" s="60"/>
      <c r="AB178" s="57"/>
      <c r="AC178" s="57"/>
      <c r="AD178" s="60"/>
      <c r="AE178" s="60"/>
      <c r="AF178" s="60"/>
      <c r="AG178" s="60"/>
      <c r="AH178" s="60"/>
      <c r="AI178" s="57"/>
      <c r="AJ178" s="57"/>
      <c r="AK178" s="57"/>
      <c r="AL178" s="57"/>
      <c r="AM178" s="57"/>
      <c r="AN178" s="57"/>
      <c r="AO178" s="57"/>
      <c r="AP178" s="57"/>
      <c r="AQ178" s="57"/>
      <c r="AR178" s="57"/>
      <c r="AS178" s="57"/>
      <c r="AT178" s="57"/>
      <c r="AU178" s="57"/>
      <c r="AV178" s="57"/>
      <c r="AW178" s="57"/>
      <c r="AX178" s="57"/>
      <c r="AY178" s="57"/>
      <c r="AZ178" s="59"/>
      <c r="BA178" s="34" t="str">
        <f>IF(BB178&amp;BC178&lt;&gt;"",MAX(BA$5:BA177)+1,"")</f>
        <v/>
      </c>
      <c r="BB178" s="35"/>
      <c r="BC178" s="35"/>
      <c r="BD178" s="36"/>
      <c r="BE178" s="37"/>
      <c r="BF178" s="51"/>
      <c r="BG178" s="36"/>
      <c r="BH178" s="64"/>
      <c r="BI178" s="64"/>
      <c r="BJ178" s="64"/>
      <c r="BK178" s="64"/>
      <c r="BL178" s="64"/>
    </row>
    <row r="179" spans="1:64" s="56" customFormat="1" ht="14.25" customHeight="1" x14ac:dyDescent="0.15">
      <c r="A179" s="200"/>
      <c r="B179" s="202"/>
      <c r="C179" s="365" t="str">
        <f>IF(A179&lt;&gt;"",VLOOKUP(A179,項目仕様!$A$6:$L$129,3),"")</f>
        <v/>
      </c>
      <c r="D179" s="366"/>
      <c r="E179" s="366"/>
      <c r="F179" s="366"/>
      <c r="G179" s="366"/>
      <c r="H179" s="366"/>
      <c r="I179" s="366"/>
      <c r="J179" s="366"/>
      <c r="K179" s="367"/>
      <c r="L179" s="287"/>
      <c r="M179" s="288"/>
      <c r="N179" s="288"/>
      <c r="O179" s="288"/>
      <c r="P179" s="288"/>
      <c r="Q179" s="288"/>
      <c r="R179" s="288"/>
      <c r="S179" s="288"/>
      <c r="T179" s="289"/>
      <c r="U179" s="57"/>
      <c r="V179" s="57"/>
      <c r="W179" s="57"/>
      <c r="X179" s="57"/>
      <c r="Y179" s="57"/>
      <c r="Z179" s="57"/>
      <c r="AA179" s="57"/>
      <c r="AB179" s="57"/>
      <c r="AC179" s="57"/>
      <c r="AD179" s="60"/>
      <c r="AE179" s="60"/>
      <c r="AF179" s="60"/>
      <c r="AG179" s="60"/>
      <c r="AH179" s="60"/>
      <c r="AI179" s="57"/>
      <c r="AJ179" s="57"/>
      <c r="AK179" s="57"/>
      <c r="AL179" s="57"/>
      <c r="AM179" s="57"/>
      <c r="AN179" s="57"/>
      <c r="AO179" s="57"/>
      <c r="AP179" s="57"/>
      <c r="AQ179" s="57"/>
      <c r="AR179" s="57"/>
      <c r="AS179" s="57"/>
      <c r="AT179" s="57"/>
      <c r="AU179" s="57"/>
      <c r="AV179" s="57"/>
      <c r="AW179" s="57"/>
      <c r="AX179" s="57"/>
      <c r="AY179" s="57"/>
      <c r="AZ179" s="59"/>
      <c r="BA179" s="34" t="str">
        <f>IF(BB179&amp;BC179&lt;&gt;"",MAX(BA$5:BA178)+1,"")</f>
        <v/>
      </c>
      <c r="BB179" s="35"/>
      <c r="BC179" s="35"/>
      <c r="BD179" s="36"/>
      <c r="BE179" s="37"/>
      <c r="BF179" s="51"/>
      <c r="BG179" s="36"/>
      <c r="BH179" s="64"/>
      <c r="BI179" s="64"/>
      <c r="BJ179" s="64"/>
      <c r="BK179" s="64"/>
      <c r="BL179" s="64"/>
    </row>
    <row r="180" spans="1:64" s="56" customFormat="1" ht="14.25" customHeight="1" x14ac:dyDescent="0.15">
      <c r="A180" s="200"/>
      <c r="B180" s="202"/>
      <c r="C180" s="365" t="str">
        <f>IF(A180&lt;&gt;"",VLOOKUP(A180,項目仕様!$A$6:$L$129,3),"")</f>
        <v/>
      </c>
      <c r="D180" s="366"/>
      <c r="E180" s="366"/>
      <c r="F180" s="366"/>
      <c r="G180" s="366"/>
      <c r="H180" s="366"/>
      <c r="I180" s="366"/>
      <c r="J180" s="366"/>
      <c r="K180" s="367"/>
      <c r="L180" s="287"/>
      <c r="M180" s="288"/>
      <c r="N180" s="288"/>
      <c r="O180" s="288"/>
      <c r="P180" s="288"/>
      <c r="Q180" s="288"/>
      <c r="R180" s="288"/>
      <c r="S180" s="288"/>
      <c r="T180" s="289"/>
      <c r="U180" s="57"/>
      <c r="V180" s="57"/>
      <c r="W180" s="57"/>
      <c r="X180" s="57"/>
      <c r="Y180" s="57"/>
      <c r="Z180" s="57"/>
      <c r="AA180" s="57"/>
      <c r="AB180" s="57"/>
      <c r="AC180" s="57"/>
      <c r="AD180" s="60"/>
      <c r="AE180" s="60"/>
      <c r="AF180" s="60"/>
      <c r="AG180" s="60"/>
      <c r="AH180" s="60"/>
      <c r="AI180" s="57"/>
      <c r="AJ180" s="57"/>
      <c r="AK180" s="57"/>
      <c r="AL180" s="57"/>
      <c r="AM180" s="57"/>
      <c r="AN180" s="57"/>
      <c r="AO180" s="57"/>
      <c r="AP180" s="57"/>
      <c r="AQ180" s="57"/>
      <c r="AR180" s="57"/>
      <c r="AS180" s="57"/>
      <c r="AT180" s="57"/>
      <c r="AU180" s="57"/>
      <c r="AV180" s="57"/>
      <c r="AW180" s="57"/>
      <c r="AX180" s="57"/>
      <c r="AY180" s="57"/>
      <c r="AZ180" s="59"/>
      <c r="BA180" s="34" t="str">
        <f>IF(BB180&amp;BC180&lt;&gt;"",MAX(BA$5:BA179)+1,"")</f>
        <v/>
      </c>
      <c r="BB180" s="35"/>
      <c r="BC180" s="35"/>
      <c r="BD180" s="36"/>
      <c r="BE180" s="37"/>
      <c r="BF180" s="51"/>
      <c r="BG180" s="36"/>
      <c r="BH180" s="64"/>
      <c r="BI180" s="64"/>
      <c r="BJ180" s="64"/>
      <c r="BK180" s="64"/>
      <c r="BL180" s="64"/>
    </row>
    <row r="181" spans="1:64" s="56" customFormat="1" ht="14.25" customHeight="1" x14ac:dyDescent="0.15">
      <c r="A181" s="200"/>
      <c r="B181" s="202"/>
      <c r="C181" s="365" t="str">
        <f>IF(A181&lt;&gt;"",VLOOKUP(A181,項目仕様!$A$6:$L$129,3),"")</f>
        <v/>
      </c>
      <c r="D181" s="366"/>
      <c r="E181" s="366"/>
      <c r="F181" s="366"/>
      <c r="G181" s="366"/>
      <c r="H181" s="366"/>
      <c r="I181" s="366"/>
      <c r="J181" s="366"/>
      <c r="K181" s="367"/>
      <c r="L181" s="287"/>
      <c r="M181" s="288"/>
      <c r="N181" s="288"/>
      <c r="O181" s="288"/>
      <c r="P181" s="288"/>
      <c r="Q181" s="288"/>
      <c r="R181" s="288"/>
      <c r="S181" s="288"/>
      <c r="T181" s="289"/>
      <c r="U181" s="57"/>
      <c r="V181" s="57"/>
      <c r="W181" s="57"/>
      <c r="X181" s="57"/>
      <c r="Y181" s="57"/>
      <c r="Z181" s="57"/>
      <c r="AA181" s="57"/>
      <c r="AB181" s="57"/>
      <c r="AC181" s="57"/>
      <c r="AD181" s="60"/>
      <c r="AE181" s="60"/>
      <c r="AF181" s="60"/>
      <c r="AG181" s="60"/>
      <c r="AH181" s="60"/>
      <c r="AI181" s="57"/>
      <c r="AJ181" s="57"/>
      <c r="AK181" s="57"/>
      <c r="AL181" s="57"/>
      <c r="AM181" s="57"/>
      <c r="AN181" s="57"/>
      <c r="AO181" s="57"/>
      <c r="AP181" s="57"/>
      <c r="AQ181" s="57"/>
      <c r="AR181" s="57"/>
      <c r="AS181" s="57"/>
      <c r="AT181" s="57"/>
      <c r="AU181" s="57"/>
      <c r="AV181" s="57"/>
      <c r="AW181" s="57"/>
      <c r="AX181" s="57"/>
      <c r="AY181" s="57"/>
      <c r="AZ181" s="59"/>
      <c r="BA181" s="34" t="str">
        <f>IF(BB181&amp;BC181&lt;&gt;"",MAX(BA$5:BA180)+1,"")</f>
        <v/>
      </c>
      <c r="BB181" s="35"/>
      <c r="BC181" s="35"/>
      <c r="BD181" s="36"/>
      <c r="BE181" s="37"/>
      <c r="BF181" s="51"/>
      <c r="BG181" s="36"/>
      <c r="BH181" s="64"/>
      <c r="BI181" s="64"/>
      <c r="BJ181" s="64"/>
      <c r="BK181" s="64"/>
      <c r="BL181" s="64"/>
    </row>
    <row r="182" spans="1:64" s="56" customFormat="1" ht="14.25" customHeight="1" x14ac:dyDescent="0.15">
      <c r="A182" s="200"/>
      <c r="B182" s="202"/>
      <c r="C182" s="365" t="str">
        <f>IF(A182&lt;&gt;"",VLOOKUP(A182,項目仕様!$A$6:$L$129,3),"")</f>
        <v/>
      </c>
      <c r="D182" s="366"/>
      <c r="E182" s="366"/>
      <c r="F182" s="366"/>
      <c r="G182" s="366"/>
      <c r="H182" s="366"/>
      <c r="I182" s="366"/>
      <c r="J182" s="366"/>
      <c r="K182" s="367"/>
      <c r="L182" s="287"/>
      <c r="M182" s="288"/>
      <c r="N182" s="288"/>
      <c r="O182" s="288"/>
      <c r="P182" s="288"/>
      <c r="Q182" s="288"/>
      <c r="R182" s="288"/>
      <c r="S182" s="288"/>
      <c r="T182" s="289"/>
      <c r="U182" s="57"/>
      <c r="V182" s="57"/>
      <c r="W182" s="57"/>
      <c r="X182" s="57"/>
      <c r="Y182" s="57"/>
      <c r="Z182" s="57"/>
      <c r="AA182" s="57"/>
      <c r="AB182" s="57"/>
      <c r="AC182" s="57"/>
      <c r="AD182" s="60"/>
      <c r="AE182" s="60"/>
      <c r="AF182" s="60"/>
      <c r="AG182" s="60"/>
      <c r="AH182" s="60"/>
      <c r="AI182" s="57"/>
      <c r="AJ182" s="57"/>
      <c r="AK182" s="57"/>
      <c r="AL182" s="57"/>
      <c r="AM182" s="57"/>
      <c r="AN182" s="57"/>
      <c r="AO182" s="57"/>
      <c r="AP182" s="60"/>
      <c r="AQ182" s="57"/>
      <c r="AR182" s="57"/>
      <c r="AS182" s="57"/>
      <c r="AT182" s="57"/>
      <c r="AU182" s="57"/>
      <c r="AV182" s="57"/>
      <c r="AW182" s="57"/>
      <c r="AX182" s="57"/>
      <c r="AY182" s="57"/>
      <c r="AZ182" s="59"/>
      <c r="BA182" s="34" t="str">
        <f>IF(BB182&amp;BC182&lt;&gt;"",MAX(BA$5:BA181)+1,"")</f>
        <v/>
      </c>
      <c r="BB182" s="35"/>
      <c r="BC182" s="35"/>
      <c r="BD182" s="36"/>
      <c r="BE182" s="37"/>
      <c r="BF182" s="51"/>
      <c r="BG182" s="36"/>
      <c r="BH182" s="64"/>
      <c r="BI182" s="64"/>
      <c r="BJ182" s="64"/>
      <c r="BK182" s="64"/>
      <c r="BL182" s="64"/>
    </row>
    <row r="183" spans="1:64" s="56" customFormat="1" ht="14.25" customHeight="1" x14ac:dyDescent="0.15">
      <c r="A183" s="307"/>
      <c r="B183" s="308"/>
      <c r="C183" s="368" t="s">
        <v>321</v>
      </c>
      <c r="D183" s="369"/>
      <c r="E183" s="369"/>
      <c r="F183" s="369"/>
      <c r="G183" s="369"/>
      <c r="H183" s="369"/>
      <c r="I183" s="369"/>
      <c r="J183" s="369"/>
      <c r="K183" s="370"/>
      <c r="L183" s="317"/>
      <c r="M183" s="318"/>
      <c r="N183" s="318"/>
      <c r="O183" s="318"/>
      <c r="P183" s="318"/>
      <c r="Q183" s="318"/>
      <c r="R183" s="318"/>
      <c r="S183" s="318"/>
      <c r="T183" s="319"/>
      <c r="U183" s="62"/>
      <c r="V183" s="62"/>
      <c r="W183" s="62"/>
      <c r="X183" s="62"/>
      <c r="Y183" s="62"/>
      <c r="Z183" s="62"/>
      <c r="AA183" s="62"/>
      <c r="AB183" s="62"/>
      <c r="AC183" s="62"/>
      <c r="AD183" s="62"/>
      <c r="AE183" s="63"/>
      <c r="AF183" s="63"/>
      <c r="AG183" s="63"/>
      <c r="AH183" s="63"/>
      <c r="AI183" s="63"/>
      <c r="AJ183" s="62"/>
      <c r="AK183" s="62"/>
      <c r="AL183" s="62"/>
      <c r="AM183" s="62"/>
      <c r="AN183" s="62"/>
      <c r="AO183" s="62"/>
      <c r="AP183" s="62"/>
      <c r="AQ183" s="62"/>
      <c r="AR183" s="62"/>
      <c r="AS183" s="62"/>
      <c r="AT183" s="62"/>
      <c r="AU183" s="62"/>
      <c r="AV183" s="62"/>
      <c r="AW183" s="62"/>
      <c r="AX183" s="62"/>
      <c r="AY183" s="62"/>
      <c r="AZ183" s="61"/>
      <c r="BA183" s="34" t="str">
        <f>IF(BB183&amp;BC183&lt;&gt;"",MAX(BA$5:BA182)+1,"")</f>
        <v/>
      </c>
      <c r="BB183" s="35"/>
      <c r="BC183" s="35"/>
      <c r="BD183" s="36"/>
      <c r="BE183" s="37"/>
      <c r="BF183" s="51"/>
      <c r="BG183" s="36"/>
      <c r="BH183" s="64"/>
      <c r="BI183" s="64"/>
      <c r="BJ183" s="64"/>
      <c r="BK183" s="64"/>
      <c r="BL183" s="64"/>
    </row>
    <row r="184" spans="1:64" x14ac:dyDescent="0.15">
      <c r="W184" s="64"/>
      <c r="X184" s="64"/>
      <c r="Y184" s="64"/>
      <c r="Z184" s="64"/>
      <c r="AA184" s="64"/>
      <c r="AB184" s="64"/>
      <c r="AC184" s="64"/>
      <c r="AD184" s="64"/>
      <c r="AE184" s="30"/>
      <c r="AF184" s="30"/>
      <c r="AG184" s="30"/>
      <c r="BB184" s="56">
        <f>COUNTIF(BB6:BB183,"正・複")</f>
        <v>0</v>
      </c>
    </row>
    <row r="185" spans="1:64" x14ac:dyDescent="0.15">
      <c r="W185" s="64"/>
      <c r="X185" s="64"/>
      <c r="Y185" s="64"/>
      <c r="Z185" s="64"/>
      <c r="AA185" s="64"/>
      <c r="AB185" s="64"/>
      <c r="AC185" s="64"/>
      <c r="AD185" s="64"/>
      <c r="AE185" s="64"/>
      <c r="AF185" s="30"/>
      <c r="AG185" s="30"/>
      <c r="BB185" s="56">
        <f>COUNTIF(BB6:BB183,"異・単")</f>
        <v>8</v>
      </c>
    </row>
    <row r="186" spans="1:64" x14ac:dyDescent="0.15">
      <c r="W186" s="64"/>
      <c r="X186" s="64"/>
      <c r="Y186" s="64"/>
      <c r="Z186" s="64"/>
      <c r="AA186" s="64"/>
      <c r="AB186" s="64"/>
      <c r="AC186" s="64"/>
      <c r="AD186" s="64"/>
      <c r="AE186" s="64"/>
      <c r="AF186" s="30"/>
      <c r="AG186" s="30"/>
      <c r="BB186" s="56">
        <f>COUNTIF(BB6:BB183,"異・複")</f>
        <v>1</v>
      </c>
    </row>
    <row r="187" spans="1:64" x14ac:dyDescent="0.15">
      <c r="W187" s="64"/>
      <c r="X187" s="64"/>
      <c r="Y187" s="64"/>
      <c r="Z187" s="64"/>
      <c r="AA187" s="64"/>
      <c r="AB187" s="64"/>
      <c r="AC187" s="64"/>
      <c r="AD187" s="64"/>
      <c r="AE187" s="64"/>
      <c r="AF187" s="30"/>
      <c r="AG187" s="30"/>
    </row>
    <row r="188" spans="1:64" x14ac:dyDescent="0.15">
      <c r="W188" s="64"/>
      <c r="X188" s="64"/>
      <c r="Y188" s="64"/>
      <c r="Z188" s="64"/>
      <c r="AA188" s="64"/>
      <c r="AB188" s="64"/>
      <c r="AC188" s="64"/>
      <c r="AD188" s="64"/>
      <c r="AE188" s="64"/>
      <c r="AF188" s="30"/>
      <c r="AG188" s="30"/>
    </row>
    <row r="189" spans="1:64" x14ac:dyDescent="0.15">
      <c r="W189" s="64"/>
      <c r="X189" s="64"/>
      <c r="Y189" s="64"/>
      <c r="Z189" s="64"/>
      <c r="AA189" s="64"/>
      <c r="AB189" s="64"/>
      <c r="AC189" s="64"/>
      <c r="AD189" s="64"/>
      <c r="AE189" s="64"/>
      <c r="AF189" s="30"/>
      <c r="AG189" s="30"/>
    </row>
    <row r="190" spans="1:64" x14ac:dyDescent="0.15">
      <c r="W190" s="64"/>
      <c r="X190" s="64"/>
      <c r="Y190" s="64"/>
      <c r="Z190" s="64"/>
      <c r="AA190" s="64"/>
      <c r="AB190" s="64"/>
      <c r="AC190" s="64"/>
      <c r="AD190" s="64"/>
      <c r="AE190" s="64"/>
      <c r="AF190" s="30"/>
      <c r="AG190" s="30"/>
    </row>
  </sheetData>
  <mergeCells count="551">
    <mergeCell ref="BD2:BD3"/>
    <mergeCell ref="BE2:BE3"/>
    <mergeCell ref="BF2:BF3"/>
    <mergeCell ref="BG2:BG3"/>
    <mergeCell ref="K3:U3"/>
    <mergeCell ref="V3:AF3"/>
    <mergeCell ref="AG3:AZ3"/>
    <mergeCell ref="A1:J3"/>
    <mergeCell ref="K1:U1"/>
    <mergeCell ref="V1:AF1"/>
    <mergeCell ref="AG1:AZ1"/>
    <mergeCell ref="K2:U2"/>
    <mergeCell ref="V2:AF2"/>
    <mergeCell ref="AG2:AZ2"/>
    <mergeCell ref="A7:B7"/>
    <mergeCell ref="C7:K7"/>
    <mergeCell ref="L7:T7"/>
    <mergeCell ref="A8:B8"/>
    <mergeCell ref="C8:K8"/>
    <mergeCell ref="L8:T8"/>
    <mergeCell ref="C5:K5"/>
    <mergeCell ref="L5:T5"/>
    <mergeCell ref="U5:AZ5"/>
    <mergeCell ref="A6:B6"/>
    <mergeCell ref="C6:K6"/>
    <mergeCell ref="L6:T6"/>
    <mergeCell ref="A11:B11"/>
    <mergeCell ref="C11:K11"/>
    <mergeCell ref="L11:T11"/>
    <mergeCell ref="A12:B12"/>
    <mergeCell ref="C12:K12"/>
    <mergeCell ref="L12:T12"/>
    <mergeCell ref="A9:B9"/>
    <mergeCell ref="C9:K9"/>
    <mergeCell ref="L9:T9"/>
    <mergeCell ref="A10:B10"/>
    <mergeCell ref="C10:K10"/>
    <mergeCell ref="L10:T10"/>
    <mergeCell ref="A15:B15"/>
    <mergeCell ref="C15:K15"/>
    <mergeCell ref="L15:T15"/>
    <mergeCell ref="A16:B16"/>
    <mergeCell ref="C16:K16"/>
    <mergeCell ref="L16:T16"/>
    <mergeCell ref="A13:B13"/>
    <mergeCell ref="C13:K13"/>
    <mergeCell ref="L13:T13"/>
    <mergeCell ref="A14:B14"/>
    <mergeCell ref="C14:K14"/>
    <mergeCell ref="L14:T14"/>
    <mergeCell ref="A19:B19"/>
    <mergeCell ref="C19:K19"/>
    <mergeCell ref="L19:T19"/>
    <mergeCell ref="A20:B20"/>
    <mergeCell ref="C20:K20"/>
    <mergeCell ref="L20:T20"/>
    <mergeCell ref="A17:B17"/>
    <mergeCell ref="C17:K17"/>
    <mergeCell ref="L17:T17"/>
    <mergeCell ref="A18:B18"/>
    <mergeCell ref="C18:K18"/>
    <mergeCell ref="L18:T18"/>
    <mergeCell ref="A23:B23"/>
    <mergeCell ref="C23:K23"/>
    <mergeCell ref="L23:T23"/>
    <mergeCell ref="A24:B24"/>
    <mergeCell ref="C24:K24"/>
    <mergeCell ref="L24:T24"/>
    <mergeCell ref="A21:B21"/>
    <mergeCell ref="C21:K21"/>
    <mergeCell ref="L21:T21"/>
    <mergeCell ref="A22:B22"/>
    <mergeCell ref="C22:K22"/>
    <mergeCell ref="L22:T22"/>
    <mergeCell ref="A27:B27"/>
    <mergeCell ref="C27:K27"/>
    <mergeCell ref="L27:T27"/>
    <mergeCell ref="A25:B25"/>
    <mergeCell ref="C25:K25"/>
    <mergeCell ref="L25:T25"/>
    <mergeCell ref="A26:B26"/>
    <mergeCell ref="C26:K26"/>
    <mergeCell ref="L26:T26"/>
    <mergeCell ref="A30:B30"/>
    <mergeCell ref="C30:K30"/>
    <mergeCell ref="L30:T30"/>
    <mergeCell ref="A31:B31"/>
    <mergeCell ref="C31:K31"/>
    <mergeCell ref="L31:T31"/>
    <mergeCell ref="A28:B28"/>
    <mergeCell ref="C28:K28"/>
    <mergeCell ref="L28:T28"/>
    <mergeCell ref="A29:B29"/>
    <mergeCell ref="C29:K29"/>
    <mergeCell ref="L29:T29"/>
    <mergeCell ref="A34:B34"/>
    <mergeCell ref="C34:K34"/>
    <mergeCell ref="L34:T34"/>
    <mergeCell ref="A35:B35"/>
    <mergeCell ref="C35:K35"/>
    <mergeCell ref="L35:T35"/>
    <mergeCell ref="A32:B32"/>
    <mergeCell ref="C32:K32"/>
    <mergeCell ref="L32:T32"/>
    <mergeCell ref="A33:B33"/>
    <mergeCell ref="C33:K33"/>
    <mergeCell ref="L33:T33"/>
    <mergeCell ref="A38:B38"/>
    <mergeCell ref="C38:K38"/>
    <mergeCell ref="L38:T38"/>
    <mergeCell ref="A39:B39"/>
    <mergeCell ref="C39:K39"/>
    <mergeCell ref="L39:T39"/>
    <mergeCell ref="A36:B36"/>
    <mergeCell ref="C36:K36"/>
    <mergeCell ref="L36:T36"/>
    <mergeCell ref="A37:B37"/>
    <mergeCell ref="C37:K37"/>
    <mergeCell ref="L37:T37"/>
    <mergeCell ref="A42:B42"/>
    <mergeCell ref="C42:K42"/>
    <mergeCell ref="L42:T42"/>
    <mergeCell ref="A43:B43"/>
    <mergeCell ref="C43:K43"/>
    <mergeCell ref="L43:T43"/>
    <mergeCell ref="A40:B40"/>
    <mergeCell ref="C40:K40"/>
    <mergeCell ref="L40:T40"/>
    <mergeCell ref="A41:B41"/>
    <mergeCell ref="C41:K41"/>
    <mergeCell ref="L41:T41"/>
    <mergeCell ref="A47:B47"/>
    <mergeCell ref="C47:K47"/>
    <mergeCell ref="L47:T47"/>
    <mergeCell ref="A48:B48"/>
    <mergeCell ref="C48:K48"/>
    <mergeCell ref="L48:T48"/>
    <mergeCell ref="A44:B44"/>
    <mergeCell ref="C44:K44"/>
    <mergeCell ref="L44:T44"/>
    <mergeCell ref="A45:B45"/>
    <mergeCell ref="C45:K45"/>
    <mergeCell ref="L45:T45"/>
    <mergeCell ref="A46:B46"/>
    <mergeCell ref="C46:K46"/>
    <mergeCell ref="L46:T46"/>
    <mergeCell ref="A55:B55"/>
    <mergeCell ref="C55:K55"/>
    <mergeCell ref="L55:T55"/>
    <mergeCell ref="A56:B56"/>
    <mergeCell ref="C56:K56"/>
    <mergeCell ref="L56:T56"/>
    <mergeCell ref="A49:B49"/>
    <mergeCell ref="C49:K49"/>
    <mergeCell ref="L49:T49"/>
    <mergeCell ref="A50:B50"/>
    <mergeCell ref="C50:K50"/>
    <mergeCell ref="L50:T50"/>
    <mergeCell ref="A51:B51"/>
    <mergeCell ref="C51:K51"/>
    <mergeCell ref="L51:T51"/>
    <mergeCell ref="A52:B52"/>
    <mergeCell ref="C52:K52"/>
    <mergeCell ref="L52:T52"/>
    <mergeCell ref="A53:B53"/>
    <mergeCell ref="C53:K53"/>
    <mergeCell ref="L53:T53"/>
    <mergeCell ref="A54:B54"/>
    <mergeCell ref="C54:K54"/>
    <mergeCell ref="L54:T54"/>
    <mergeCell ref="A59:B59"/>
    <mergeCell ref="C59:K59"/>
    <mergeCell ref="L59:T59"/>
    <mergeCell ref="A60:B60"/>
    <mergeCell ref="C60:K60"/>
    <mergeCell ref="L60:T60"/>
    <mergeCell ref="A57:B57"/>
    <mergeCell ref="C57:K57"/>
    <mergeCell ref="L57:T57"/>
    <mergeCell ref="A58:B58"/>
    <mergeCell ref="C58:K58"/>
    <mergeCell ref="L58:T58"/>
    <mergeCell ref="A64:B64"/>
    <mergeCell ref="C64:K64"/>
    <mergeCell ref="L64:T64"/>
    <mergeCell ref="A65:B65"/>
    <mergeCell ref="C65:K65"/>
    <mergeCell ref="L65:T65"/>
    <mergeCell ref="A61:B61"/>
    <mergeCell ref="C61:K61"/>
    <mergeCell ref="L61:T61"/>
    <mergeCell ref="A62:B62"/>
    <mergeCell ref="C62:K62"/>
    <mergeCell ref="L62:T62"/>
    <mergeCell ref="A63:B63"/>
    <mergeCell ref="C63:K63"/>
    <mergeCell ref="L63:T63"/>
    <mergeCell ref="A70:B70"/>
    <mergeCell ref="C70:K70"/>
    <mergeCell ref="L70:T70"/>
    <mergeCell ref="A66:B66"/>
    <mergeCell ref="C66:K66"/>
    <mergeCell ref="L66:T66"/>
    <mergeCell ref="A67:B67"/>
    <mergeCell ref="C67:K67"/>
    <mergeCell ref="L67:T67"/>
    <mergeCell ref="A68:B68"/>
    <mergeCell ref="C68:K68"/>
    <mergeCell ref="L68:T68"/>
    <mergeCell ref="A69:B69"/>
    <mergeCell ref="C69:K69"/>
    <mergeCell ref="L69:T69"/>
    <mergeCell ref="A71:B71"/>
    <mergeCell ref="C71:K71"/>
    <mergeCell ref="L71:T71"/>
    <mergeCell ref="A72:B72"/>
    <mergeCell ref="C72:K72"/>
    <mergeCell ref="L72:T72"/>
    <mergeCell ref="A75:B75"/>
    <mergeCell ref="C75:K75"/>
    <mergeCell ref="L75:T75"/>
    <mergeCell ref="A76:B76"/>
    <mergeCell ref="C76:K76"/>
    <mergeCell ref="L76:T76"/>
    <mergeCell ref="A73:B73"/>
    <mergeCell ref="C73:K73"/>
    <mergeCell ref="L73:T73"/>
    <mergeCell ref="A74:B74"/>
    <mergeCell ref="C74:K74"/>
    <mergeCell ref="L74:T74"/>
    <mergeCell ref="A79:B79"/>
    <mergeCell ref="C79:K79"/>
    <mergeCell ref="L79:T79"/>
    <mergeCell ref="A80:B80"/>
    <mergeCell ref="C80:K80"/>
    <mergeCell ref="L80:T80"/>
    <mergeCell ref="A77:B77"/>
    <mergeCell ref="C77:K77"/>
    <mergeCell ref="L77:T77"/>
    <mergeCell ref="A78:B78"/>
    <mergeCell ref="C78:K78"/>
    <mergeCell ref="L78:T78"/>
    <mergeCell ref="A83:B83"/>
    <mergeCell ref="C83:K83"/>
    <mergeCell ref="L83:T83"/>
    <mergeCell ref="A84:B84"/>
    <mergeCell ref="C84:K84"/>
    <mergeCell ref="L84:T84"/>
    <mergeCell ref="A81:B81"/>
    <mergeCell ref="C81:K81"/>
    <mergeCell ref="L81:T81"/>
    <mergeCell ref="A82:B82"/>
    <mergeCell ref="C82:K82"/>
    <mergeCell ref="L82:T82"/>
    <mergeCell ref="A87:B87"/>
    <mergeCell ref="C87:K87"/>
    <mergeCell ref="L87:T87"/>
    <mergeCell ref="A88:B88"/>
    <mergeCell ref="C88:K88"/>
    <mergeCell ref="L88:T88"/>
    <mergeCell ref="A85:B85"/>
    <mergeCell ref="C85:K85"/>
    <mergeCell ref="L85:T85"/>
    <mergeCell ref="A86:B86"/>
    <mergeCell ref="C86:K86"/>
    <mergeCell ref="L86:T86"/>
    <mergeCell ref="A91:B91"/>
    <mergeCell ref="C91:K91"/>
    <mergeCell ref="L91:T91"/>
    <mergeCell ref="A92:B92"/>
    <mergeCell ref="C92:K92"/>
    <mergeCell ref="L92:T92"/>
    <mergeCell ref="A89:B89"/>
    <mergeCell ref="C89:K89"/>
    <mergeCell ref="L89:T89"/>
    <mergeCell ref="A90:B90"/>
    <mergeCell ref="C90:K90"/>
    <mergeCell ref="L90:T90"/>
    <mergeCell ref="A95:B95"/>
    <mergeCell ref="C95:K95"/>
    <mergeCell ref="L95:T95"/>
    <mergeCell ref="A96:B96"/>
    <mergeCell ref="C96:K96"/>
    <mergeCell ref="L96:T96"/>
    <mergeCell ref="A93:B93"/>
    <mergeCell ref="C93:K93"/>
    <mergeCell ref="L93:T93"/>
    <mergeCell ref="A94:B94"/>
    <mergeCell ref="C94:K94"/>
    <mergeCell ref="L94:T94"/>
    <mergeCell ref="A99:B99"/>
    <mergeCell ref="C99:K99"/>
    <mergeCell ref="L99:T99"/>
    <mergeCell ref="A100:B100"/>
    <mergeCell ref="C100:K100"/>
    <mergeCell ref="L100:T100"/>
    <mergeCell ref="A97:B97"/>
    <mergeCell ref="C97:K97"/>
    <mergeCell ref="L97:T97"/>
    <mergeCell ref="A98:B98"/>
    <mergeCell ref="C98:K98"/>
    <mergeCell ref="L98:T98"/>
    <mergeCell ref="A103:B103"/>
    <mergeCell ref="C103:K103"/>
    <mergeCell ref="L103:T103"/>
    <mergeCell ref="A104:B104"/>
    <mergeCell ref="C104:K104"/>
    <mergeCell ref="L104:T104"/>
    <mergeCell ref="A101:B101"/>
    <mergeCell ref="C101:K101"/>
    <mergeCell ref="L101:T101"/>
    <mergeCell ref="A102:B102"/>
    <mergeCell ref="C102:K102"/>
    <mergeCell ref="L102:T102"/>
    <mergeCell ref="A107:B107"/>
    <mergeCell ref="C107:K107"/>
    <mergeCell ref="L107:T107"/>
    <mergeCell ref="A108:B108"/>
    <mergeCell ref="C108:K108"/>
    <mergeCell ref="L108:T108"/>
    <mergeCell ref="A105:B105"/>
    <mergeCell ref="C105:K105"/>
    <mergeCell ref="L105:T105"/>
    <mergeCell ref="A106:B106"/>
    <mergeCell ref="C106:K106"/>
    <mergeCell ref="L106:T106"/>
    <mergeCell ref="A111:B111"/>
    <mergeCell ref="C111:K111"/>
    <mergeCell ref="L111:T111"/>
    <mergeCell ref="A112:B112"/>
    <mergeCell ref="C112:K112"/>
    <mergeCell ref="L112:T112"/>
    <mergeCell ref="A109:B109"/>
    <mergeCell ref="C109:K109"/>
    <mergeCell ref="L109:T109"/>
    <mergeCell ref="A110:B110"/>
    <mergeCell ref="C110:K110"/>
    <mergeCell ref="L110:T110"/>
    <mergeCell ref="A115:B115"/>
    <mergeCell ref="C115:K115"/>
    <mergeCell ref="L115:T115"/>
    <mergeCell ref="A116:B116"/>
    <mergeCell ref="C116:K116"/>
    <mergeCell ref="L116:T116"/>
    <mergeCell ref="A113:B113"/>
    <mergeCell ref="C113:K113"/>
    <mergeCell ref="L113:T113"/>
    <mergeCell ref="A114:B114"/>
    <mergeCell ref="C114:K114"/>
    <mergeCell ref="L114:T114"/>
    <mergeCell ref="A123:B123"/>
    <mergeCell ref="C123:K123"/>
    <mergeCell ref="L123:T123"/>
    <mergeCell ref="A124:B124"/>
    <mergeCell ref="C124:K124"/>
    <mergeCell ref="L124:T124"/>
    <mergeCell ref="A121:B121"/>
    <mergeCell ref="C121:K121"/>
    <mergeCell ref="L121:T121"/>
    <mergeCell ref="A122:B122"/>
    <mergeCell ref="C122:K122"/>
    <mergeCell ref="L122:T122"/>
    <mergeCell ref="A127:B127"/>
    <mergeCell ref="C127:K127"/>
    <mergeCell ref="L127:T127"/>
    <mergeCell ref="A128:B128"/>
    <mergeCell ref="C128:K128"/>
    <mergeCell ref="L128:T128"/>
    <mergeCell ref="A125:B125"/>
    <mergeCell ref="C125:K125"/>
    <mergeCell ref="L125:T125"/>
    <mergeCell ref="A126:B126"/>
    <mergeCell ref="C126:K126"/>
    <mergeCell ref="L126:T126"/>
    <mergeCell ref="A131:B131"/>
    <mergeCell ref="C131:K131"/>
    <mergeCell ref="L131:T131"/>
    <mergeCell ref="A132:B132"/>
    <mergeCell ref="C132:K132"/>
    <mergeCell ref="L132:T132"/>
    <mergeCell ref="A129:B129"/>
    <mergeCell ref="C129:K129"/>
    <mergeCell ref="L129:T129"/>
    <mergeCell ref="A130:B130"/>
    <mergeCell ref="C130:K130"/>
    <mergeCell ref="L130:T130"/>
    <mergeCell ref="A135:B135"/>
    <mergeCell ref="C135:K135"/>
    <mergeCell ref="L135:T135"/>
    <mergeCell ref="A136:B136"/>
    <mergeCell ref="C136:K136"/>
    <mergeCell ref="L136:T136"/>
    <mergeCell ref="A133:B133"/>
    <mergeCell ref="C133:K133"/>
    <mergeCell ref="L133:T133"/>
    <mergeCell ref="A134:B134"/>
    <mergeCell ref="C134:K134"/>
    <mergeCell ref="L134:T134"/>
    <mergeCell ref="A139:B139"/>
    <mergeCell ref="C139:K139"/>
    <mergeCell ref="L139:T139"/>
    <mergeCell ref="A140:B140"/>
    <mergeCell ref="C140:K140"/>
    <mergeCell ref="L140:T140"/>
    <mergeCell ref="A137:B137"/>
    <mergeCell ref="C137:K137"/>
    <mergeCell ref="L137:T137"/>
    <mergeCell ref="A138:B138"/>
    <mergeCell ref="C138:K138"/>
    <mergeCell ref="L138:T138"/>
    <mergeCell ref="A143:B143"/>
    <mergeCell ref="C143:K143"/>
    <mergeCell ref="L143:T143"/>
    <mergeCell ref="A144:B144"/>
    <mergeCell ref="C144:K144"/>
    <mergeCell ref="L144:T144"/>
    <mergeCell ref="A141:B141"/>
    <mergeCell ref="C141:K141"/>
    <mergeCell ref="L141:T141"/>
    <mergeCell ref="A142:B142"/>
    <mergeCell ref="C142:K142"/>
    <mergeCell ref="L142:T142"/>
    <mergeCell ref="A147:B147"/>
    <mergeCell ref="C147:K147"/>
    <mergeCell ref="L147:T147"/>
    <mergeCell ref="A148:B148"/>
    <mergeCell ref="C148:K148"/>
    <mergeCell ref="L148:T148"/>
    <mergeCell ref="A145:B145"/>
    <mergeCell ref="C145:K145"/>
    <mergeCell ref="L145:T145"/>
    <mergeCell ref="A146:B146"/>
    <mergeCell ref="C146:K146"/>
    <mergeCell ref="L146:T146"/>
    <mergeCell ref="A151:B151"/>
    <mergeCell ref="C151:K151"/>
    <mergeCell ref="L151:T151"/>
    <mergeCell ref="A152:B152"/>
    <mergeCell ref="C152:K152"/>
    <mergeCell ref="L152:T152"/>
    <mergeCell ref="A149:B149"/>
    <mergeCell ref="C149:K149"/>
    <mergeCell ref="L149:T149"/>
    <mergeCell ref="A150:B150"/>
    <mergeCell ref="C150:K150"/>
    <mergeCell ref="L150:T150"/>
    <mergeCell ref="A155:B155"/>
    <mergeCell ref="C155:K155"/>
    <mergeCell ref="L155:T155"/>
    <mergeCell ref="A156:B156"/>
    <mergeCell ref="C156:K156"/>
    <mergeCell ref="L156:T156"/>
    <mergeCell ref="A153:B153"/>
    <mergeCell ref="C153:K153"/>
    <mergeCell ref="L153:T153"/>
    <mergeCell ref="A154:B154"/>
    <mergeCell ref="C154:K154"/>
    <mergeCell ref="L154:T154"/>
    <mergeCell ref="A159:B159"/>
    <mergeCell ref="C159:K159"/>
    <mergeCell ref="L159:T159"/>
    <mergeCell ref="A160:B160"/>
    <mergeCell ref="C160:K160"/>
    <mergeCell ref="L160:T160"/>
    <mergeCell ref="A157:B157"/>
    <mergeCell ref="C157:K157"/>
    <mergeCell ref="L157:T157"/>
    <mergeCell ref="A158:B158"/>
    <mergeCell ref="C158:K158"/>
    <mergeCell ref="L158:T158"/>
    <mergeCell ref="A163:B163"/>
    <mergeCell ref="C163:K163"/>
    <mergeCell ref="L163:T163"/>
    <mergeCell ref="A164:B164"/>
    <mergeCell ref="C164:K164"/>
    <mergeCell ref="L164:T164"/>
    <mergeCell ref="A161:B161"/>
    <mergeCell ref="C161:K161"/>
    <mergeCell ref="L161:T161"/>
    <mergeCell ref="A162:B162"/>
    <mergeCell ref="C162:K162"/>
    <mergeCell ref="L162:T162"/>
    <mergeCell ref="A167:B167"/>
    <mergeCell ref="C167:K167"/>
    <mergeCell ref="L167:T167"/>
    <mergeCell ref="A168:B168"/>
    <mergeCell ref="C168:K168"/>
    <mergeCell ref="L168:T168"/>
    <mergeCell ref="A165:B165"/>
    <mergeCell ref="C165:K165"/>
    <mergeCell ref="L165:T165"/>
    <mergeCell ref="A166:B166"/>
    <mergeCell ref="C166:K166"/>
    <mergeCell ref="L166:T166"/>
    <mergeCell ref="A171:B171"/>
    <mergeCell ref="C171:K171"/>
    <mergeCell ref="L171:T171"/>
    <mergeCell ref="A172:B172"/>
    <mergeCell ref="C172:K172"/>
    <mergeCell ref="L172:T172"/>
    <mergeCell ref="A169:B169"/>
    <mergeCell ref="C169:K169"/>
    <mergeCell ref="L169:T169"/>
    <mergeCell ref="A170:B170"/>
    <mergeCell ref="C170:K170"/>
    <mergeCell ref="L170:T170"/>
    <mergeCell ref="A175:B175"/>
    <mergeCell ref="C175:K175"/>
    <mergeCell ref="L175:T175"/>
    <mergeCell ref="A176:B176"/>
    <mergeCell ref="C176:K176"/>
    <mergeCell ref="L176:T176"/>
    <mergeCell ref="A173:B173"/>
    <mergeCell ref="C173:K173"/>
    <mergeCell ref="L173:T173"/>
    <mergeCell ref="A174:B174"/>
    <mergeCell ref="C174:K174"/>
    <mergeCell ref="L174:T174"/>
    <mergeCell ref="A179:B179"/>
    <mergeCell ref="C179:K179"/>
    <mergeCell ref="L179:T179"/>
    <mergeCell ref="A180:B180"/>
    <mergeCell ref="C180:K180"/>
    <mergeCell ref="L180:T180"/>
    <mergeCell ref="A177:B177"/>
    <mergeCell ref="C177:K177"/>
    <mergeCell ref="L177:T177"/>
    <mergeCell ref="A178:B178"/>
    <mergeCell ref="C178:K178"/>
    <mergeCell ref="L178:T178"/>
    <mergeCell ref="A183:B183"/>
    <mergeCell ref="C183:K183"/>
    <mergeCell ref="L183:T183"/>
    <mergeCell ref="A181:B181"/>
    <mergeCell ref="C181:K181"/>
    <mergeCell ref="L181:T181"/>
    <mergeCell ref="A182:B182"/>
    <mergeCell ref="C182:K182"/>
    <mergeCell ref="L182:T182"/>
    <mergeCell ref="A120:B120"/>
    <mergeCell ref="C120:K120"/>
    <mergeCell ref="L120:T120"/>
    <mergeCell ref="A117:B117"/>
    <mergeCell ref="C117:K117"/>
    <mergeCell ref="L117:T117"/>
    <mergeCell ref="A119:B119"/>
    <mergeCell ref="C119:K119"/>
    <mergeCell ref="L119:T119"/>
    <mergeCell ref="A118:B118"/>
    <mergeCell ref="C118:K118"/>
    <mergeCell ref="L118:T118"/>
  </mergeCells>
  <phoneticPr fontId="2"/>
  <dataValidations count="3">
    <dataValidation type="list" allowBlank="1" showInputMessage="1" showErrorMessage="1" sqref="BB6:BB183" xr:uid="{E30CBC6A-512A-4C8D-86D4-89E7D15261E3}">
      <formula1>"正・単,正・複,異・単,異・複"</formula1>
    </dataValidation>
    <dataValidation type="list" allowBlank="1" showInputMessage="1" showErrorMessage="1" sqref="BF6:BF183" xr:uid="{6F9C9B13-4025-4D85-89A6-9A73AC523206}">
      <formula1>"○,×,×→○"</formula1>
    </dataValidation>
    <dataValidation type="list" allowBlank="1" showInputMessage="1" showErrorMessage="1" sqref="BC6:BC183" xr:uid="{D97DD78A-3C77-4619-B010-6527DB691A74}">
      <formula1>"有"</formula1>
    </dataValidation>
  </dataValidations>
  <pageMargins left="0.59055118110236227" right="0.59055118110236227" top="0.78740157480314965" bottom="0.59055118110236227" header="0.51181102362204722" footer="0.31496062992125984"/>
  <pageSetup paperSize="9" scale="95" fitToHeight="0" orientation="landscape" useFirstPageNumber="1" r:id="rId1"/>
  <headerFooter alignWithMargins="0">
    <oddFooter>&amp;Cイベント仕様－&amp;P</oddFooter>
  </headerFooter>
  <rowBreaks count="2" manualBreakCount="2">
    <brk id="77" max="51" man="1"/>
    <brk id="113" max="51" man="1"/>
  </rowBreaks>
  <colBreaks count="1" manualBreakCount="1">
    <brk id="52"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DB7EF-F713-440B-8072-E85EB850B949}">
  <dimension ref="A1:BI112"/>
  <sheetViews>
    <sheetView view="pageBreakPreview" zoomScaleNormal="100" zoomScaleSheetLayoutView="100" workbookViewId="0">
      <pane ySplit="4" topLeftCell="A5" activePane="bottomLeft" state="frozenSplit"/>
      <selection sqref="A1:XFD1048576"/>
      <selection pane="bottomLeft" activeCell="A5" sqref="A5:B5"/>
    </sheetView>
  </sheetViews>
  <sheetFormatPr defaultColWidth="3.125" defaultRowHeight="13.5" customHeight="1" x14ac:dyDescent="0.15"/>
  <cols>
    <col min="1" max="52" width="2.625" style="38" customWidth="1"/>
    <col min="53" max="53" width="4.125" style="38" bestFit="1" customWidth="1"/>
    <col min="54" max="54" width="7.75" style="38" bestFit="1" customWidth="1"/>
    <col min="55" max="55" width="5.75" style="38" bestFit="1" customWidth="1"/>
    <col min="56" max="56" width="12" style="38" bestFit="1" customWidth="1"/>
    <col min="57" max="57" width="11.875" style="38" bestFit="1" customWidth="1"/>
    <col min="58" max="58" width="14.125" style="38" bestFit="1" customWidth="1"/>
    <col min="59" max="59" width="10.75" style="38" bestFit="1" customWidth="1"/>
    <col min="60" max="16384" width="3.125" style="38"/>
  </cols>
  <sheetData>
    <row r="1" spans="1:61" s="8" customFormat="1" ht="14.25" customHeight="1" x14ac:dyDescent="0.15">
      <c r="A1" s="199" t="s">
        <v>401</v>
      </c>
      <c r="B1" s="199"/>
      <c r="C1" s="199"/>
      <c r="D1" s="199"/>
      <c r="E1" s="199"/>
      <c r="F1" s="199"/>
      <c r="G1" s="199"/>
      <c r="H1" s="199"/>
      <c r="I1" s="199"/>
      <c r="J1" s="199"/>
      <c r="K1" s="188" t="s">
        <v>22</v>
      </c>
      <c r="L1" s="188"/>
      <c r="M1" s="188"/>
      <c r="N1" s="188"/>
      <c r="O1" s="188"/>
      <c r="P1" s="188"/>
      <c r="Q1" s="188"/>
      <c r="R1" s="188"/>
      <c r="S1" s="188"/>
      <c r="T1" s="188"/>
      <c r="U1" s="188"/>
      <c r="V1" s="182" t="s">
        <v>23</v>
      </c>
      <c r="W1" s="212"/>
      <c r="X1" s="212"/>
      <c r="Y1" s="212"/>
      <c r="Z1" s="212"/>
      <c r="AA1" s="212"/>
      <c r="AB1" s="212"/>
      <c r="AC1" s="212"/>
      <c r="AD1" s="212"/>
      <c r="AE1" s="212"/>
      <c r="AF1" s="213"/>
      <c r="AG1" s="182" t="s">
        <v>24</v>
      </c>
      <c r="AH1" s="212"/>
      <c r="AI1" s="212"/>
      <c r="AJ1" s="212"/>
      <c r="AK1" s="212"/>
      <c r="AL1" s="212"/>
      <c r="AM1" s="212"/>
      <c r="AN1" s="212"/>
      <c r="AO1" s="212"/>
      <c r="AP1" s="212"/>
      <c r="AQ1" s="212"/>
      <c r="AR1" s="212"/>
      <c r="AS1" s="212"/>
      <c r="AT1" s="212"/>
      <c r="AU1" s="212"/>
      <c r="AV1" s="212"/>
      <c r="AW1" s="212"/>
      <c r="AX1" s="212"/>
      <c r="AY1" s="212"/>
      <c r="AZ1" s="213"/>
      <c r="BD1" s="21" t="s">
        <v>63</v>
      </c>
      <c r="BE1" s="21" t="s">
        <v>64</v>
      </c>
      <c r="BF1" s="21" t="s">
        <v>65</v>
      </c>
      <c r="BG1" s="21" t="s">
        <v>66</v>
      </c>
    </row>
    <row r="2" spans="1:61" s="8" customFormat="1" ht="14.25" customHeight="1" x14ac:dyDescent="0.15">
      <c r="A2" s="199"/>
      <c r="B2" s="199"/>
      <c r="C2" s="199"/>
      <c r="D2" s="199"/>
      <c r="E2" s="199"/>
      <c r="F2" s="199"/>
      <c r="G2" s="199"/>
      <c r="H2" s="199"/>
      <c r="I2" s="199"/>
      <c r="J2" s="199"/>
      <c r="K2" s="214" t="str">
        <f>表紙!K2</f>
        <v>BQ</v>
      </c>
      <c r="L2" s="215"/>
      <c r="M2" s="215"/>
      <c r="N2" s="215"/>
      <c r="O2" s="215"/>
      <c r="P2" s="215"/>
      <c r="Q2" s="215"/>
      <c r="R2" s="215"/>
      <c r="S2" s="215"/>
      <c r="T2" s="215"/>
      <c r="U2" s="215"/>
      <c r="V2" s="214" t="str">
        <f>表紙!V2</f>
        <v>受講管理システム</v>
      </c>
      <c r="W2" s="215"/>
      <c r="X2" s="215"/>
      <c r="Y2" s="215"/>
      <c r="Z2" s="215"/>
      <c r="AA2" s="215"/>
      <c r="AB2" s="215"/>
      <c r="AC2" s="215"/>
      <c r="AD2" s="215"/>
      <c r="AE2" s="215"/>
      <c r="AF2" s="215"/>
      <c r="AG2" s="185" t="str">
        <f>表紙!AG2</f>
        <v>BJ990100E</v>
      </c>
      <c r="AH2" s="377"/>
      <c r="AI2" s="377"/>
      <c r="AJ2" s="377"/>
      <c r="AK2" s="377"/>
      <c r="AL2" s="377"/>
      <c r="AM2" s="377"/>
      <c r="AN2" s="377"/>
      <c r="AO2" s="377"/>
      <c r="AP2" s="377"/>
      <c r="AQ2" s="377"/>
      <c r="AR2" s="377"/>
      <c r="AS2" s="377"/>
      <c r="AT2" s="377"/>
      <c r="AU2" s="377"/>
      <c r="AV2" s="377"/>
      <c r="AW2" s="377"/>
      <c r="AX2" s="377"/>
      <c r="AY2" s="377"/>
      <c r="AZ2" s="378"/>
      <c r="BD2" s="327">
        <f xml:space="preserve"> COUNTA(BB6:BB112)</f>
        <v>15</v>
      </c>
      <c r="BE2" s="327">
        <f xml:space="preserve"> COUNTIF(BF6:BF112,"○")</f>
        <v>15</v>
      </c>
      <c r="BF2" s="327">
        <f xml:space="preserve"> COUNTIF(BF6:BF112,"×")</f>
        <v>0</v>
      </c>
      <c r="BG2" s="327">
        <f xml:space="preserve"> BD2 - COUNTIF(BG6:BG112,"&gt;=1900/1/1")</f>
        <v>0</v>
      </c>
    </row>
    <row r="3" spans="1:61" s="8" customFormat="1" ht="14.25" customHeight="1" x14ac:dyDescent="0.15">
      <c r="A3" s="199"/>
      <c r="B3" s="199"/>
      <c r="C3" s="199"/>
      <c r="D3" s="199"/>
      <c r="E3" s="199"/>
      <c r="F3" s="199"/>
      <c r="G3" s="199"/>
      <c r="H3" s="199"/>
      <c r="I3" s="199"/>
      <c r="J3" s="199"/>
      <c r="K3" s="215" t="str">
        <f>表紙!K3</f>
        <v>BJ</v>
      </c>
      <c r="L3" s="215"/>
      <c r="M3" s="215"/>
      <c r="N3" s="215"/>
      <c r="O3" s="215"/>
      <c r="P3" s="215"/>
      <c r="Q3" s="215"/>
      <c r="R3" s="215"/>
      <c r="S3" s="215"/>
      <c r="T3" s="215"/>
      <c r="U3" s="215"/>
      <c r="V3" s="214" t="str">
        <f>表紙!V3</f>
        <v>マスタメンテナンス</v>
      </c>
      <c r="W3" s="215"/>
      <c r="X3" s="215"/>
      <c r="Y3" s="215"/>
      <c r="Z3" s="215"/>
      <c r="AA3" s="215"/>
      <c r="AB3" s="215"/>
      <c r="AC3" s="215"/>
      <c r="AD3" s="215"/>
      <c r="AE3" s="215"/>
      <c r="AF3" s="215"/>
      <c r="AG3" s="185" t="str">
        <f>表紙!AG3</f>
        <v>ログインユーザマスタ管理</v>
      </c>
      <c r="AH3" s="377"/>
      <c r="AI3" s="377"/>
      <c r="AJ3" s="377"/>
      <c r="AK3" s="377"/>
      <c r="AL3" s="377"/>
      <c r="AM3" s="377"/>
      <c r="AN3" s="377"/>
      <c r="AO3" s="377"/>
      <c r="AP3" s="377"/>
      <c r="AQ3" s="377"/>
      <c r="AR3" s="377"/>
      <c r="AS3" s="377"/>
      <c r="AT3" s="377"/>
      <c r="AU3" s="377"/>
      <c r="AV3" s="377"/>
      <c r="AW3" s="377"/>
      <c r="AX3" s="377"/>
      <c r="AY3" s="377"/>
      <c r="AZ3" s="378"/>
      <c r="BD3" s="328"/>
      <c r="BE3" s="328"/>
      <c r="BF3" s="328"/>
      <c r="BG3" s="328"/>
    </row>
    <row r="4" spans="1:61" s="27" customFormat="1" ht="6" customHeight="1" x14ac:dyDescent="0.15">
      <c r="A4" s="22"/>
      <c r="B4" s="23"/>
      <c r="C4" s="23"/>
      <c r="D4" s="23"/>
      <c r="E4" s="23"/>
      <c r="F4" s="23"/>
      <c r="G4" s="23"/>
      <c r="H4" s="23"/>
      <c r="I4" s="23"/>
      <c r="J4" s="23"/>
      <c r="K4" s="23"/>
      <c r="L4" s="44"/>
      <c r="M4" s="44"/>
      <c r="N4" s="44"/>
      <c r="O4" s="44"/>
      <c r="P4" s="44"/>
      <c r="Q4" s="44"/>
      <c r="R4" s="44"/>
      <c r="S4" s="44"/>
      <c r="T4" s="44"/>
      <c r="U4" s="44"/>
      <c r="V4" s="45"/>
      <c r="W4" s="45"/>
      <c r="X4" s="45"/>
      <c r="Y4" s="45"/>
      <c r="Z4" s="45"/>
      <c r="AA4" s="45"/>
      <c r="AB4" s="45"/>
      <c r="AC4" s="45"/>
      <c r="AD4" s="45"/>
      <c r="AE4" s="45"/>
      <c r="AF4" s="45"/>
      <c r="AG4" s="45"/>
      <c r="AH4" s="44"/>
      <c r="AI4" s="44"/>
      <c r="AJ4" s="44"/>
      <c r="AK4" s="44"/>
      <c r="AL4" s="44"/>
      <c r="AM4" s="44"/>
      <c r="AN4" s="44"/>
      <c r="AO4" s="44"/>
      <c r="AP4" s="44"/>
      <c r="AQ4" s="44"/>
      <c r="AR4" s="44"/>
      <c r="AS4" s="44"/>
      <c r="AT4" s="44"/>
      <c r="AU4" s="44"/>
      <c r="AV4" s="44"/>
      <c r="AW4" s="44"/>
      <c r="AX4" s="44"/>
      <c r="AY4" s="44"/>
      <c r="AZ4" s="44"/>
      <c r="BA4" s="12"/>
      <c r="BB4" s="12"/>
      <c r="BC4" s="12"/>
      <c r="BD4" s="12"/>
      <c r="BE4" s="12"/>
      <c r="BF4" s="12"/>
      <c r="BG4" s="12"/>
      <c r="BH4" s="12"/>
      <c r="BI4" s="12"/>
    </row>
    <row r="5" spans="1:61" s="30" customFormat="1" ht="14.25" customHeight="1" x14ac:dyDescent="0.15">
      <c r="A5" s="374" t="s">
        <v>264</v>
      </c>
      <c r="B5" s="376"/>
      <c r="C5" s="374" t="s">
        <v>265</v>
      </c>
      <c r="D5" s="375"/>
      <c r="E5" s="376"/>
      <c r="F5" s="374" t="s">
        <v>267</v>
      </c>
      <c r="G5" s="375"/>
      <c r="H5" s="375"/>
      <c r="I5" s="375"/>
      <c r="J5" s="375"/>
      <c r="K5" s="375"/>
      <c r="L5" s="375"/>
      <c r="M5" s="375"/>
      <c r="N5" s="375"/>
      <c r="O5" s="375"/>
      <c r="P5" s="375"/>
      <c r="Q5" s="375"/>
      <c r="R5" s="375"/>
      <c r="S5" s="375"/>
      <c r="T5" s="375"/>
      <c r="U5" s="375"/>
      <c r="V5" s="375"/>
      <c r="W5" s="375"/>
      <c r="X5" s="375"/>
      <c r="Y5" s="375"/>
      <c r="Z5" s="375"/>
      <c r="AA5" s="375"/>
      <c r="AB5" s="375"/>
      <c r="AC5" s="375"/>
      <c r="AD5" s="375"/>
      <c r="AE5" s="375"/>
      <c r="AF5" s="376"/>
      <c r="AG5" s="374" t="s">
        <v>32</v>
      </c>
      <c r="AH5" s="375"/>
      <c r="AI5" s="375"/>
      <c r="AJ5" s="375"/>
      <c r="AK5" s="375"/>
      <c r="AL5" s="375"/>
      <c r="AM5" s="375"/>
      <c r="AN5" s="375"/>
      <c r="AO5" s="375"/>
      <c r="AP5" s="375"/>
      <c r="AQ5" s="375"/>
      <c r="AR5" s="375"/>
      <c r="AS5" s="375"/>
      <c r="AT5" s="375"/>
      <c r="AU5" s="375"/>
      <c r="AV5" s="375"/>
      <c r="AW5" s="375"/>
      <c r="AX5" s="375"/>
      <c r="AY5" s="375"/>
      <c r="AZ5" s="376"/>
      <c r="BA5" s="28" t="s">
        <v>31</v>
      </c>
      <c r="BB5" s="28" t="s">
        <v>67</v>
      </c>
      <c r="BC5" s="28" t="s">
        <v>32</v>
      </c>
      <c r="BD5" s="28" t="s">
        <v>68</v>
      </c>
      <c r="BE5" s="28" t="s">
        <v>69</v>
      </c>
      <c r="BF5" s="28" t="s">
        <v>70</v>
      </c>
      <c r="BG5" s="28" t="s">
        <v>71</v>
      </c>
    </row>
    <row r="6" spans="1:61" s="30" customFormat="1" ht="14.25" customHeight="1" x14ac:dyDescent="0.15">
      <c r="A6" s="230" t="s">
        <v>173</v>
      </c>
      <c r="B6" s="232"/>
      <c r="C6" s="46" t="s">
        <v>268</v>
      </c>
      <c r="D6" s="47"/>
      <c r="E6" s="48"/>
      <c r="F6" s="49" t="s">
        <v>269</v>
      </c>
      <c r="G6" s="47"/>
      <c r="H6" s="47"/>
      <c r="I6" s="47"/>
      <c r="J6" s="47"/>
      <c r="K6" s="47"/>
      <c r="L6" s="47"/>
      <c r="M6" s="47"/>
      <c r="N6" s="47"/>
      <c r="O6" s="47"/>
      <c r="P6" s="47"/>
      <c r="Q6" s="47"/>
      <c r="R6" s="47"/>
      <c r="S6" s="47"/>
      <c r="T6" s="47"/>
      <c r="U6" s="47"/>
      <c r="V6" s="47"/>
      <c r="W6" s="47"/>
      <c r="X6" s="47"/>
      <c r="Y6" s="47"/>
      <c r="Z6" s="47"/>
      <c r="AA6" s="47"/>
      <c r="AB6" s="47"/>
      <c r="AC6" s="47"/>
      <c r="AD6" s="47"/>
      <c r="AE6" s="47"/>
      <c r="AF6" s="48"/>
      <c r="AG6" s="46"/>
      <c r="AH6" s="47"/>
      <c r="AI6" s="47"/>
      <c r="AJ6" s="47"/>
      <c r="AK6" s="47"/>
      <c r="AL6" s="47"/>
      <c r="AM6" s="47"/>
      <c r="AN6" s="47"/>
      <c r="AO6" s="47"/>
      <c r="AP6" s="47"/>
      <c r="AQ6" s="47"/>
      <c r="AR6" s="47"/>
      <c r="AS6" s="47"/>
      <c r="AT6" s="47"/>
      <c r="AU6" s="47"/>
      <c r="AV6" s="47"/>
      <c r="AW6" s="47"/>
      <c r="AX6" s="47"/>
      <c r="AY6" s="47"/>
      <c r="AZ6" s="48"/>
      <c r="BA6" s="34" t="str">
        <f>IF(BB6&amp;BC6&lt;&gt;"",MAX(BA$5:BA5)+1,"")</f>
        <v/>
      </c>
      <c r="BB6" s="35"/>
      <c r="BC6" s="42"/>
      <c r="BD6" s="50"/>
      <c r="BE6" s="51"/>
      <c r="BF6" s="51"/>
      <c r="BG6" s="50"/>
    </row>
    <row r="7" spans="1:61" s="30" customFormat="1" ht="14.25" customHeight="1" x14ac:dyDescent="0.15">
      <c r="A7" s="200"/>
      <c r="B7" s="202"/>
      <c r="C7" s="31"/>
      <c r="D7" s="32"/>
      <c r="E7" s="33"/>
      <c r="F7" s="31"/>
      <c r="G7" s="32"/>
      <c r="H7" s="32"/>
      <c r="I7" s="32"/>
      <c r="J7" s="32"/>
      <c r="K7" s="32"/>
      <c r="L7" s="32"/>
      <c r="M7" s="32"/>
      <c r="N7" s="32"/>
      <c r="O7" s="32"/>
      <c r="P7" s="32"/>
      <c r="Q7" s="32"/>
      <c r="R7" s="32"/>
      <c r="S7" s="32"/>
      <c r="T7" s="32"/>
      <c r="U7" s="32"/>
      <c r="V7" s="32"/>
      <c r="W7" s="32"/>
      <c r="X7" s="32"/>
      <c r="Y7" s="32"/>
      <c r="Z7" s="32"/>
      <c r="AA7" s="32"/>
      <c r="AB7" s="32"/>
      <c r="AC7" s="32"/>
      <c r="AD7" s="32"/>
      <c r="AE7" s="32"/>
      <c r="AF7" s="33"/>
      <c r="AG7" s="31"/>
      <c r="AH7" s="32"/>
      <c r="AI7" s="32"/>
      <c r="AJ7" s="32"/>
      <c r="AK7" s="32"/>
      <c r="AL7" s="32"/>
      <c r="AM7" s="32"/>
      <c r="AN7" s="32"/>
      <c r="AO7" s="32"/>
      <c r="AP7" s="32"/>
      <c r="AQ7" s="32"/>
      <c r="AR7" s="32"/>
      <c r="AS7" s="32"/>
      <c r="AT7" s="32"/>
      <c r="AU7" s="32"/>
      <c r="AV7" s="32"/>
      <c r="AW7" s="32"/>
      <c r="AX7" s="32"/>
      <c r="AY7" s="32"/>
      <c r="AZ7" s="33"/>
      <c r="BA7" s="34" t="str">
        <f>IF(BB7&amp;BC7&lt;&gt;"",MAX(BA$5:BA6)+1,"")</f>
        <v/>
      </c>
      <c r="BB7" s="35"/>
      <c r="BC7" s="35"/>
      <c r="BD7" s="36"/>
      <c r="BE7" s="37"/>
      <c r="BF7" s="51"/>
      <c r="BG7" s="36"/>
    </row>
    <row r="8" spans="1:61" s="30" customFormat="1" ht="14.25" customHeight="1" x14ac:dyDescent="0.15">
      <c r="A8" s="200"/>
      <c r="B8" s="202"/>
      <c r="C8" s="31"/>
      <c r="D8" s="32"/>
      <c r="E8" s="33"/>
      <c r="F8" s="31" t="s">
        <v>270</v>
      </c>
      <c r="G8" s="32"/>
      <c r="H8" s="32"/>
      <c r="I8" s="32"/>
      <c r="J8" s="32"/>
      <c r="K8" s="32"/>
      <c r="L8" s="32"/>
      <c r="M8" s="32"/>
      <c r="N8" s="32"/>
      <c r="O8" s="32"/>
      <c r="P8" s="32"/>
      <c r="Q8" s="32"/>
      <c r="R8" s="32"/>
      <c r="S8" s="32"/>
      <c r="T8" s="32"/>
      <c r="U8" s="32"/>
      <c r="V8" s="32"/>
      <c r="W8" s="32"/>
      <c r="X8" s="32"/>
      <c r="Y8" s="32"/>
      <c r="Z8" s="32"/>
      <c r="AA8" s="32"/>
      <c r="AB8" s="32"/>
      <c r="AC8" s="32"/>
      <c r="AD8" s="32"/>
      <c r="AE8" s="32"/>
      <c r="AF8" s="33"/>
      <c r="AG8" s="31"/>
      <c r="AH8" s="32"/>
      <c r="AI8" s="32"/>
      <c r="AJ8" s="32"/>
      <c r="AK8" s="32"/>
      <c r="AL8" s="32"/>
      <c r="AM8" s="32"/>
      <c r="AN8" s="32"/>
      <c r="AO8" s="32"/>
      <c r="AP8" s="32"/>
      <c r="AQ8" s="32"/>
      <c r="AR8" s="32"/>
      <c r="AS8" s="32"/>
      <c r="AT8" s="32"/>
      <c r="AU8" s="32"/>
      <c r="AV8" s="32"/>
      <c r="AW8" s="32"/>
      <c r="AX8" s="32"/>
      <c r="AY8" s="32"/>
      <c r="AZ8" s="33"/>
      <c r="BA8" s="34" t="str">
        <f>IF(BB8&amp;BC8&lt;&gt;"",MAX(BA$5:BA7)+1,"")</f>
        <v/>
      </c>
      <c r="BB8" s="35"/>
      <c r="BC8" s="35"/>
      <c r="BD8" s="36"/>
      <c r="BE8" s="37"/>
      <c r="BF8" s="51"/>
      <c r="BG8" s="36"/>
    </row>
    <row r="9" spans="1:61" s="30" customFormat="1" ht="14.25" customHeight="1" x14ac:dyDescent="0.15">
      <c r="A9" s="200"/>
      <c r="B9" s="202"/>
      <c r="C9" s="31"/>
      <c r="D9" s="32"/>
      <c r="E9" s="33"/>
      <c r="F9" s="31"/>
      <c r="G9" s="32" t="s">
        <v>271</v>
      </c>
      <c r="H9" s="32" t="s">
        <v>272</v>
      </c>
      <c r="I9" s="32"/>
      <c r="J9" s="32"/>
      <c r="K9" s="32"/>
      <c r="L9" s="32"/>
      <c r="M9" s="32"/>
      <c r="N9" s="32"/>
      <c r="O9" s="32"/>
      <c r="P9" s="32"/>
      <c r="Q9" s="32"/>
      <c r="R9" s="32"/>
      <c r="S9" s="32"/>
      <c r="T9" s="32"/>
      <c r="U9" s="32"/>
      <c r="V9" s="32"/>
      <c r="W9" s="32"/>
      <c r="X9" s="32"/>
      <c r="Y9" s="32"/>
      <c r="Z9" s="32"/>
      <c r="AA9" s="32"/>
      <c r="AB9" s="32"/>
      <c r="AC9" s="32"/>
      <c r="AD9" s="32"/>
      <c r="AE9" s="32"/>
      <c r="AF9" s="33"/>
      <c r="AG9" s="31"/>
      <c r="AH9" s="32"/>
      <c r="AI9" s="32"/>
      <c r="AJ9" s="32"/>
      <c r="AK9" s="32"/>
      <c r="AL9" s="32"/>
      <c r="AM9" s="32"/>
      <c r="AN9" s="32"/>
      <c r="AO9" s="32"/>
      <c r="AP9" s="32"/>
      <c r="AQ9" s="32"/>
      <c r="AR9" s="32"/>
      <c r="AS9" s="32"/>
      <c r="AT9" s="32"/>
      <c r="AU9" s="32"/>
      <c r="AV9" s="32"/>
      <c r="AW9" s="32"/>
      <c r="AX9" s="32"/>
      <c r="AY9" s="32"/>
      <c r="AZ9" s="33"/>
      <c r="BA9" s="34">
        <f>IF(BB9&amp;BC9&lt;&gt;"",MAX(BA$5:BA8)+1,"")</f>
        <v>1</v>
      </c>
      <c r="BB9" s="35" t="s">
        <v>158</v>
      </c>
      <c r="BC9" s="35"/>
      <c r="BD9" s="36">
        <v>42685</v>
      </c>
      <c r="BE9" s="37" t="s">
        <v>82</v>
      </c>
      <c r="BF9" s="37" t="s">
        <v>159</v>
      </c>
      <c r="BG9" s="36">
        <v>42685</v>
      </c>
      <c r="BH9" s="29"/>
      <c r="BI9" s="29"/>
    </row>
    <row r="10" spans="1:61" s="30" customFormat="1" ht="14.25" customHeight="1" x14ac:dyDescent="0.15">
      <c r="A10" s="200"/>
      <c r="B10" s="202"/>
      <c r="C10" s="31"/>
      <c r="D10" s="32"/>
      <c r="E10" s="33"/>
      <c r="F10" s="31"/>
      <c r="G10" s="32" t="s">
        <v>273</v>
      </c>
      <c r="H10" s="32" t="s">
        <v>81</v>
      </c>
      <c r="I10" s="32"/>
      <c r="J10" s="32"/>
      <c r="K10" s="32"/>
      <c r="L10" s="32"/>
      <c r="M10" s="32"/>
      <c r="N10" s="32"/>
      <c r="O10" s="32"/>
      <c r="P10" s="32"/>
      <c r="Q10" s="32"/>
      <c r="R10" s="32"/>
      <c r="S10" s="32"/>
      <c r="T10" s="32"/>
      <c r="U10" s="32"/>
      <c r="V10" s="32"/>
      <c r="W10" s="32"/>
      <c r="X10" s="32"/>
      <c r="Y10" s="32"/>
      <c r="Z10" s="32"/>
      <c r="AA10" s="32"/>
      <c r="AB10" s="32"/>
      <c r="AC10" s="32"/>
      <c r="AD10" s="32"/>
      <c r="AE10" s="32"/>
      <c r="AF10" s="33"/>
      <c r="AG10" s="31"/>
      <c r="AH10" s="32"/>
      <c r="AI10" s="32"/>
      <c r="AJ10" s="32"/>
      <c r="AK10" s="32"/>
      <c r="AL10" s="32"/>
      <c r="AM10" s="32"/>
      <c r="AN10" s="32"/>
      <c r="AO10" s="32"/>
      <c r="AP10" s="32"/>
      <c r="AQ10" s="32"/>
      <c r="AR10" s="32"/>
      <c r="AS10" s="32"/>
      <c r="AT10" s="32"/>
      <c r="AU10" s="32"/>
      <c r="AV10" s="32"/>
      <c r="AW10" s="32"/>
      <c r="AX10" s="32"/>
      <c r="AY10" s="32"/>
      <c r="AZ10" s="33"/>
      <c r="BA10" s="34">
        <f>IF(BB10&amp;BC10&lt;&gt;"",MAX(BA$5:BA9)+1,"")</f>
        <v>2</v>
      </c>
      <c r="BB10" s="35" t="s">
        <v>158</v>
      </c>
      <c r="BC10" s="35"/>
      <c r="BD10" s="36">
        <v>42685</v>
      </c>
      <c r="BE10" s="37" t="s">
        <v>82</v>
      </c>
      <c r="BF10" s="37" t="s">
        <v>159</v>
      </c>
      <c r="BG10" s="36">
        <v>42685</v>
      </c>
      <c r="BH10" s="29"/>
      <c r="BI10" s="29"/>
    </row>
    <row r="11" spans="1:61" s="30" customFormat="1" ht="14.25" customHeight="1" x14ac:dyDescent="0.15">
      <c r="A11" s="200"/>
      <c r="B11" s="202"/>
      <c r="C11" s="31"/>
      <c r="D11" s="32"/>
      <c r="E11" s="33"/>
      <c r="F11" s="31"/>
      <c r="G11" s="32" t="s">
        <v>271</v>
      </c>
      <c r="H11" s="32" t="s">
        <v>93</v>
      </c>
      <c r="I11" s="32"/>
      <c r="J11" s="32"/>
      <c r="K11" s="32"/>
      <c r="L11" s="32"/>
      <c r="M11" s="32"/>
      <c r="N11" s="32"/>
      <c r="O11" s="32"/>
      <c r="P11" s="32"/>
      <c r="Q11" s="32"/>
      <c r="R11" s="32"/>
      <c r="S11" s="32"/>
      <c r="T11" s="32"/>
      <c r="U11" s="32"/>
      <c r="V11" s="32"/>
      <c r="W11" s="32"/>
      <c r="X11" s="32"/>
      <c r="Y11" s="32"/>
      <c r="Z11" s="32"/>
      <c r="AA11" s="32"/>
      <c r="AB11" s="32"/>
      <c r="AC11" s="32"/>
      <c r="AD11" s="32"/>
      <c r="AE11" s="32"/>
      <c r="AF11" s="33"/>
      <c r="AG11" s="31"/>
      <c r="AH11" s="32"/>
      <c r="AI11" s="32"/>
      <c r="AJ11" s="32"/>
      <c r="AK11" s="32"/>
      <c r="AL11" s="32"/>
      <c r="AM11" s="32"/>
      <c r="AN11" s="32"/>
      <c r="AO11" s="32"/>
      <c r="AP11" s="32"/>
      <c r="AQ11" s="32"/>
      <c r="AR11" s="32"/>
      <c r="AS11" s="32"/>
      <c r="AT11" s="32"/>
      <c r="AU11" s="32"/>
      <c r="AV11" s="32"/>
      <c r="AW11" s="32"/>
      <c r="AX11" s="32"/>
      <c r="AY11" s="32"/>
      <c r="AZ11" s="33"/>
      <c r="BA11" s="34">
        <f>IF(BB11&amp;BC11&lt;&gt;"",MAX(BA$5:BA10)+1,"")</f>
        <v>3</v>
      </c>
      <c r="BB11" s="35" t="s">
        <v>158</v>
      </c>
      <c r="BC11" s="35"/>
      <c r="BD11" s="36">
        <v>42685</v>
      </c>
      <c r="BE11" s="37" t="s">
        <v>82</v>
      </c>
      <c r="BF11" s="37" t="s">
        <v>159</v>
      </c>
      <c r="BG11" s="36">
        <v>42685</v>
      </c>
      <c r="BH11" s="29"/>
      <c r="BI11" s="29"/>
    </row>
    <row r="12" spans="1:61" s="30" customFormat="1" ht="14.25" customHeight="1" x14ac:dyDescent="0.15">
      <c r="A12" s="200"/>
      <c r="B12" s="202"/>
      <c r="C12" s="31"/>
      <c r="D12" s="32"/>
      <c r="E12" s="33"/>
      <c r="F12" s="31"/>
      <c r="G12" s="32" t="s">
        <v>271</v>
      </c>
      <c r="H12" s="32" t="s">
        <v>91</v>
      </c>
      <c r="I12" s="32"/>
      <c r="J12" s="32"/>
      <c r="K12" s="32"/>
      <c r="L12" s="32"/>
      <c r="M12" s="32"/>
      <c r="N12" s="32"/>
      <c r="O12" s="32"/>
      <c r="P12" s="32"/>
      <c r="Q12" s="32"/>
      <c r="R12" s="32"/>
      <c r="S12" s="32"/>
      <c r="T12" s="32"/>
      <c r="U12" s="32"/>
      <c r="V12" s="32"/>
      <c r="W12" s="32"/>
      <c r="X12" s="32"/>
      <c r="Y12" s="32"/>
      <c r="Z12" s="32"/>
      <c r="AA12" s="32"/>
      <c r="AB12" s="32"/>
      <c r="AC12" s="32"/>
      <c r="AD12" s="32"/>
      <c r="AE12" s="32"/>
      <c r="AF12" s="33"/>
      <c r="AG12" s="31"/>
      <c r="AH12" s="32"/>
      <c r="AI12" s="32"/>
      <c r="AJ12" s="32"/>
      <c r="AK12" s="32"/>
      <c r="AL12" s="32"/>
      <c r="AM12" s="32"/>
      <c r="AN12" s="32"/>
      <c r="AO12" s="32"/>
      <c r="AP12" s="32"/>
      <c r="AQ12" s="32"/>
      <c r="AR12" s="32"/>
      <c r="AS12" s="32"/>
      <c r="AT12" s="32"/>
      <c r="AU12" s="32"/>
      <c r="AV12" s="32"/>
      <c r="AW12" s="32"/>
      <c r="AX12" s="32"/>
      <c r="AY12" s="32"/>
      <c r="AZ12" s="33"/>
      <c r="BA12" s="34">
        <f>IF(BB12&amp;BC12&lt;&gt;"",MAX(BA$5:BA11)+1,"")</f>
        <v>4</v>
      </c>
      <c r="BB12" s="35" t="s">
        <v>158</v>
      </c>
      <c r="BC12" s="35"/>
      <c r="BD12" s="36">
        <v>42685</v>
      </c>
      <c r="BE12" s="37" t="s">
        <v>82</v>
      </c>
      <c r="BF12" s="37" t="s">
        <v>159</v>
      </c>
      <c r="BG12" s="36">
        <v>42685</v>
      </c>
      <c r="BH12" s="29"/>
      <c r="BI12" s="29"/>
    </row>
    <row r="13" spans="1:61" s="30" customFormat="1" ht="14.25" customHeight="1" x14ac:dyDescent="0.15">
      <c r="A13" s="200"/>
      <c r="B13" s="202"/>
      <c r="C13" s="31"/>
      <c r="D13" s="32"/>
      <c r="E13" s="33"/>
      <c r="F13" s="31"/>
      <c r="G13" s="32" t="s">
        <v>271</v>
      </c>
      <c r="H13" s="32" t="s">
        <v>92</v>
      </c>
      <c r="I13" s="32"/>
      <c r="J13" s="32"/>
      <c r="K13" s="32"/>
      <c r="L13" s="32"/>
      <c r="M13" s="32"/>
      <c r="N13" s="32"/>
      <c r="O13" s="32"/>
      <c r="P13" s="32"/>
      <c r="Q13" s="32"/>
      <c r="R13" s="32"/>
      <c r="S13" s="32"/>
      <c r="T13" s="32"/>
      <c r="U13" s="32"/>
      <c r="V13" s="32"/>
      <c r="W13" s="32"/>
      <c r="X13" s="32"/>
      <c r="Y13" s="32"/>
      <c r="Z13" s="32"/>
      <c r="AA13" s="32"/>
      <c r="AB13" s="32"/>
      <c r="AC13" s="32"/>
      <c r="AD13" s="32"/>
      <c r="AE13" s="32"/>
      <c r="AF13" s="33"/>
      <c r="AG13" s="31"/>
      <c r="AH13" s="32"/>
      <c r="AI13" s="32"/>
      <c r="AJ13" s="32"/>
      <c r="AK13" s="32"/>
      <c r="AL13" s="32"/>
      <c r="AM13" s="32"/>
      <c r="AN13" s="32"/>
      <c r="AO13" s="32"/>
      <c r="AP13" s="32"/>
      <c r="AQ13" s="32"/>
      <c r="AR13" s="32"/>
      <c r="AS13" s="32"/>
      <c r="AT13" s="32"/>
      <c r="AU13" s="32"/>
      <c r="AV13" s="32"/>
      <c r="AW13" s="32"/>
      <c r="AX13" s="32"/>
      <c r="AY13" s="32"/>
      <c r="AZ13" s="33"/>
      <c r="BA13" s="34">
        <f>IF(BB13&amp;BC13&lt;&gt;"",MAX(BA$5:BA12)+1,"")</f>
        <v>5</v>
      </c>
      <c r="BB13" s="35" t="s">
        <v>158</v>
      </c>
      <c r="BC13" s="35"/>
      <c r="BD13" s="36">
        <v>42685</v>
      </c>
      <c r="BE13" s="37" t="s">
        <v>82</v>
      </c>
      <c r="BF13" s="37" t="s">
        <v>159</v>
      </c>
      <c r="BG13" s="36">
        <v>42685</v>
      </c>
      <c r="BH13" s="29"/>
      <c r="BI13" s="29"/>
    </row>
    <row r="14" spans="1:61" s="30" customFormat="1" ht="14.25" customHeight="1" x14ac:dyDescent="0.15">
      <c r="A14" s="200"/>
      <c r="B14" s="202"/>
      <c r="C14" s="31"/>
      <c r="D14" s="32"/>
      <c r="E14" s="33"/>
      <c r="F14" s="31"/>
      <c r="G14" s="32" t="s">
        <v>274</v>
      </c>
      <c r="H14" s="32" t="s">
        <v>165</v>
      </c>
      <c r="I14" s="32"/>
      <c r="J14" s="32"/>
      <c r="K14" s="32"/>
      <c r="L14" s="32"/>
      <c r="M14" s="32"/>
      <c r="N14" s="32"/>
      <c r="O14" s="32"/>
      <c r="P14" s="32"/>
      <c r="Q14" s="32"/>
      <c r="R14" s="32"/>
      <c r="S14" s="32"/>
      <c r="T14" s="32"/>
      <c r="U14" s="32"/>
      <c r="V14" s="32"/>
      <c r="W14" s="32"/>
      <c r="X14" s="32"/>
      <c r="Z14" s="32"/>
      <c r="AA14" s="32"/>
      <c r="AB14" s="32"/>
      <c r="AC14" s="32"/>
      <c r="AD14" s="32"/>
      <c r="AE14" s="32"/>
      <c r="AF14" s="33"/>
      <c r="AG14" s="31"/>
      <c r="AH14" s="32"/>
      <c r="AI14" s="32"/>
      <c r="AJ14" s="32"/>
      <c r="AK14" s="32"/>
      <c r="AL14" s="32"/>
      <c r="AM14" s="32"/>
      <c r="AN14" s="32"/>
      <c r="AO14" s="32"/>
      <c r="AP14" s="32"/>
      <c r="AQ14" s="32"/>
      <c r="AR14" s="32"/>
      <c r="AS14" s="32"/>
      <c r="AT14" s="32"/>
      <c r="AU14" s="32"/>
      <c r="AV14" s="32"/>
      <c r="AW14" s="32"/>
      <c r="AX14" s="32"/>
      <c r="AY14" s="32"/>
      <c r="AZ14" s="33"/>
      <c r="BA14" s="34">
        <f>IF(BB14&amp;BC14&lt;&gt;"",MAX(BA$5:BA13)+1,"")</f>
        <v>6</v>
      </c>
      <c r="BB14" s="35" t="s">
        <v>158</v>
      </c>
      <c r="BC14" s="35"/>
      <c r="BD14" s="36">
        <v>42685</v>
      </c>
      <c r="BE14" s="37" t="s">
        <v>82</v>
      </c>
      <c r="BF14" s="37" t="s">
        <v>159</v>
      </c>
      <c r="BG14" s="36">
        <v>42685</v>
      </c>
      <c r="BH14" s="29"/>
      <c r="BI14" s="29"/>
    </row>
    <row r="15" spans="1:61" s="30" customFormat="1" ht="14.25" customHeight="1" x14ac:dyDescent="0.15">
      <c r="A15" s="200"/>
      <c r="B15" s="202"/>
      <c r="C15" s="31"/>
      <c r="D15" s="32"/>
      <c r="E15" s="33"/>
      <c r="F15" s="31"/>
      <c r="G15" s="32"/>
      <c r="H15" s="32" t="s">
        <v>275</v>
      </c>
      <c r="I15" s="32"/>
      <c r="J15" s="32"/>
      <c r="K15" s="32"/>
      <c r="L15" s="32"/>
      <c r="M15" s="32"/>
      <c r="N15" s="32"/>
      <c r="O15" s="32"/>
      <c r="P15" s="32"/>
      <c r="Q15" s="32"/>
      <c r="R15" s="32"/>
      <c r="S15" s="32"/>
      <c r="T15" s="32"/>
      <c r="U15" s="32"/>
      <c r="V15" s="32"/>
      <c r="W15" s="32"/>
      <c r="X15" s="32"/>
      <c r="Y15" s="32"/>
      <c r="Z15" s="32"/>
      <c r="AA15" s="32"/>
      <c r="AB15" s="32"/>
      <c r="AC15" s="32"/>
      <c r="AD15" s="32"/>
      <c r="AE15" s="32"/>
      <c r="AF15" s="33"/>
      <c r="AG15" s="31"/>
      <c r="AH15" s="32"/>
      <c r="AI15" s="32"/>
      <c r="AJ15" s="32"/>
      <c r="AK15" s="32"/>
      <c r="AL15" s="32"/>
      <c r="AM15" s="32"/>
      <c r="AN15" s="32"/>
      <c r="AO15" s="32"/>
      <c r="AP15" s="32"/>
      <c r="AQ15" s="32"/>
      <c r="AR15" s="32"/>
      <c r="AS15" s="32"/>
      <c r="AT15" s="32"/>
      <c r="AU15" s="32"/>
      <c r="AV15" s="32"/>
      <c r="AW15" s="32"/>
      <c r="AX15" s="32"/>
      <c r="AY15" s="32"/>
      <c r="AZ15" s="33"/>
      <c r="BA15" s="34">
        <f>IF(BB15&amp;BC15&lt;&gt;"",MAX(BA$5:BA14)+1,"")</f>
        <v>7</v>
      </c>
      <c r="BB15" s="35" t="s">
        <v>158</v>
      </c>
      <c r="BC15" s="35"/>
      <c r="BD15" s="36">
        <v>42685</v>
      </c>
      <c r="BE15" s="37" t="s">
        <v>82</v>
      </c>
      <c r="BF15" s="37" t="s">
        <v>159</v>
      </c>
      <c r="BG15" s="36">
        <v>42685</v>
      </c>
      <c r="BH15" s="29"/>
      <c r="BI15" s="29"/>
    </row>
    <row r="16" spans="1:61" s="30" customFormat="1" ht="14.25" customHeight="1" x14ac:dyDescent="0.15">
      <c r="A16" s="200"/>
      <c r="B16" s="202"/>
      <c r="C16" s="31"/>
      <c r="D16" s="32"/>
      <c r="E16" s="33"/>
      <c r="F16" s="31"/>
      <c r="G16" s="32"/>
      <c r="H16" s="32"/>
      <c r="I16" s="32" t="s">
        <v>276</v>
      </c>
      <c r="J16" s="32"/>
      <c r="K16" s="32"/>
      <c r="L16" s="32"/>
      <c r="M16" s="32"/>
      <c r="N16" s="32"/>
      <c r="O16" s="32"/>
      <c r="P16" s="32"/>
      <c r="Q16" s="32"/>
      <c r="R16" s="32"/>
      <c r="S16" s="32"/>
      <c r="T16" s="32"/>
      <c r="U16" s="32"/>
      <c r="V16" s="32"/>
      <c r="W16" s="32"/>
      <c r="X16" s="32"/>
      <c r="Y16" s="32"/>
      <c r="Z16" s="32"/>
      <c r="AA16" s="32"/>
      <c r="AB16" s="32"/>
      <c r="AC16" s="32"/>
      <c r="AD16" s="32"/>
      <c r="AE16" s="32"/>
      <c r="AF16" s="33"/>
      <c r="AG16" s="31"/>
      <c r="AH16" s="32"/>
      <c r="AI16" s="32"/>
      <c r="AJ16" s="32"/>
      <c r="AK16" s="32"/>
      <c r="AL16" s="32"/>
      <c r="AM16" s="32"/>
      <c r="AN16" s="32"/>
      <c r="AO16" s="32"/>
      <c r="AP16" s="32"/>
      <c r="AQ16" s="32"/>
      <c r="AR16" s="32"/>
      <c r="AS16" s="32"/>
      <c r="AT16" s="32"/>
      <c r="AU16" s="32"/>
      <c r="AV16" s="32"/>
      <c r="AW16" s="32"/>
      <c r="AX16" s="32"/>
      <c r="AY16" s="32"/>
      <c r="AZ16" s="33"/>
      <c r="BA16" s="34" t="str">
        <f>IF(BB16&amp;BC16&lt;&gt;"",MAX(BA$5:BA15)+1,"")</f>
        <v/>
      </c>
      <c r="BB16" s="35"/>
      <c r="BC16" s="35"/>
      <c r="BD16" s="36"/>
      <c r="BE16" s="37"/>
      <c r="BF16" s="37"/>
      <c r="BG16" s="36"/>
      <c r="BH16" s="29"/>
      <c r="BI16" s="29"/>
    </row>
    <row r="17" spans="1:61" s="30" customFormat="1" ht="14.25" customHeight="1" x14ac:dyDescent="0.15">
      <c r="A17" s="200"/>
      <c r="B17" s="202"/>
      <c r="C17" s="31"/>
      <c r="D17" s="32"/>
      <c r="E17" s="33"/>
      <c r="F17" s="31"/>
      <c r="G17" s="32"/>
      <c r="H17" s="32"/>
      <c r="I17" s="32" t="s">
        <v>277</v>
      </c>
      <c r="J17" s="32"/>
      <c r="K17" s="32"/>
      <c r="L17" s="32"/>
      <c r="M17" s="32"/>
      <c r="N17" s="32"/>
      <c r="O17" s="32"/>
      <c r="P17" s="32"/>
      <c r="Q17" s="32"/>
      <c r="R17" s="32"/>
      <c r="S17" s="32"/>
      <c r="T17" s="32"/>
      <c r="U17" s="32"/>
      <c r="V17" s="32"/>
      <c r="W17" s="32"/>
      <c r="X17" s="32"/>
      <c r="Y17" s="32"/>
      <c r="Z17" s="32"/>
      <c r="AA17" s="32"/>
      <c r="AB17" s="32"/>
      <c r="AC17" s="32"/>
      <c r="AD17" s="32"/>
      <c r="AE17" s="32"/>
      <c r="AF17" s="33"/>
      <c r="AG17" s="31"/>
      <c r="AH17" s="32"/>
      <c r="AI17" s="32"/>
      <c r="AJ17" s="32"/>
      <c r="AK17" s="32"/>
      <c r="AL17" s="32"/>
      <c r="AM17" s="32"/>
      <c r="AN17" s="32"/>
      <c r="AO17" s="32"/>
      <c r="AP17" s="32"/>
      <c r="AQ17" s="32"/>
      <c r="AR17" s="32"/>
      <c r="AS17" s="32"/>
      <c r="AT17" s="32"/>
      <c r="AU17" s="32"/>
      <c r="AV17" s="32"/>
      <c r="AW17" s="32"/>
      <c r="AX17" s="32"/>
      <c r="AY17" s="32"/>
      <c r="AZ17" s="33"/>
      <c r="BA17" s="34" t="str">
        <f>IF(BB17&amp;BC17&lt;&gt;"",MAX(BA$5:BA16)+1,"")</f>
        <v/>
      </c>
      <c r="BB17" s="35"/>
      <c r="BC17" s="35"/>
      <c r="BD17" s="36"/>
      <c r="BE17" s="37"/>
      <c r="BF17" s="37"/>
      <c r="BG17" s="36"/>
      <c r="BH17" s="29"/>
      <c r="BI17" s="29"/>
    </row>
    <row r="18" spans="1:61" s="30" customFormat="1" ht="14.25" customHeight="1" x14ac:dyDescent="0.15">
      <c r="A18" s="200"/>
      <c r="B18" s="202"/>
      <c r="C18" s="31"/>
      <c r="D18" s="32"/>
      <c r="E18" s="33"/>
      <c r="F18" s="31"/>
      <c r="G18" s="32"/>
      <c r="H18" s="32" t="s">
        <v>278</v>
      </c>
      <c r="I18" s="32"/>
      <c r="J18" s="32"/>
      <c r="K18" s="32"/>
      <c r="L18" s="32"/>
      <c r="M18" s="32"/>
      <c r="N18" s="32"/>
      <c r="O18" s="32"/>
      <c r="P18" s="32"/>
      <c r="Q18" s="32"/>
      <c r="R18" s="32"/>
      <c r="S18" s="32"/>
      <c r="T18" s="32"/>
      <c r="U18" s="32"/>
      <c r="V18" s="32"/>
      <c r="W18" s="32"/>
      <c r="X18" s="32"/>
      <c r="Y18" s="32"/>
      <c r="Z18" s="32"/>
      <c r="AA18" s="32"/>
      <c r="AB18" s="32"/>
      <c r="AC18" s="32"/>
      <c r="AD18" s="32"/>
      <c r="AE18" s="32"/>
      <c r="AF18" s="33"/>
      <c r="AG18" s="31"/>
      <c r="AH18" s="32"/>
      <c r="AI18" s="32"/>
      <c r="AJ18" s="32"/>
      <c r="AK18" s="32"/>
      <c r="AL18" s="32"/>
      <c r="AM18" s="32"/>
      <c r="AN18" s="32"/>
      <c r="AO18" s="32"/>
      <c r="AP18" s="32"/>
      <c r="AQ18" s="32"/>
      <c r="AR18" s="32"/>
      <c r="AS18" s="32"/>
      <c r="AT18" s="32"/>
      <c r="AU18" s="32"/>
      <c r="AV18" s="32"/>
      <c r="AW18" s="32"/>
      <c r="AX18" s="32"/>
      <c r="AY18" s="32"/>
      <c r="AZ18" s="33"/>
      <c r="BA18" s="34" t="str">
        <f>IF(BB18&amp;BC18&lt;&gt;"",MAX(BA$5:BA17)+1,"")</f>
        <v/>
      </c>
      <c r="BB18" s="35"/>
      <c r="BC18" s="35"/>
      <c r="BD18" s="36"/>
      <c r="BE18" s="37"/>
      <c r="BF18" s="37"/>
      <c r="BG18" s="36"/>
      <c r="BH18" s="29"/>
      <c r="BI18" s="29"/>
    </row>
    <row r="19" spans="1:61" s="30" customFormat="1" ht="14.25" customHeight="1" x14ac:dyDescent="0.15">
      <c r="A19" s="200"/>
      <c r="B19" s="202"/>
      <c r="C19" s="31"/>
      <c r="D19" s="32"/>
      <c r="E19" s="33"/>
      <c r="F19" s="31"/>
      <c r="G19" s="32" t="s">
        <v>271</v>
      </c>
      <c r="H19" s="32" t="s">
        <v>132</v>
      </c>
      <c r="I19" s="32"/>
      <c r="J19" s="32"/>
      <c r="K19" s="32"/>
      <c r="L19" s="32"/>
      <c r="M19" s="32"/>
      <c r="N19" s="32"/>
      <c r="O19" s="32"/>
      <c r="P19" s="32"/>
      <c r="Q19" s="32"/>
      <c r="R19" s="32"/>
      <c r="S19" s="32"/>
      <c r="T19" s="32"/>
      <c r="U19" s="32"/>
      <c r="V19" s="32"/>
      <c r="W19" s="32"/>
      <c r="X19" s="32"/>
      <c r="Y19" s="32"/>
      <c r="Z19" s="32"/>
      <c r="AA19" s="32"/>
      <c r="AB19" s="32"/>
      <c r="AC19" s="32"/>
      <c r="AD19" s="32"/>
      <c r="AE19" s="32"/>
      <c r="AF19" s="33"/>
      <c r="AG19" s="31"/>
      <c r="AH19" s="32"/>
      <c r="AI19" s="32"/>
      <c r="AJ19" s="32"/>
      <c r="AK19" s="32"/>
      <c r="AL19" s="32"/>
      <c r="AM19" s="32"/>
      <c r="AN19" s="32"/>
      <c r="AO19" s="32"/>
      <c r="AP19" s="32"/>
      <c r="AQ19" s="32"/>
      <c r="AR19" s="32"/>
      <c r="AS19" s="32"/>
      <c r="AT19" s="32"/>
      <c r="AU19" s="32"/>
      <c r="AV19" s="32"/>
      <c r="AW19" s="32"/>
      <c r="AX19" s="32"/>
      <c r="AY19" s="32"/>
      <c r="AZ19" s="33"/>
      <c r="BA19" s="34">
        <f>IF(BB19&amp;BC19&lt;&gt;"",MAX(BA$5:BA18)+1,"")</f>
        <v>8</v>
      </c>
      <c r="BB19" s="35" t="s">
        <v>158</v>
      </c>
      <c r="BC19" s="35"/>
      <c r="BD19" s="36">
        <v>42685</v>
      </c>
      <c r="BE19" s="37" t="s">
        <v>82</v>
      </c>
      <c r="BF19" s="37" t="s">
        <v>159</v>
      </c>
      <c r="BG19" s="36">
        <v>42685</v>
      </c>
      <c r="BH19" s="29"/>
      <c r="BI19" s="29"/>
    </row>
    <row r="20" spans="1:61" s="30" customFormat="1" ht="14.25" customHeight="1" x14ac:dyDescent="0.15">
      <c r="A20" s="200"/>
      <c r="B20" s="202"/>
      <c r="C20" s="31"/>
      <c r="D20" s="32"/>
      <c r="E20" s="33"/>
      <c r="F20" s="31"/>
      <c r="G20" s="32" t="s">
        <v>271</v>
      </c>
      <c r="H20" s="32" t="s">
        <v>279</v>
      </c>
      <c r="I20" s="32"/>
      <c r="J20" s="32"/>
      <c r="K20" s="32"/>
      <c r="L20" s="32"/>
      <c r="M20" s="32"/>
      <c r="N20" s="32"/>
      <c r="O20" s="32"/>
      <c r="P20" s="32"/>
      <c r="Q20" s="32"/>
      <c r="R20" s="32"/>
      <c r="S20" s="32"/>
      <c r="T20" s="32"/>
      <c r="U20" s="32"/>
      <c r="V20" s="32"/>
      <c r="W20" s="32"/>
      <c r="X20" s="32"/>
      <c r="Y20" s="32"/>
      <c r="Z20" s="32"/>
      <c r="AA20" s="32"/>
      <c r="AB20" s="32"/>
      <c r="AC20" s="32"/>
      <c r="AD20" s="32"/>
      <c r="AE20" s="32"/>
      <c r="AF20" s="33"/>
      <c r="AG20" s="31"/>
      <c r="AH20" s="32"/>
      <c r="AI20" s="32"/>
      <c r="AJ20" s="32"/>
      <c r="AK20" s="32"/>
      <c r="AL20" s="32"/>
      <c r="AM20" s="32"/>
      <c r="AN20" s="32"/>
      <c r="AO20" s="32"/>
      <c r="AP20" s="32"/>
      <c r="AQ20" s="32"/>
      <c r="AR20" s="32"/>
      <c r="AS20" s="32"/>
      <c r="AT20" s="32"/>
      <c r="AU20" s="32"/>
      <c r="AV20" s="32"/>
      <c r="AW20" s="32"/>
      <c r="AX20" s="32"/>
      <c r="AY20" s="32"/>
      <c r="AZ20" s="33"/>
      <c r="BA20" s="34">
        <f>IF(BB20&amp;BC20&lt;&gt;"",MAX(BA$5:BA19)+1,"")</f>
        <v>9</v>
      </c>
      <c r="BB20" s="35" t="s">
        <v>158</v>
      </c>
      <c r="BC20" s="35"/>
      <c r="BD20" s="36">
        <v>42685</v>
      </c>
      <c r="BE20" s="37" t="s">
        <v>82</v>
      </c>
      <c r="BF20" s="37" t="s">
        <v>159</v>
      </c>
      <c r="BG20" s="36">
        <v>42685</v>
      </c>
      <c r="BH20" s="29"/>
      <c r="BI20" s="29"/>
    </row>
    <row r="21" spans="1:61" s="30" customFormat="1" ht="14.25" customHeight="1" x14ac:dyDescent="0.15">
      <c r="A21" s="200"/>
      <c r="B21" s="202"/>
      <c r="C21" s="31"/>
      <c r="D21" s="32"/>
      <c r="E21" s="33"/>
      <c r="F21" s="32"/>
      <c r="G21" s="32" t="s">
        <v>271</v>
      </c>
      <c r="H21" s="32" t="s">
        <v>280</v>
      </c>
      <c r="I21" s="32"/>
      <c r="J21" s="32"/>
      <c r="K21" s="32"/>
      <c r="L21" s="32"/>
      <c r="M21" s="32"/>
      <c r="N21" s="32"/>
      <c r="O21" s="32"/>
      <c r="P21" s="32"/>
      <c r="Q21" s="32"/>
      <c r="R21" s="32"/>
      <c r="S21" s="32"/>
      <c r="T21" s="32"/>
      <c r="U21" s="32"/>
      <c r="V21" s="32"/>
      <c r="W21" s="32"/>
      <c r="X21" s="32"/>
      <c r="Y21" s="32"/>
      <c r="Z21" s="32"/>
      <c r="AA21" s="32"/>
      <c r="AB21" s="32"/>
      <c r="AC21" s="32"/>
      <c r="AD21" s="32"/>
      <c r="AE21" s="32"/>
      <c r="AF21" s="33"/>
      <c r="AG21" s="31"/>
      <c r="AH21" s="32"/>
      <c r="AI21" s="32"/>
      <c r="AJ21" s="32"/>
      <c r="AK21" s="32"/>
      <c r="AL21" s="32"/>
      <c r="AM21" s="32"/>
      <c r="AN21" s="32"/>
      <c r="AO21" s="32"/>
      <c r="AP21" s="32"/>
      <c r="AQ21" s="32"/>
      <c r="AR21" s="32"/>
      <c r="AS21" s="32"/>
      <c r="AT21" s="32"/>
      <c r="AU21" s="32"/>
      <c r="AV21" s="32"/>
      <c r="AW21" s="32"/>
      <c r="AX21" s="32"/>
      <c r="AY21" s="32"/>
      <c r="AZ21" s="33"/>
      <c r="BA21" s="34">
        <f>IF(BB21&amp;BC21&lt;&gt;"",MAX(BA$5:BA20)+1,"")</f>
        <v>10</v>
      </c>
      <c r="BB21" s="35" t="s">
        <v>158</v>
      </c>
      <c r="BC21" s="35"/>
      <c r="BD21" s="36">
        <v>42685</v>
      </c>
      <c r="BE21" s="37" t="s">
        <v>82</v>
      </c>
      <c r="BF21" s="37" t="s">
        <v>159</v>
      </c>
      <c r="BG21" s="36">
        <v>42685</v>
      </c>
      <c r="BH21" s="29"/>
      <c r="BI21" s="29"/>
    </row>
    <row r="22" spans="1:61" s="30" customFormat="1" ht="14.25" customHeight="1" x14ac:dyDescent="0.15">
      <c r="A22" s="200"/>
      <c r="B22" s="202"/>
      <c r="C22" s="31"/>
      <c r="D22" s="32"/>
      <c r="E22" s="33"/>
      <c r="F22" s="31"/>
      <c r="G22" s="32" t="s">
        <v>271</v>
      </c>
      <c r="H22" s="32" t="s">
        <v>281</v>
      </c>
      <c r="I22" s="32"/>
      <c r="J22" s="32"/>
      <c r="K22" s="32"/>
      <c r="L22" s="32"/>
      <c r="M22" s="32"/>
      <c r="N22" s="32"/>
      <c r="O22" s="32"/>
      <c r="P22" s="32"/>
      <c r="Q22" s="32"/>
      <c r="S22" s="32"/>
      <c r="T22" s="32"/>
      <c r="U22" s="32"/>
      <c r="V22" s="32"/>
      <c r="W22" s="32"/>
      <c r="X22" s="32"/>
      <c r="Y22" s="32"/>
      <c r="Z22" s="32"/>
      <c r="AA22" s="32"/>
      <c r="AB22" s="32"/>
      <c r="AC22" s="32"/>
      <c r="AD22" s="32"/>
      <c r="AE22" s="32"/>
      <c r="AF22" s="33"/>
      <c r="AG22" s="31"/>
      <c r="AH22" s="32"/>
      <c r="AI22" s="32"/>
      <c r="AJ22" s="32"/>
      <c r="AK22" s="32"/>
      <c r="AL22" s="32"/>
      <c r="AM22" s="32"/>
      <c r="AN22" s="32"/>
      <c r="AO22" s="32"/>
      <c r="AP22" s="32"/>
      <c r="AQ22" s="32"/>
      <c r="AR22" s="32"/>
      <c r="AS22" s="32"/>
      <c r="AT22" s="32"/>
      <c r="AU22" s="32"/>
      <c r="AV22" s="32"/>
      <c r="AW22" s="32"/>
      <c r="AX22" s="32"/>
      <c r="AY22" s="32"/>
      <c r="AZ22" s="33"/>
      <c r="BA22" s="34">
        <f>IF(BB22&amp;BC22&lt;&gt;"",MAX(BA$5:BA21)+1,"")</f>
        <v>11</v>
      </c>
      <c r="BB22" s="35" t="s">
        <v>158</v>
      </c>
      <c r="BC22" s="35"/>
      <c r="BD22" s="36">
        <v>42685</v>
      </c>
      <c r="BE22" s="37" t="s">
        <v>82</v>
      </c>
      <c r="BF22" s="37" t="s">
        <v>159</v>
      </c>
      <c r="BG22" s="36">
        <v>42685</v>
      </c>
      <c r="BH22" s="29"/>
      <c r="BI22" s="29"/>
    </row>
    <row r="23" spans="1:61" s="30" customFormat="1" ht="14.25" customHeight="1" x14ac:dyDescent="0.15">
      <c r="A23" s="200"/>
      <c r="B23" s="202"/>
      <c r="C23" s="31"/>
      <c r="D23" s="32"/>
      <c r="E23" s="33"/>
      <c r="F23" s="31"/>
      <c r="G23" s="32" t="s">
        <v>271</v>
      </c>
      <c r="H23" s="32" t="s">
        <v>282</v>
      </c>
      <c r="I23" s="32"/>
      <c r="J23" s="32"/>
      <c r="K23" s="32"/>
      <c r="L23" s="32"/>
      <c r="M23" s="32"/>
      <c r="N23" s="32"/>
      <c r="O23" s="32"/>
      <c r="P23" s="32"/>
      <c r="Q23" s="32"/>
      <c r="R23" s="32"/>
      <c r="S23" s="32"/>
      <c r="T23" s="32"/>
      <c r="U23" s="32"/>
      <c r="V23" s="32"/>
      <c r="W23" s="32"/>
      <c r="X23" s="32"/>
      <c r="Y23" s="32"/>
      <c r="Z23" s="32"/>
      <c r="AA23" s="32"/>
      <c r="AB23" s="32"/>
      <c r="AC23" s="32"/>
      <c r="AD23" s="32"/>
      <c r="AE23" s="32"/>
      <c r="AF23" s="33"/>
      <c r="AG23" s="31"/>
      <c r="AH23" s="32"/>
      <c r="AI23" s="32"/>
      <c r="AJ23" s="32"/>
      <c r="AK23" s="32"/>
      <c r="AL23" s="32"/>
      <c r="AM23" s="32"/>
      <c r="AN23" s="32"/>
      <c r="AO23" s="32"/>
      <c r="AP23" s="32"/>
      <c r="AQ23" s="32"/>
      <c r="AR23" s="32"/>
      <c r="AS23" s="32"/>
      <c r="AT23" s="32"/>
      <c r="AU23" s="32"/>
      <c r="AV23" s="32"/>
      <c r="AW23" s="32"/>
      <c r="AX23" s="32"/>
      <c r="AY23" s="32"/>
      <c r="AZ23" s="33"/>
      <c r="BA23" s="34">
        <f>IF(BB23&amp;BC23&lt;&gt;"",MAX(BA$5:BA22)+1,"")</f>
        <v>12</v>
      </c>
      <c r="BB23" s="35" t="s">
        <v>158</v>
      </c>
      <c r="BC23" s="35"/>
      <c r="BD23" s="36">
        <v>42685</v>
      </c>
      <c r="BE23" s="37" t="s">
        <v>82</v>
      </c>
      <c r="BF23" s="37" t="s">
        <v>159</v>
      </c>
      <c r="BG23" s="36">
        <v>42685</v>
      </c>
      <c r="BH23" s="29"/>
      <c r="BI23" s="29"/>
    </row>
    <row r="24" spans="1:61" s="30" customFormat="1" ht="14.25" customHeight="1" x14ac:dyDescent="0.15">
      <c r="A24" s="200"/>
      <c r="B24" s="202"/>
      <c r="C24" s="31"/>
      <c r="D24" s="32"/>
      <c r="E24" s="33"/>
      <c r="F24" s="31"/>
      <c r="G24" s="32" t="s">
        <v>271</v>
      </c>
      <c r="H24" s="32" t="s">
        <v>283</v>
      </c>
      <c r="I24" s="32"/>
      <c r="J24" s="32"/>
      <c r="K24" s="32"/>
      <c r="L24" s="32"/>
      <c r="M24" s="32"/>
      <c r="N24" s="32"/>
      <c r="O24" s="32"/>
      <c r="P24" s="32"/>
      <c r="Q24" s="32"/>
      <c r="R24" s="32"/>
      <c r="S24" s="32"/>
      <c r="T24" s="32"/>
      <c r="U24" s="32"/>
      <c r="V24" s="32"/>
      <c r="W24" s="32"/>
      <c r="X24" s="32"/>
      <c r="Y24" s="32"/>
      <c r="Z24" s="32"/>
      <c r="AA24" s="32"/>
      <c r="AB24" s="32"/>
      <c r="AC24" s="32"/>
      <c r="AD24" s="32"/>
      <c r="AE24" s="32"/>
      <c r="AF24" s="33"/>
      <c r="AG24" s="31"/>
      <c r="AH24" s="32"/>
      <c r="AI24" s="32"/>
      <c r="AJ24" s="32"/>
      <c r="AK24" s="32"/>
      <c r="AL24" s="32"/>
      <c r="AM24" s="32"/>
      <c r="AN24" s="32"/>
      <c r="AO24" s="32"/>
      <c r="AP24" s="32"/>
      <c r="AQ24" s="32"/>
      <c r="AR24" s="32"/>
      <c r="AS24" s="32"/>
      <c r="AT24" s="32"/>
      <c r="AU24" s="32"/>
      <c r="AV24" s="32"/>
      <c r="AW24" s="32"/>
      <c r="AX24" s="32"/>
      <c r="AY24" s="32"/>
      <c r="AZ24" s="33"/>
      <c r="BA24" s="34">
        <f>IF(BB24&amp;BC24&lt;&gt;"",MAX(BA$5:BA23)+1,"")</f>
        <v>13</v>
      </c>
      <c r="BB24" s="35" t="s">
        <v>158</v>
      </c>
      <c r="BC24" s="35"/>
      <c r="BD24" s="36">
        <v>42685</v>
      </c>
      <c r="BE24" s="37" t="s">
        <v>82</v>
      </c>
      <c r="BF24" s="37" t="s">
        <v>159</v>
      </c>
      <c r="BG24" s="36">
        <v>42685</v>
      </c>
      <c r="BH24" s="29"/>
      <c r="BI24" s="29"/>
    </row>
    <row r="25" spans="1:61" s="30" customFormat="1" ht="14.25" customHeight="1" x14ac:dyDescent="0.15">
      <c r="A25" s="200"/>
      <c r="B25" s="202"/>
      <c r="C25" s="31"/>
      <c r="D25" s="32"/>
      <c r="E25" s="33"/>
      <c r="F25" s="31"/>
      <c r="G25" s="32" t="s">
        <v>271</v>
      </c>
      <c r="H25" s="32" t="s">
        <v>42</v>
      </c>
      <c r="I25" s="32"/>
      <c r="J25" s="32"/>
      <c r="K25" s="32"/>
      <c r="L25" s="32"/>
      <c r="M25" s="32"/>
      <c r="N25" s="32"/>
      <c r="O25" s="32"/>
      <c r="P25" s="32"/>
      <c r="Q25" s="32"/>
      <c r="R25" s="32"/>
      <c r="S25" s="32"/>
      <c r="T25" s="32"/>
      <c r="U25" s="32"/>
      <c r="V25" s="32"/>
      <c r="W25" s="32"/>
      <c r="X25" s="32"/>
      <c r="Y25" s="32"/>
      <c r="Z25" s="32"/>
      <c r="AA25" s="32"/>
      <c r="AB25" s="32"/>
      <c r="AC25" s="32"/>
      <c r="AD25" s="32"/>
      <c r="AE25" s="32"/>
      <c r="AF25" s="33"/>
      <c r="AG25" s="31"/>
      <c r="AH25" s="32"/>
      <c r="AI25" s="32"/>
      <c r="AJ25" s="32"/>
      <c r="AK25" s="32"/>
      <c r="AL25" s="32"/>
      <c r="AM25" s="32"/>
      <c r="AN25" s="32"/>
      <c r="AO25" s="32"/>
      <c r="AP25" s="32"/>
      <c r="AQ25" s="32"/>
      <c r="AR25" s="32"/>
      <c r="AS25" s="32"/>
      <c r="AT25" s="32"/>
      <c r="AU25" s="32"/>
      <c r="AV25" s="32"/>
      <c r="AW25" s="32"/>
      <c r="AX25" s="32"/>
      <c r="AY25" s="32"/>
      <c r="AZ25" s="33"/>
      <c r="BA25" s="34">
        <f>IF(BB25&amp;BC25&lt;&gt;"",MAX(BA$5:BA24)+1,"")</f>
        <v>14</v>
      </c>
      <c r="BB25" s="35" t="s">
        <v>158</v>
      </c>
      <c r="BC25" s="35"/>
      <c r="BD25" s="36">
        <v>42685</v>
      </c>
      <c r="BE25" s="37" t="s">
        <v>82</v>
      </c>
      <c r="BF25" s="37" t="s">
        <v>159</v>
      </c>
      <c r="BG25" s="36">
        <v>42685</v>
      </c>
      <c r="BH25" s="29"/>
      <c r="BI25" s="29"/>
    </row>
    <row r="26" spans="1:61" s="30" customFormat="1" ht="14.25" customHeight="1" x14ac:dyDescent="0.15">
      <c r="A26" s="200"/>
      <c r="B26" s="202"/>
      <c r="C26" s="31"/>
      <c r="D26" s="32"/>
      <c r="E26" s="33"/>
      <c r="F26" s="31"/>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3"/>
      <c r="AG26" s="31"/>
      <c r="AH26" s="32"/>
      <c r="AI26" s="32"/>
      <c r="AJ26" s="32"/>
      <c r="AK26" s="32"/>
      <c r="AL26" s="32"/>
      <c r="AM26" s="32"/>
      <c r="AN26" s="32"/>
      <c r="AO26" s="32"/>
      <c r="AP26" s="32"/>
      <c r="AQ26" s="32"/>
      <c r="AR26" s="32"/>
      <c r="AS26" s="32"/>
      <c r="AT26" s="32"/>
      <c r="AU26" s="32"/>
      <c r="AV26" s="32"/>
      <c r="AW26" s="32"/>
      <c r="AX26" s="32"/>
      <c r="AY26" s="32"/>
      <c r="AZ26" s="33"/>
      <c r="BA26" s="34" t="str">
        <f>IF(BB26&amp;BC26&lt;&gt;"",MAX(BA$5:BA25)+1,"")</f>
        <v/>
      </c>
      <c r="BB26" s="35"/>
      <c r="BC26" s="35"/>
      <c r="BD26" s="36"/>
      <c r="BE26" s="37"/>
      <c r="BF26" s="37"/>
      <c r="BG26" s="36"/>
      <c r="BH26" s="29"/>
      <c r="BI26" s="29"/>
    </row>
    <row r="27" spans="1:61" s="30" customFormat="1" ht="14.25" customHeight="1" x14ac:dyDescent="0.15">
      <c r="A27" s="200"/>
      <c r="B27" s="202"/>
      <c r="C27" s="31"/>
      <c r="D27" s="32"/>
      <c r="E27" s="33"/>
      <c r="F27" s="31" t="s">
        <v>96</v>
      </c>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3"/>
      <c r="AG27" s="31"/>
      <c r="AH27" s="32"/>
      <c r="AI27" s="32"/>
      <c r="AJ27" s="32"/>
      <c r="AK27" s="32"/>
      <c r="AL27" s="32"/>
      <c r="AM27" s="32"/>
      <c r="AN27" s="32"/>
      <c r="AO27" s="32"/>
      <c r="AP27" s="32"/>
      <c r="AQ27" s="32"/>
      <c r="AR27" s="32"/>
      <c r="AS27" s="32"/>
      <c r="AT27" s="32"/>
      <c r="AU27" s="32"/>
      <c r="AV27" s="32"/>
      <c r="AW27" s="32"/>
      <c r="AX27" s="32"/>
      <c r="AY27" s="32"/>
      <c r="AZ27" s="33"/>
      <c r="BA27" s="34" t="str">
        <f>IF(BB27&amp;BC27&lt;&gt;"",MAX(BA$5:BA26)+1,"")</f>
        <v/>
      </c>
      <c r="BB27" s="35"/>
      <c r="BC27" s="35"/>
      <c r="BD27" s="36"/>
      <c r="BE27" s="37"/>
      <c r="BF27" s="51"/>
      <c r="BG27" s="36"/>
      <c r="BH27" s="29"/>
      <c r="BI27" s="29"/>
    </row>
    <row r="28" spans="1:61" s="30" customFormat="1" ht="14.25" customHeight="1" x14ac:dyDescent="0.15">
      <c r="A28" s="200"/>
      <c r="B28" s="202"/>
      <c r="C28" s="31"/>
      <c r="D28" s="32"/>
      <c r="E28" s="33"/>
      <c r="F28" s="31"/>
      <c r="G28" s="32" t="s">
        <v>284</v>
      </c>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3"/>
      <c r="AG28" s="31"/>
      <c r="AH28" s="32"/>
      <c r="AI28" s="32"/>
      <c r="AJ28" s="32"/>
      <c r="AK28" s="32"/>
      <c r="AL28" s="32"/>
      <c r="AM28" s="32"/>
      <c r="AN28" s="32"/>
      <c r="AO28" s="32"/>
      <c r="AP28" s="32"/>
      <c r="AQ28" s="32"/>
      <c r="AR28" s="32"/>
      <c r="AS28" s="32"/>
      <c r="AT28" s="32"/>
      <c r="AU28" s="32"/>
      <c r="AV28" s="32"/>
      <c r="AW28" s="32"/>
      <c r="AX28" s="32"/>
      <c r="AY28" s="32"/>
      <c r="AZ28" s="33"/>
      <c r="BA28" s="34" t="str">
        <f>IF(BB28&amp;BC28&lt;&gt;"",MAX(BA$5:BA27)+1,"")</f>
        <v/>
      </c>
      <c r="BB28" s="35"/>
      <c r="BC28" s="35"/>
      <c r="BD28" s="50"/>
      <c r="BE28" s="51"/>
      <c r="BF28" s="51"/>
      <c r="BG28" s="50"/>
      <c r="BH28" s="29"/>
      <c r="BI28" s="29"/>
    </row>
    <row r="29" spans="1:61" s="30" customFormat="1" ht="14.25" customHeight="1" x14ac:dyDescent="0.15">
      <c r="A29" s="200"/>
      <c r="B29" s="202"/>
      <c r="C29" s="31"/>
      <c r="D29" s="32"/>
      <c r="E29" s="33"/>
      <c r="F29" s="31"/>
      <c r="G29" s="32" t="s">
        <v>285</v>
      </c>
      <c r="H29" s="32"/>
      <c r="I29" s="32"/>
      <c r="J29" s="32"/>
      <c r="K29" s="32"/>
      <c r="L29" s="32"/>
      <c r="M29" s="32"/>
      <c r="N29" s="32"/>
      <c r="O29" s="32"/>
      <c r="P29" s="32"/>
      <c r="Q29" s="32" t="s">
        <v>286</v>
      </c>
      <c r="R29" s="32"/>
      <c r="S29" s="32"/>
      <c r="T29" s="32"/>
      <c r="U29" s="32"/>
      <c r="V29" s="32" t="s">
        <v>287</v>
      </c>
      <c r="W29" s="32"/>
      <c r="X29" s="32"/>
      <c r="Y29" s="32"/>
      <c r="Z29" s="32"/>
      <c r="AA29" s="32"/>
      <c r="AB29" s="32"/>
      <c r="AC29" s="32"/>
      <c r="AD29" s="32"/>
      <c r="AE29" s="32"/>
      <c r="AF29" s="33"/>
      <c r="AG29" s="31"/>
      <c r="AH29" s="32"/>
      <c r="AI29" s="32"/>
      <c r="AJ29" s="32"/>
      <c r="AK29" s="32"/>
      <c r="AL29" s="32"/>
      <c r="AM29" s="32"/>
      <c r="AN29" s="32"/>
      <c r="AO29" s="32"/>
      <c r="AP29" s="32"/>
      <c r="AQ29" s="32"/>
      <c r="AR29" s="32"/>
      <c r="AS29" s="32"/>
      <c r="AT29" s="32"/>
      <c r="AU29" s="32"/>
      <c r="AV29" s="32"/>
      <c r="AW29" s="32"/>
      <c r="AX29" s="32"/>
      <c r="AY29" s="32"/>
      <c r="AZ29" s="33"/>
      <c r="BA29" s="34" t="str">
        <f>IF(BB29&amp;BC29&lt;&gt;"",MAX(BA$5:BA28)+1,"")</f>
        <v/>
      </c>
      <c r="BB29" s="35"/>
      <c r="BC29" s="35"/>
      <c r="BD29" s="50"/>
      <c r="BE29" s="51"/>
      <c r="BF29" s="51"/>
      <c r="BG29" s="50"/>
      <c r="BH29" s="29"/>
      <c r="BI29" s="29"/>
    </row>
    <row r="30" spans="1:61" s="30" customFormat="1" ht="14.25" customHeight="1" x14ac:dyDescent="0.15">
      <c r="A30" s="200"/>
      <c r="B30" s="202"/>
      <c r="C30" s="31"/>
      <c r="D30" s="32"/>
      <c r="E30" s="33"/>
      <c r="F30" s="31"/>
      <c r="G30" s="32"/>
      <c r="H30" s="32"/>
      <c r="I30" s="32"/>
      <c r="J30" s="32"/>
      <c r="K30" s="32"/>
      <c r="L30" s="32"/>
      <c r="M30" s="32"/>
      <c r="N30" s="32"/>
      <c r="O30" s="32"/>
      <c r="P30" s="32"/>
      <c r="Q30" s="32"/>
      <c r="R30" s="32"/>
      <c r="S30" s="32"/>
      <c r="T30" s="32"/>
      <c r="U30" s="32"/>
      <c r="V30" s="32" t="s">
        <v>288</v>
      </c>
      <c r="W30" s="32"/>
      <c r="X30" s="32"/>
      <c r="Y30" s="32"/>
      <c r="Z30" s="32"/>
      <c r="AA30" s="32"/>
      <c r="AB30" s="32"/>
      <c r="AC30" s="32"/>
      <c r="AD30" s="32"/>
      <c r="AE30" s="32"/>
      <c r="AF30" s="33"/>
      <c r="AG30" s="31"/>
      <c r="AH30" s="32"/>
      <c r="AI30" s="32"/>
      <c r="AJ30" s="32"/>
      <c r="AK30" s="32"/>
      <c r="AL30" s="32"/>
      <c r="AM30" s="32"/>
      <c r="AN30" s="32"/>
      <c r="AO30" s="32"/>
      <c r="AP30" s="32"/>
      <c r="AQ30" s="32"/>
      <c r="AR30" s="32"/>
      <c r="AS30" s="32"/>
      <c r="AT30" s="32"/>
      <c r="AU30" s="32"/>
      <c r="AV30" s="32"/>
      <c r="AW30" s="32"/>
      <c r="AX30" s="32"/>
      <c r="AY30" s="32"/>
      <c r="AZ30" s="33"/>
      <c r="BA30" s="34"/>
      <c r="BB30" s="35"/>
      <c r="BC30" s="35"/>
      <c r="BD30" s="50"/>
      <c r="BE30" s="51"/>
      <c r="BF30" s="51"/>
      <c r="BG30" s="50"/>
      <c r="BH30" s="29"/>
      <c r="BI30" s="29"/>
    </row>
    <row r="31" spans="1:61" s="30" customFormat="1" ht="14.25" customHeight="1" x14ac:dyDescent="0.15">
      <c r="A31" s="200"/>
      <c r="B31" s="202"/>
      <c r="C31" s="31"/>
      <c r="D31" s="32"/>
      <c r="E31" s="33"/>
      <c r="F31" s="31" t="s">
        <v>289</v>
      </c>
      <c r="G31" s="32"/>
      <c r="H31" s="32"/>
      <c r="I31" s="32" t="s">
        <v>290</v>
      </c>
      <c r="J31" s="32"/>
      <c r="K31" s="32"/>
      <c r="L31" s="32"/>
      <c r="M31" s="32"/>
      <c r="N31" s="32"/>
      <c r="O31" s="32"/>
      <c r="P31" s="32"/>
      <c r="Q31" s="32"/>
      <c r="R31" s="32"/>
      <c r="S31" s="32"/>
      <c r="T31" s="32"/>
      <c r="U31" s="32"/>
      <c r="V31" s="32"/>
      <c r="W31" s="32"/>
      <c r="X31" s="32"/>
      <c r="Y31" s="32"/>
      <c r="Z31" s="32"/>
      <c r="AA31" s="32"/>
      <c r="AB31" s="32"/>
      <c r="AC31" s="32"/>
      <c r="AD31" s="32"/>
      <c r="AE31" s="32"/>
      <c r="AF31" s="33"/>
      <c r="AG31" s="31"/>
      <c r="AH31" s="32"/>
      <c r="AI31" s="32"/>
      <c r="AJ31" s="32"/>
      <c r="AK31" s="32"/>
      <c r="AL31" s="32"/>
      <c r="AM31" s="32"/>
      <c r="AN31" s="32"/>
      <c r="AO31" s="32"/>
      <c r="AP31" s="32"/>
      <c r="AQ31" s="32"/>
      <c r="AR31" s="32"/>
      <c r="AS31" s="32"/>
      <c r="AT31" s="32"/>
      <c r="AU31" s="32"/>
      <c r="AV31" s="32"/>
      <c r="AW31" s="32"/>
      <c r="AX31" s="32"/>
      <c r="AY31" s="32"/>
      <c r="AZ31" s="33"/>
      <c r="BA31" s="34" t="str">
        <f>IF(BB31&amp;BC31&lt;&gt;"",MAX(BA$5:BA30)+1,"")</f>
        <v/>
      </c>
      <c r="BB31" s="35"/>
      <c r="BC31" s="35"/>
      <c r="BD31" s="36"/>
      <c r="BE31" s="37"/>
      <c r="BF31" s="51"/>
      <c r="BG31" s="36"/>
      <c r="BH31" s="29"/>
      <c r="BI31" s="29"/>
    </row>
    <row r="32" spans="1:61" s="30" customFormat="1" ht="14.25" customHeight="1" x14ac:dyDescent="0.15">
      <c r="A32" s="200"/>
      <c r="B32" s="202"/>
      <c r="C32" s="31"/>
      <c r="D32" s="32"/>
      <c r="E32" s="33"/>
      <c r="F32" s="32"/>
      <c r="G32" s="32" t="s">
        <v>291</v>
      </c>
      <c r="I32" s="32"/>
      <c r="J32" s="32"/>
      <c r="K32" s="32"/>
      <c r="L32" s="32"/>
      <c r="M32" s="32"/>
      <c r="N32" s="32"/>
      <c r="O32" s="32"/>
      <c r="P32" s="32"/>
      <c r="Q32" s="32"/>
      <c r="R32" s="32"/>
      <c r="S32" s="32"/>
      <c r="T32" s="32"/>
      <c r="U32" s="32"/>
      <c r="V32" s="32"/>
      <c r="W32" s="32"/>
      <c r="X32" s="32"/>
      <c r="Y32" s="32"/>
      <c r="Z32" s="32"/>
      <c r="AA32" s="32"/>
      <c r="AB32" s="32"/>
      <c r="AC32" s="32"/>
      <c r="AD32" s="32"/>
      <c r="AE32" s="32"/>
      <c r="AF32" s="33"/>
      <c r="AG32" s="31"/>
      <c r="AH32" s="32"/>
      <c r="AI32" s="32"/>
      <c r="AJ32" s="32"/>
      <c r="AK32" s="32"/>
      <c r="AL32" s="32"/>
      <c r="AM32" s="32"/>
      <c r="AN32" s="32"/>
      <c r="AO32" s="32"/>
      <c r="AP32" s="32"/>
      <c r="AQ32" s="32"/>
      <c r="AR32" s="32"/>
      <c r="AS32" s="32"/>
      <c r="AT32" s="32"/>
      <c r="AU32" s="32"/>
      <c r="AV32" s="32"/>
      <c r="AW32" s="32"/>
      <c r="AX32" s="32"/>
      <c r="AY32" s="32"/>
      <c r="AZ32" s="33"/>
      <c r="BA32" s="34" t="str">
        <f>IF(BB32&amp;BC32&lt;&gt;"",MAX(BA$5:BA31)+1,"")</f>
        <v/>
      </c>
      <c r="BB32" s="35"/>
      <c r="BC32" s="35"/>
      <c r="BD32" s="36"/>
      <c r="BE32" s="37"/>
      <c r="BF32" s="51"/>
      <c r="BG32" s="36"/>
      <c r="BH32" s="29"/>
      <c r="BI32" s="29"/>
    </row>
    <row r="33" spans="1:61" s="30" customFormat="1" ht="14.25" customHeight="1" x14ac:dyDescent="0.15">
      <c r="A33" s="200"/>
      <c r="B33" s="202"/>
      <c r="C33" s="31"/>
      <c r="D33" s="32"/>
      <c r="E33" s="33"/>
      <c r="F33" s="31"/>
      <c r="G33" s="32"/>
      <c r="H33" s="32" t="s">
        <v>292</v>
      </c>
      <c r="I33" s="32"/>
      <c r="J33" s="32"/>
      <c r="K33" s="32"/>
      <c r="L33" s="32"/>
      <c r="M33" s="32"/>
      <c r="N33" s="32"/>
      <c r="O33" s="32"/>
      <c r="P33" s="32"/>
      <c r="Q33" s="32"/>
      <c r="R33" s="32"/>
      <c r="S33" s="32"/>
      <c r="T33" s="32"/>
      <c r="U33" s="32"/>
      <c r="V33" s="32"/>
      <c r="W33" s="32"/>
      <c r="X33" s="32"/>
      <c r="Y33" s="32"/>
      <c r="Z33" s="32"/>
      <c r="AA33" s="32"/>
      <c r="AB33" s="32"/>
      <c r="AC33" s="32"/>
      <c r="AD33" s="32"/>
      <c r="AE33" s="32"/>
      <c r="AF33" s="33"/>
      <c r="AG33" s="31"/>
      <c r="AH33" s="32"/>
      <c r="AI33" s="32"/>
      <c r="AJ33" s="32"/>
      <c r="AK33" s="32"/>
      <c r="AL33" s="32"/>
      <c r="AM33" s="32"/>
      <c r="AN33" s="32"/>
      <c r="AO33" s="32"/>
      <c r="AP33" s="32"/>
      <c r="AQ33" s="32"/>
      <c r="AR33" s="32"/>
      <c r="AS33" s="32"/>
      <c r="AT33" s="32"/>
      <c r="AU33" s="32"/>
      <c r="AV33" s="32"/>
      <c r="AW33" s="32"/>
      <c r="AX33" s="32"/>
      <c r="AY33" s="32"/>
      <c r="AZ33" s="33"/>
      <c r="BA33" s="34" t="str">
        <f>IF(BB33&amp;BC33&lt;&gt;"",MAX(BA$5:BA32)+1,"")</f>
        <v/>
      </c>
      <c r="BB33" s="35"/>
      <c r="BC33" s="35"/>
      <c r="BD33" s="36"/>
      <c r="BE33" s="37"/>
      <c r="BF33" s="51"/>
      <c r="BG33" s="36"/>
      <c r="BH33" s="29"/>
      <c r="BI33" s="29"/>
    </row>
    <row r="34" spans="1:61" s="30" customFormat="1" ht="14.25" customHeight="1" x14ac:dyDescent="0.15">
      <c r="A34" s="200"/>
      <c r="B34" s="202"/>
      <c r="C34" s="31"/>
      <c r="D34" s="32"/>
      <c r="E34" s="33"/>
      <c r="F34" s="31"/>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3"/>
      <c r="AG34" s="31"/>
      <c r="AH34" s="32"/>
      <c r="AI34" s="32"/>
      <c r="AJ34" s="32"/>
      <c r="AK34" s="32"/>
      <c r="AL34" s="32"/>
      <c r="AM34" s="32"/>
      <c r="AN34" s="32"/>
      <c r="AO34" s="32"/>
      <c r="AP34" s="32"/>
      <c r="AQ34" s="32"/>
      <c r="AR34" s="32"/>
      <c r="AS34" s="32"/>
      <c r="AT34" s="32"/>
      <c r="AU34" s="32"/>
      <c r="AV34" s="32"/>
      <c r="AW34" s="32"/>
      <c r="AX34" s="32"/>
      <c r="AY34" s="32"/>
      <c r="AZ34" s="33"/>
      <c r="BA34" s="34" t="str">
        <f>IF(BB34&amp;BC34&lt;&gt;"",MAX(BA$5:BA33)+1,"")</f>
        <v/>
      </c>
      <c r="BB34" s="35"/>
      <c r="BC34" s="35"/>
      <c r="BD34" s="36"/>
      <c r="BE34" s="37"/>
      <c r="BF34" s="37"/>
      <c r="BG34" s="36"/>
      <c r="BH34" s="29"/>
      <c r="BI34" s="29"/>
    </row>
    <row r="35" spans="1:61" s="30" customFormat="1" ht="14.25" customHeight="1" x14ac:dyDescent="0.15">
      <c r="A35" s="200"/>
      <c r="B35" s="202"/>
      <c r="C35" s="31"/>
      <c r="D35" s="32"/>
      <c r="E35" s="33"/>
      <c r="F35" s="31" t="s">
        <v>293</v>
      </c>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3"/>
      <c r="AG35" s="31"/>
      <c r="AH35" s="32"/>
      <c r="AI35" s="32"/>
      <c r="AJ35" s="32"/>
      <c r="AK35" s="32"/>
      <c r="AL35" s="32"/>
      <c r="AM35" s="32"/>
      <c r="AN35" s="32"/>
      <c r="AO35" s="32"/>
      <c r="AP35" s="32"/>
      <c r="AQ35" s="32"/>
      <c r="AR35" s="32"/>
      <c r="AS35" s="32"/>
      <c r="AT35" s="32"/>
      <c r="AU35" s="32"/>
      <c r="AV35" s="32"/>
      <c r="AW35" s="32"/>
      <c r="AX35" s="32"/>
      <c r="AY35" s="32"/>
      <c r="AZ35" s="33"/>
      <c r="BA35" s="34" t="str">
        <f>IF(BB35&amp;BC35&lt;&gt;"",MAX(BA$5:BA34)+1,"")</f>
        <v/>
      </c>
      <c r="BB35" s="35"/>
      <c r="BC35" s="35"/>
      <c r="BD35" s="50"/>
      <c r="BE35" s="51"/>
      <c r="BF35" s="51"/>
      <c r="BG35" s="50"/>
      <c r="BH35" s="29"/>
      <c r="BI35" s="29"/>
    </row>
    <row r="36" spans="1:61" s="30" customFormat="1" ht="14.25" customHeight="1" x14ac:dyDescent="0.15">
      <c r="A36" s="200"/>
      <c r="B36" s="202"/>
      <c r="C36" s="31"/>
      <c r="D36" s="32"/>
      <c r="E36" s="33"/>
      <c r="F36" s="31"/>
      <c r="G36" s="32" t="s">
        <v>93</v>
      </c>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3"/>
      <c r="AG36" s="31"/>
      <c r="AH36" s="32"/>
      <c r="AI36" s="32"/>
      <c r="AJ36" s="32"/>
      <c r="AK36" s="32"/>
      <c r="AL36" s="32"/>
      <c r="AM36" s="32"/>
      <c r="AN36" s="32"/>
      <c r="AO36" s="32"/>
      <c r="AP36" s="32"/>
      <c r="AQ36" s="32"/>
      <c r="AR36" s="32"/>
      <c r="AS36" s="32"/>
      <c r="AT36" s="32"/>
      <c r="AU36" s="32"/>
      <c r="AV36" s="32"/>
      <c r="AW36" s="32"/>
      <c r="AX36" s="32"/>
      <c r="AY36" s="32"/>
      <c r="AZ36" s="33"/>
      <c r="BA36" s="34" t="str">
        <f>IF(BB36&amp;BC36&lt;&gt;"",MAX(BA$5:BA35)+1,"")</f>
        <v/>
      </c>
      <c r="BB36" s="35"/>
      <c r="BC36" s="35"/>
      <c r="BD36" s="36"/>
      <c r="BE36" s="37"/>
      <c r="BF36" s="37"/>
      <c r="BG36" s="36"/>
      <c r="BH36" s="29"/>
      <c r="BI36" s="29"/>
    </row>
    <row r="37" spans="1:61" ht="14.25" customHeight="1" x14ac:dyDescent="0.15">
      <c r="A37" s="200"/>
      <c r="B37" s="202"/>
      <c r="C37" s="31"/>
      <c r="D37" s="32"/>
      <c r="E37" s="33"/>
      <c r="F37" s="31"/>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3"/>
      <c r="AG37" s="31"/>
      <c r="AH37" s="32"/>
      <c r="AI37" s="32"/>
      <c r="AJ37" s="32"/>
      <c r="AK37" s="32"/>
      <c r="AL37" s="32"/>
      <c r="AM37" s="32"/>
      <c r="AN37" s="32"/>
      <c r="AO37" s="32"/>
      <c r="AP37" s="32"/>
      <c r="AQ37" s="32"/>
      <c r="AR37" s="32"/>
      <c r="AS37" s="32"/>
      <c r="AT37" s="32"/>
      <c r="AU37" s="32"/>
      <c r="AV37" s="32"/>
      <c r="AW37" s="32"/>
      <c r="AX37" s="32"/>
      <c r="AY37" s="32"/>
      <c r="AZ37" s="33"/>
      <c r="BA37" s="34" t="str">
        <f>IF(BB37&amp;BC37&lt;&gt;"",MAX(BA$5:BA36)+1,"")</f>
        <v/>
      </c>
      <c r="BB37" s="35"/>
      <c r="BC37" s="35"/>
      <c r="BD37" s="36"/>
      <c r="BE37" s="37"/>
      <c r="BF37" s="51"/>
      <c r="BG37" s="36"/>
      <c r="BH37" s="29"/>
      <c r="BI37" s="29"/>
    </row>
    <row r="38" spans="1:61" ht="14.25" customHeight="1" x14ac:dyDescent="0.15">
      <c r="A38" s="200" t="s">
        <v>222</v>
      </c>
      <c r="B38" s="202"/>
      <c r="C38" s="31" t="s">
        <v>268</v>
      </c>
      <c r="D38" s="32"/>
      <c r="E38" s="33"/>
      <c r="F38" s="31" t="s">
        <v>294</v>
      </c>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3"/>
      <c r="AG38" s="31"/>
      <c r="AH38" s="32"/>
      <c r="AI38" s="32"/>
      <c r="AJ38" s="32"/>
      <c r="AK38" s="32"/>
      <c r="AL38" s="32"/>
      <c r="AM38" s="32"/>
      <c r="AN38" s="32"/>
      <c r="AO38" s="32"/>
      <c r="AP38" s="32"/>
      <c r="AQ38" s="32"/>
      <c r="AR38" s="32"/>
      <c r="AS38" s="32"/>
      <c r="AT38" s="32"/>
      <c r="AU38" s="32"/>
      <c r="AV38" s="32"/>
      <c r="AW38" s="32"/>
      <c r="AX38" s="32"/>
      <c r="AY38" s="32"/>
      <c r="AZ38" s="33"/>
      <c r="BA38" s="34" t="str">
        <f>IF(BB38&amp;BC38&lt;&gt;"",MAX(BA$5:BA37)+1,"")</f>
        <v/>
      </c>
      <c r="BB38" s="35"/>
      <c r="BC38" s="35"/>
      <c r="BD38" s="36"/>
      <c r="BE38" s="37"/>
      <c r="BF38" s="37"/>
      <c r="BG38" s="36"/>
      <c r="BH38" s="29"/>
      <c r="BI38" s="29"/>
    </row>
    <row r="39" spans="1:61" ht="14.25" customHeight="1" x14ac:dyDescent="0.15">
      <c r="A39" s="200"/>
      <c r="B39" s="202"/>
      <c r="C39" s="31"/>
      <c r="D39" s="32"/>
      <c r="E39" s="33"/>
      <c r="F39" s="31"/>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3"/>
      <c r="AG39" s="31"/>
      <c r="AH39" s="32"/>
      <c r="AI39" s="32"/>
      <c r="AJ39" s="32"/>
      <c r="AK39" s="32"/>
      <c r="AL39" s="32"/>
      <c r="AM39" s="32"/>
      <c r="AN39" s="32"/>
      <c r="AO39" s="32"/>
      <c r="AP39" s="32"/>
      <c r="AQ39" s="32"/>
      <c r="AR39" s="32"/>
      <c r="AS39" s="32"/>
      <c r="AT39" s="32"/>
      <c r="AU39" s="32"/>
      <c r="AV39" s="32"/>
      <c r="AW39" s="32"/>
      <c r="AX39" s="32"/>
      <c r="AY39" s="32"/>
      <c r="AZ39" s="33"/>
      <c r="BA39" s="34" t="str">
        <f>IF(BB39&amp;BC39&lt;&gt;"",MAX(BA$5:BA38)+1,"")</f>
        <v/>
      </c>
      <c r="BB39" s="35"/>
      <c r="BC39" s="35"/>
      <c r="BD39" s="36"/>
      <c r="BE39" s="37"/>
      <c r="BF39" s="37"/>
      <c r="BG39" s="36"/>
      <c r="BH39" s="29"/>
      <c r="BI39" s="29"/>
    </row>
    <row r="40" spans="1:61" ht="14.25" customHeight="1" x14ac:dyDescent="0.15">
      <c r="A40" s="200"/>
      <c r="B40" s="202"/>
      <c r="C40" s="31"/>
      <c r="D40" s="32"/>
      <c r="E40" s="33"/>
      <c r="F40" s="31" t="s">
        <v>270</v>
      </c>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3"/>
      <c r="AG40" s="31"/>
      <c r="AH40" s="32"/>
      <c r="AI40" s="32"/>
      <c r="AJ40" s="32"/>
      <c r="AK40" s="32"/>
      <c r="AL40" s="32"/>
      <c r="AM40" s="32"/>
      <c r="AN40" s="32"/>
      <c r="AO40" s="32"/>
      <c r="AP40" s="32"/>
      <c r="AQ40" s="32"/>
      <c r="AR40" s="32"/>
      <c r="AS40" s="32"/>
      <c r="AT40" s="32"/>
      <c r="AU40" s="32"/>
      <c r="AV40" s="32"/>
      <c r="AW40" s="32"/>
      <c r="AX40" s="32"/>
      <c r="AY40" s="32"/>
      <c r="AZ40" s="33"/>
      <c r="BA40" s="34" t="str">
        <f>IF(BB40&amp;BC40&lt;&gt;"",MAX(BA$5:BA39)+1,"")</f>
        <v/>
      </c>
      <c r="BB40" s="35"/>
      <c r="BC40" s="35"/>
      <c r="BD40" s="36"/>
      <c r="BE40" s="37"/>
      <c r="BF40" s="51"/>
      <c r="BG40" s="36"/>
      <c r="BH40" s="29"/>
      <c r="BI40" s="29"/>
    </row>
    <row r="41" spans="1:61" ht="14.25" customHeight="1" x14ac:dyDescent="0.15">
      <c r="A41" s="200"/>
      <c r="B41" s="202"/>
      <c r="C41" s="31"/>
      <c r="D41" s="32"/>
      <c r="E41" s="33"/>
      <c r="F41" s="31"/>
      <c r="G41" s="32" t="s">
        <v>271</v>
      </c>
      <c r="H41" s="32" t="s">
        <v>295</v>
      </c>
      <c r="I41" s="32"/>
      <c r="J41" s="32"/>
      <c r="K41" s="32"/>
      <c r="L41" s="32"/>
      <c r="M41" s="32"/>
      <c r="N41" s="32"/>
      <c r="O41" s="32"/>
      <c r="P41" s="32"/>
      <c r="Q41" s="32"/>
      <c r="R41" s="32"/>
      <c r="S41" s="32"/>
      <c r="T41" s="32"/>
      <c r="U41" s="32"/>
      <c r="V41" s="32"/>
      <c r="W41" s="32"/>
      <c r="X41" s="32"/>
      <c r="Y41" s="32"/>
      <c r="Z41" s="32"/>
      <c r="AA41" s="32"/>
      <c r="AB41" s="32"/>
      <c r="AC41" s="32"/>
      <c r="AD41" s="32"/>
      <c r="AE41" s="32"/>
      <c r="AF41" s="33"/>
      <c r="AG41" s="31"/>
      <c r="AH41" s="32"/>
      <c r="AI41" s="32"/>
      <c r="AJ41" s="32"/>
      <c r="AK41" s="32"/>
      <c r="AL41" s="32"/>
      <c r="AM41" s="32"/>
      <c r="AN41" s="32"/>
      <c r="AO41" s="32"/>
      <c r="AP41" s="32"/>
      <c r="AQ41" s="32"/>
      <c r="AR41" s="32"/>
      <c r="AS41" s="32"/>
      <c r="AT41" s="32"/>
      <c r="AU41" s="32"/>
      <c r="AV41" s="32"/>
      <c r="AW41" s="32"/>
      <c r="AX41" s="32"/>
      <c r="AY41" s="32"/>
      <c r="AZ41" s="33"/>
      <c r="BA41" s="34">
        <f>IF(BB41&amp;BC41&lt;&gt;"",MAX(BA$5:BA40)+1,"")</f>
        <v>15</v>
      </c>
      <c r="BB41" s="35" t="s">
        <v>158</v>
      </c>
      <c r="BC41" s="35"/>
      <c r="BD41" s="36">
        <v>42685</v>
      </c>
      <c r="BE41" s="37" t="s">
        <v>82</v>
      </c>
      <c r="BF41" s="51" t="s">
        <v>159</v>
      </c>
      <c r="BG41" s="36">
        <v>42685</v>
      </c>
      <c r="BH41" s="29"/>
      <c r="BI41" s="29"/>
    </row>
    <row r="42" spans="1:61" s="30" customFormat="1" ht="14.25" customHeight="1" x14ac:dyDescent="0.15">
      <c r="A42" s="200"/>
      <c r="B42" s="202"/>
      <c r="C42" s="31"/>
      <c r="D42" s="32"/>
      <c r="E42" s="33"/>
      <c r="F42" s="31"/>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3"/>
      <c r="AG42" s="31"/>
      <c r="AH42" s="32"/>
      <c r="AI42" s="32"/>
      <c r="AJ42" s="32"/>
      <c r="AK42" s="32"/>
      <c r="AL42" s="32"/>
      <c r="AM42" s="32"/>
      <c r="AN42" s="32"/>
      <c r="AO42" s="32"/>
      <c r="AP42" s="32"/>
      <c r="AQ42" s="32"/>
      <c r="AR42" s="32"/>
      <c r="AS42" s="32"/>
      <c r="AT42" s="32"/>
      <c r="AU42" s="32"/>
      <c r="AV42" s="32"/>
      <c r="AW42" s="32"/>
      <c r="AX42" s="32"/>
      <c r="AY42" s="32"/>
      <c r="AZ42" s="33"/>
      <c r="BA42" s="34" t="str">
        <f>IF(BB42&amp;BC42&lt;&gt;"",MAX(BA$5:BA41)+1,"")</f>
        <v/>
      </c>
      <c r="BB42" s="35"/>
      <c r="BC42" s="35"/>
      <c r="BD42" s="36"/>
      <c r="BE42" s="37"/>
      <c r="BF42" s="37"/>
      <c r="BG42" s="36"/>
      <c r="BH42" s="29"/>
      <c r="BI42" s="29"/>
    </row>
    <row r="43" spans="1:61" s="30" customFormat="1" ht="14.25" customHeight="1" x14ac:dyDescent="0.15">
      <c r="A43" s="200"/>
      <c r="B43" s="202"/>
      <c r="C43" s="31"/>
      <c r="D43" s="32"/>
      <c r="E43" s="33"/>
      <c r="F43" s="31" t="s">
        <v>96</v>
      </c>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3"/>
      <c r="AG43" s="31"/>
      <c r="AH43" s="32"/>
      <c r="AI43" s="32"/>
      <c r="AJ43" s="32"/>
      <c r="AK43" s="32"/>
      <c r="AL43" s="32"/>
      <c r="AM43" s="32"/>
      <c r="AN43" s="32"/>
      <c r="AO43" s="32"/>
      <c r="AP43" s="32"/>
      <c r="AQ43" s="32"/>
      <c r="AR43" s="32"/>
      <c r="AS43" s="32"/>
      <c r="AT43" s="32"/>
      <c r="AU43" s="32"/>
      <c r="AV43" s="32"/>
      <c r="AW43" s="32"/>
      <c r="AX43" s="32"/>
      <c r="AY43" s="32"/>
      <c r="AZ43" s="33"/>
      <c r="BA43" s="34" t="str">
        <f>IF(BB43&amp;BC43&lt;&gt;"",MAX(BA$5:BA42)+1,"")</f>
        <v/>
      </c>
      <c r="BB43" s="35"/>
      <c r="BC43" s="35"/>
      <c r="BD43" s="50"/>
      <c r="BE43" s="51"/>
      <c r="BF43" s="51"/>
      <c r="BG43" s="50"/>
      <c r="BH43" s="29"/>
      <c r="BI43" s="29"/>
    </row>
    <row r="44" spans="1:61" s="30" customFormat="1" ht="14.25" customHeight="1" x14ac:dyDescent="0.15">
      <c r="A44" s="200"/>
      <c r="B44" s="202"/>
      <c r="C44" s="31"/>
      <c r="D44" s="32"/>
      <c r="E44" s="33"/>
      <c r="F44" s="31"/>
      <c r="G44" s="32" t="s">
        <v>284</v>
      </c>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3"/>
      <c r="AG44" s="31"/>
      <c r="AH44" s="32"/>
      <c r="AI44" s="32"/>
      <c r="AJ44" s="32"/>
      <c r="AK44" s="32"/>
      <c r="AL44" s="32"/>
      <c r="AM44" s="32"/>
      <c r="AN44" s="32"/>
      <c r="AO44" s="32"/>
      <c r="AP44" s="32"/>
      <c r="AQ44" s="32"/>
      <c r="AR44" s="32"/>
      <c r="AS44" s="32"/>
      <c r="AT44" s="32"/>
      <c r="AU44" s="32"/>
      <c r="AV44" s="32"/>
      <c r="AW44" s="32"/>
      <c r="AX44" s="32"/>
      <c r="AY44" s="32"/>
      <c r="AZ44" s="33"/>
      <c r="BA44" s="34" t="str">
        <f>IF(BB44&amp;BC44&lt;&gt;"",MAX(BA$5:BA43)+1,"")</f>
        <v/>
      </c>
      <c r="BB44" s="35"/>
      <c r="BC44" s="35"/>
      <c r="BD44" s="36"/>
      <c r="BE44" s="37"/>
      <c r="BF44" s="37"/>
      <c r="BG44" s="36"/>
      <c r="BH44" s="29"/>
      <c r="BI44" s="29"/>
    </row>
    <row r="45" spans="1:61" s="30" customFormat="1" ht="14.25" customHeight="1" x14ac:dyDescent="0.15">
      <c r="A45" s="200"/>
      <c r="B45" s="202"/>
      <c r="C45" s="31"/>
      <c r="D45" s="32"/>
      <c r="E45" s="33"/>
      <c r="F45" s="31"/>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3"/>
      <c r="AG45" s="31"/>
      <c r="AH45" s="32"/>
      <c r="AI45" s="32"/>
      <c r="AJ45" s="32"/>
      <c r="AK45" s="32"/>
      <c r="AL45" s="32"/>
      <c r="AM45" s="32"/>
      <c r="AN45" s="32"/>
      <c r="AO45" s="32"/>
      <c r="AP45" s="32"/>
      <c r="AQ45" s="32"/>
      <c r="AR45" s="32"/>
      <c r="AS45" s="32"/>
      <c r="AT45" s="32"/>
      <c r="AU45" s="32"/>
      <c r="AV45" s="32"/>
      <c r="AW45" s="32"/>
      <c r="AX45" s="32"/>
      <c r="AY45" s="32"/>
      <c r="AZ45" s="33"/>
      <c r="BA45" s="34" t="str">
        <f>IF(BB45&amp;BC45&lt;&gt;"",MAX(BA$5:BA44)+1,"")</f>
        <v/>
      </c>
      <c r="BB45" s="35"/>
      <c r="BC45" s="35"/>
      <c r="BD45" s="50"/>
      <c r="BE45" s="51"/>
      <c r="BF45" s="51"/>
      <c r="BG45" s="50"/>
      <c r="BH45" s="29"/>
      <c r="BI45" s="29"/>
    </row>
    <row r="46" spans="1:61" s="30" customFormat="1" ht="14.25" customHeight="1" x14ac:dyDescent="0.15">
      <c r="A46" s="200"/>
      <c r="B46" s="202"/>
      <c r="C46" s="31"/>
      <c r="D46" s="32"/>
      <c r="E46" s="33"/>
      <c r="F46" s="31" t="s">
        <v>289</v>
      </c>
      <c r="G46" s="32"/>
      <c r="H46" s="32"/>
      <c r="I46" s="32" t="s">
        <v>290</v>
      </c>
      <c r="J46" s="32"/>
      <c r="K46" s="32"/>
      <c r="L46" s="32"/>
      <c r="M46" s="32"/>
      <c r="N46" s="32"/>
      <c r="O46" s="32"/>
      <c r="P46" s="32"/>
      <c r="Q46" s="32"/>
      <c r="R46" s="32"/>
      <c r="S46" s="32"/>
      <c r="T46" s="32"/>
      <c r="U46" s="32"/>
      <c r="V46" s="32"/>
      <c r="W46" s="32"/>
      <c r="X46" s="32"/>
      <c r="Y46" s="32"/>
      <c r="Z46" s="32"/>
      <c r="AA46" s="32"/>
      <c r="AB46" s="32"/>
      <c r="AC46" s="32"/>
      <c r="AD46" s="32"/>
      <c r="AE46" s="32"/>
      <c r="AF46" s="33"/>
      <c r="AG46" s="31"/>
      <c r="AH46" s="32"/>
      <c r="AI46" s="32"/>
      <c r="AJ46" s="32"/>
      <c r="AK46" s="32"/>
      <c r="AL46" s="32"/>
      <c r="AM46" s="32"/>
      <c r="AN46" s="32"/>
      <c r="AO46" s="32"/>
      <c r="AP46" s="32"/>
      <c r="AQ46" s="32"/>
      <c r="AR46" s="32"/>
      <c r="AS46" s="32"/>
      <c r="AT46" s="32"/>
      <c r="AU46" s="32"/>
      <c r="AV46" s="32"/>
      <c r="AW46" s="32"/>
      <c r="AX46" s="32"/>
      <c r="AY46" s="32"/>
      <c r="AZ46" s="33"/>
      <c r="BA46" s="34" t="str">
        <f>IF(BB46&amp;BC46&lt;&gt;"",MAX(BA$5:BA45)+1,"")</f>
        <v/>
      </c>
      <c r="BB46" s="35"/>
      <c r="BC46" s="35"/>
      <c r="BD46" s="36"/>
      <c r="BE46" s="37"/>
      <c r="BF46" s="37"/>
      <c r="BG46" s="36"/>
      <c r="BH46" s="29"/>
      <c r="BI46" s="29"/>
    </row>
    <row r="47" spans="1:61" s="30" customFormat="1" ht="14.25" customHeight="1" x14ac:dyDescent="0.15">
      <c r="A47" s="200"/>
      <c r="B47" s="202"/>
      <c r="C47" s="31"/>
      <c r="D47" s="32"/>
      <c r="E47" s="33"/>
      <c r="F47" s="32"/>
      <c r="G47" s="32" t="s">
        <v>296</v>
      </c>
      <c r="I47" s="32"/>
      <c r="J47" s="32"/>
      <c r="K47" s="32"/>
      <c r="L47" s="32"/>
      <c r="M47" s="32"/>
      <c r="N47" s="32"/>
      <c r="O47" s="32"/>
      <c r="P47" s="32"/>
      <c r="Q47" s="32"/>
      <c r="R47" s="32"/>
      <c r="S47" s="32"/>
      <c r="T47" s="32"/>
      <c r="U47" s="32"/>
      <c r="V47" s="32"/>
      <c r="W47" s="32"/>
      <c r="X47" s="32"/>
      <c r="Y47" s="32"/>
      <c r="Z47" s="32"/>
      <c r="AA47" s="32"/>
      <c r="AB47" s="32"/>
      <c r="AC47" s="32"/>
      <c r="AD47" s="32"/>
      <c r="AE47" s="32"/>
      <c r="AF47" s="33"/>
      <c r="AG47" s="31"/>
      <c r="AH47" s="32"/>
      <c r="AI47" s="32"/>
      <c r="AJ47" s="32"/>
      <c r="AK47" s="32"/>
      <c r="AL47" s="32"/>
      <c r="AM47" s="32"/>
      <c r="AN47" s="32"/>
      <c r="AO47" s="32"/>
      <c r="AP47" s="32"/>
      <c r="AQ47" s="32"/>
      <c r="AR47" s="32"/>
      <c r="AS47" s="32"/>
      <c r="AT47" s="32"/>
      <c r="AU47" s="32"/>
      <c r="AV47" s="32"/>
      <c r="AW47" s="32"/>
      <c r="AX47" s="32"/>
      <c r="AY47" s="32"/>
      <c r="AZ47" s="33"/>
      <c r="BA47" s="34" t="str">
        <f>IF(BB47&amp;BC47&lt;&gt;"",MAX(BA$5:BA46)+1,"")</f>
        <v/>
      </c>
      <c r="BB47" s="35"/>
      <c r="BC47" s="35"/>
      <c r="BD47" s="50"/>
      <c r="BE47" s="51"/>
      <c r="BF47" s="51"/>
      <c r="BG47" s="50"/>
      <c r="BH47" s="29"/>
      <c r="BI47" s="29"/>
    </row>
    <row r="48" spans="1:61" s="30" customFormat="1" ht="14.25" customHeight="1" x14ac:dyDescent="0.15">
      <c r="A48" s="200"/>
      <c r="B48" s="202"/>
      <c r="C48" s="31"/>
      <c r="D48" s="32"/>
      <c r="E48" s="33"/>
      <c r="F48" s="31"/>
      <c r="G48" s="5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3"/>
      <c r="AG48" s="31"/>
      <c r="AH48" s="32"/>
      <c r="AI48" s="32"/>
      <c r="AJ48" s="32"/>
      <c r="AK48" s="32"/>
      <c r="AL48" s="32"/>
      <c r="AM48" s="32"/>
      <c r="AN48" s="32"/>
      <c r="AO48" s="32"/>
      <c r="AP48" s="32"/>
      <c r="AQ48" s="32"/>
      <c r="AR48" s="32"/>
      <c r="AS48" s="32"/>
      <c r="AT48" s="32"/>
      <c r="AU48" s="32"/>
      <c r="AV48" s="32"/>
      <c r="AW48" s="32"/>
      <c r="AX48" s="32"/>
      <c r="AY48" s="32"/>
      <c r="AZ48" s="33"/>
      <c r="BA48" s="34" t="str">
        <f>IF(BB48&amp;BC48&lt;&gt;"",MAX(BA$5:BA47)+1,"")</f>
        <v/>
      </c>
      <c r="BB48" s="35"/>
      <c r="BC48" s="35"/>
      <c r="BD48" s="36"/>
      <c r="BE48" s="37"/>
      <c r="BF48" s="37"/>
      <c r="BG48" s="36"/>
      <c r="BH48" s="29"/>
      <c r="BI48" s="29"/>
    </row>
    <row r="49" spans="1:61" s="30" customFormat="1" ht="14.25" customHeight="1" x14ac:dyDescent="0.15">
      <c r="A49" s="200"/>
      <c r="B49" s="202"/>
      <c r="C49" s="31"/>
      <c r="D49" s="32"/>
      <c r="E49" s="33"/>
      <c r="F49" s="31"/>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3"/>
      <c r="AG49" s="31"/>
      <c r="AH49" s="32"/>
      <c r="AI49" s="32"/>
      <c r="AJ49" s="32"/>
      <c r="AK49" s="32"/>
      <c r="AL49" s="32"/>
      <c r="AM49" s="32"/>
      <c r="AN49" s="32"/>
      <c r="AO49" s="32"/>
      <c r="AP49" s="32"/>
      <c r="AQ49" s="32"/>
      <c r="AR49" s="32"/>
      <c r="AS49" s="32"/>
      <c r="AT49" s="32"/>
      <c r="AU49" s="32"/>
      <c r="AV49" s="32"/>
      <c r="AW49" s="32"/>
      <c r="AX49" s="32"/>
      <c r="AY49" s="32"/>
      <c r="AZ49" s="33"/>
      <c r="BA49" s="34" t="str">
        <f>IF(BB49&amp;BC49&lt;&gt;"",MAX(BA$5:BA48)+1,"")</f>
        <v/>
      </c>
      <c r="BB49" s="35"/>
      <c r="BC49" s="35"/>
      <c r="BD49" s="50"/>
      <c r="BE49" s="51"/>
      <c r="BF49" s="51"/>
      <c r="BG49" s="50"/>
      <c r="BH49" s="29"/>
      <c r="BI49" s="29"/>
    </row>
    <row r="50" spans="1:61" s="30" customFormat="1" ht="14.25" customHeight="1" x14ac:dyDescent="0.15">
      <c r="A50" s="200"/>
      <c r="B50" s="202"/>
      <c r="C50" s="31"/>
      <c r="D50" s="32"/>
      <c r="E50" s="33"/>
      <c r="F50" s="31"/>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3"/>
      <c r="AG50" s="31"/>
      <c r="AH50" s="32"/>
      <c r="AI50" s="32"/>
      <c r="AJ50" s="32"/>
      <c r="AK50" s="32"/>
      <c r="AL50" s="32"/>
      <c r="AM50" s="32"/>
      <c r="AN50" s="32"/>
      <c r="AO50" s="32"/>
      <c r="AP50" s="32"/>
      <c r="AQ50" s="32"/>
      <c r="AR50" s="32"/>
      <c r="AS50" s="32"/>
      <c r="AT50" s="32"/>
      <c r="AU50" s="32"/>
      <c r="AV50" s="32"/>
      <c r="AW50" s="32"/>
      <c r="AX50" s="32"/>
      <c r="AY50" s="32"/>
      <c r="AZ50" s="33"/>
      <c r="BA50" s="34" t="str">
        <f>IF(BB50&amp;BC50&lt;&gt;"",MAX(BA$5:BA49)+1,"")</f>
        <v/>
      </c>
      <c r="BB50" s="35"/>
      <c r="BC50" s="35"/>
      <c r="BD50" s="50"/>
      <c r="BE50" s="51"/>
      <c r="BF50" s="51"/>
      <c r="BG50" s="50"/>
      <c r="BH50" s="29"/>
      <c r="BI50" s="29"/>
    </row>
    <row r="51" spans="1:61" s="30" customFormat="1" ht="14.25" customHeight="1" x14ac:dyDescent="0.15">
      <c r="A51" s="200" t="s">
        <v>239</v>
      </c>
      <c r="B51" s="202"/>
      <c r="C51" s="148" t="s">
        <v>297</v>
      </c>
      <c r="D51" s="149"/>
      <c r="E51" s="150"/>
      <c r="F51" s="148" t="s">
        <v>298</v>
      </c>
      <c r="G51" s="149"/>
      <c r="H51" s="149"/>
      <c r="I51" s="149"/>
      <c r="J51" s="149"/>
      <c r="K51" s="149"/>
      <c r="L51" s="149"/>
      <c r="M51" s="149"/>
      <c r="N51" s="149"/>
      <c r="O51" s="149"/>
      <c r="P51" s="149"/>
      <c r="Q51" s="149"/>
      <c r="R51" s="149"/>
      <c r="S51" s="149"/>
      <c r="T51" s="149"/>
      <c r="U51" s="149"/>
      <c r="V51" s="149"/>
      <c r="W51" s="149"/>
      <c r="X51" s="149"/>
      <c r="Y51" s="149"/>
      <c r="Z51" s="149"/>
      <c r="AA51" s="149"/>
      <c r="AB51" s="149"/>
      <c r="AC51" s="149"/>
      <c r="AD51" s="149"/>
      <c r="AE51" s="149"/>
      <c r="AF51" s="150"/>
      <c r="AG51" s="31"/>
      <c r="AH51" s="32"/>
      <c r="AI51" s="32"/>
      <c r="AJ51" s="32"/>
      <c r="AK51" s="32"/>
      <c r="AL51" s="32"/>
      <c r="AM51" s="32"/>
      <c r="AN51" s="32"/>
      <c r="AO51" s="32"/>
      <c r="AP51" s="32"/>
      <c r="AQ51" s="32"/>
      <c r="AR51" s="32"/>
      <c r="AS51" s="32"/>
      <c r="AT51" s="32"/>
      <c r="AU51" s="32"/>
      <c r="AV51" s="32"/>
      <c r="AW51" s="32"/>
      <c r="AX51" s="32"/>
      <c r="AY51" s="32"/>
      <c r="AZ51" s="33"/>
      <c r="BA51" s="34" t="str">
        <f>IF(BB51&amp;BC51&lt;&gt;"",MAX(BA$5:BA50)+1,"")</f>
        <v/>
      </c>
      <c r="BB51" s="35"/>
      <c r="BC51" s="35"/>
      <c r="BD51" s="36"/>
      <c r="BE51" s="37"/>
      <c r="BF51" s="37"/>
      <c r="BG51" s="36"/>
      <c r="BH51" s="29"/>
      <c r="BI51" s="29"/>
    </row>
    <row r="52" spans="1:61" s="30" customFormat="1" ht="14.25" customHeight="1" x14ac:dyDescent="0.15">
      <c r="A52" s="200"/>
      <c r="B52" s="202"/>
      <c r="C52" s="148"/>
      <c r="D52" s="149"/>
      <c r="E52" s="150"/>
      <c r="F52" s="148"/>
      <c r="G52" s="149"/>
      <c r="H52" s="149"/>
      <c r="I52" s="149"/>
      <c r="J52" s="149"/>
      <c r="K52" s="149"/>
      <c r="L52" s="149"/>
      <c r="M52" s="149"/>
      <c r="N52" s="149"/>
      <c r="O52" s="149"/>
      <c r="P52" s="149"/>
      <c r="Q52" s="149"/>
      <c r="R52" s="149"/>
      <c r="S52" s="149"/>
      <c r="T52" s="149"/>
      <c r="U52" s="149"/>
      <c r="V52" s="149"/>
      <c r="W52" s="149"/>
      <c r="X52" s="149"/>
      <c r="Y52" s="149"/>
      <c r="Z52" s="149"/>
      <c r="AA52" s="149"/>
      <c r="AB52" s="149"/>
      <c r="AC52" s="149"/>
      <c r="AD52" s="149"/>
      <c r="AE52" s="149"/>
      <c r="AF52" s="150"/>
      <c r="AG52" s="31"/>
      <c r="AH52" s="32"/>
      <c r="AI52" s="32"/>
      <c r="AJ52" s="32"/>
      <c r="AK52" s="32"/>
      <c r="AL52" s="32"/>
      <c r="AM52" s="32"/>
      <c r="AN52" s="32"/>
      <c r="AO52" s="32"/>
      <c r="AP52" s="32"/>
      <c r="AQ52" s="32"/>
      <c r="AR52" s="32"/>
      <c r="AS52" s="32"/>
      <c r="AT52" s="32"/>
      <c r="AU52" s="32"/>
      <c r="AV52" s="32"/>
      <c r="AW52" s="32"/>
      <c r="AX52" s="32"/>
      <c r="AY52" s="32"/>
      <c r="AZ52" s="33"/>
      <c r="BA52" s="34" t="str">
        <f>IF(BB52&amp;BC52&lt;&gt;"",MAX(BA$5:BA51)+1,"")</f>
        <v/>
      </c>
      <c r="BB52" s="35"/>
      <c r="BC52" s="35"/>
      <c r="BD52" s="50"/>
      <c r="BE52" s="51"/>
      <c r="BF52" s="51"/>
      <c r="BG52" s="50"/>
      <c r="BH52" s="29"/>
      <c r="BI52" s="29"/>
    </row>
    <row r="53" spans="1:61" s="30" customFormat="1" ht="14.25" customHeight="1" x14ac:dyDescent="0.15">
      <c r="A53" s="200"/>
      <c r="B53" s="202"/>
      <c r="C53" s="148"/>
      <c r="D53" s="149"/>
      <c r="E53" s="150"/>
      <c r="F53" s="148" t="s">
        <v>299</v>
      </c>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c r="AE53" s="149"/>
      <c r="AF53" s="150"/>
      <c r="AG53" s="148"/>
      <c r="AH53" s="149"/>
      <c r="AI53" s="149"/>
      <c r="AJ53" s="149"/>
      <c r="AK53" s="149"/>
      <c r="AL53" s="149"/>
      <c r="AM53" s="149"/>
      <c r="AN53" s="149"/>
      <c r="AO53" s="149"/>
      <c r="AP53" s="149"/>
      <c r="AQ53" s="149"/>
      <c r="AR53" s="149"/>
      <c r="AS53" s="149"/>
      <c r="AT53" s="149"/>
      <c r="AU53" s="149"/>
      <c r="AV53" s="149"/>
      <c r="AW53" s="149"/>
      <c r="AX53" s="149"/>
      <c r="AY53" s="149"/>
      <c r="AZ53" s="150"/>
      <c r="BA53" s="34" t="str">
        <f>IF(BB53&amp;BC53&lt;&gt;"",MAX(BA$5:BA52)+1,"")</f>
        <v/>
      </c>
      <c r="BB53" s="35"/>
      <c r="BC53" s="35"/>
      <c r="BD53" s="50"/>
      <c r="BE53" s="51"/>
      <c r="BF53" s="51"/>
      <c r="BG53" s="50"/>
      <c r="BH53" s="29"/>
      <c r="BI53" s="29"/>
    </row>
    <row r="54" spans="1:61" s="30" customFormat="1" ht="14.25" customHeight="1" x14ac:dyDescent="0.15">
      <c r="A54" s="200"/>
      <c r="B54" s="202"/>
      <c r="C54" s="148"/>
      <c r="D54" s="149"/>
      <c r="E54" s="150"/>
      <c r="F54" s="148"/>
      <c r="G54" s="149" t="s">
        <v>284</v>
      </c>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50"/>
      <c r="AG54" s="148"/>
      <c r="AH54" s="149"/>
      <c r="AI54" s="149"/>
      <c r="AJ54" s="149"/>
      <c r="AK54" s="149"/>
      <c r="AL54" s="149"/>
      <c r="AM54" s="149"/>
      <c r="AN54" s="149"/>
      <c r="AO54" s="149"/>
      <c r="AP54" s="149"/>
      <c r="AQ54" s="149"/>
      <c r="AR54" s="149"/>
      <c r="AS54" s="149"/>
      <c r="AT54" s="149"/>
      <c r="AU54" s="149"/>
      <c r="AV54" s="149"/>
      <c r="AW54" s="149"/>
      <c r="AX54" s="149"/>
      <c r="AY54" s="149"/>
      <c r="AZ54" s="150"/>
      <c r="BA54" s="34" t="str">
        <f>IF(BB54&amp;BC54&lt;&gt;"",MAX(BA$5:BA53)+1,"")</f>
        <v/>
      </c>
      <c r="BB54" s="35"/>
      <c r="BC54" s="35"/>
      <c r="BD54" s="50"/>
      <c r="BE54" s="51"/>
      <c r="BF54" s="51"/>
      <c r="BG54" s="50"/>
      <c r="BH54" s="29"/>
      <c r="BI54" s="29"/>
    </row>
    <row r="55" spans="1:61" s="30" customFormat="1" ht="14.25" customHeight="1" x14ac:dyDescent="0.15">
      <c r="A55" s="379"/>
      <c r="B55" s="380"/>
      <c r="C55" s="39"/>
      <c r="D55" s="40"/>
      <c r="E55" s="41"/>
      <c r="F55" s="148"/>
      <c r="G55" s="149"/>
      <c r="H55" s="149"/>
      <c r="I55" s="149"/>
      <c r="J55" s="149"/>
      <c r="K55" s="149"/>
      <c r="L55" s="149"/>
      <c r="M55" s="149"/>
      <c r="N55" s="149"/>
      <c r="O55" s="149"/>
      <c r="P55" s="149"/>
      <c r="Q55" s="149"/>
      <c r="R55" s="149"/>
      <c r="S55" s="149"/>
      <c r="T55" s="149"/>
      <c r="U55" s="149"/>
      <c r="V55" s="149"/>
      <c r="W55" s="149"/>
      <c r="X55" s="149"/>
      <c r="Y55" s="149"/>
      <c r="Z55" s="149"/>
      <c r="AA55" s="149"/>
      <c r="AB55" s="149"/>
      <c r="AC55" s="149"/>
      <c r="AD55" s="149"/>
      <c r="AE55" s="149"/>
      <c r="AF55" s="41"/>
      <c r="AG55" s="148"/>
      <c r="AH55" s="149"/>
      <c r="AI55" s="149"/>
      <c r="AJ55" s="149"/>
      <c r="AK55" s="149"/>
      <c r="AL55" s="149"/>
      <c r="AM55" s="149"/>
      <c r="AN55" s="149"/>
      <c r="AO55" s="149"/>
      <c r="AP55" s="149"/>
      <c r="AQ55" s="149"/>
      <c r="AR55" s="149"/>
      <c r="AS55" s="149"/>
      <c r="AT55" s="149"/>
      <c r="AU55" s="149"/>
      <c r="AV55" s="149"/>
      <c r="AW55" s="149"/>
      <c r="AX55" s="149"/>
      <c r="AY55" s="149"/>
      <c r="AZ55" s="150"/>
      <c r="BA55" s="34" t="str">
        <f>IF(BB55&amp;BC55&lt;&gt;"",MAX(BA$5:BA54)+1,"")</f>
        <v/>
      </c>
      <c r="BB55" s="35"/>
      <c r="BC55" s="35"/>
      <c r="BD55" s="50"/>
      <c r="BE55" s="51"/>
      <c r="BF55" s="51"/>
      <c r="BG55" s="50"/>
      <c r="BH55" s="29"/>
      <c r="BI55" s="29"/>
    </row>
    <row r="56" spans="1:61" s="30" customFormat="1" ht="14.25" customHeight="1" x14ac:dyDescent="0.15">
      <c r="A56" s="200"/>
      <c r="B56" s="202"/>
      <c r="C56" s="148"/>
      <c r="D56" s="149"/>
      <c r="E56" s="150"/>
      <c r="F56" s="148" t="s">
        <v>300</v>
      </c>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50"/>
      <c r="AG56" s="148"/>
      <c r="AH56" s="149"/>
      <c r="AI56" s="149"/>
      <c r="AJ56" s="149"/>
      <c r="AK56" s="149"/>
      <c r="AL56" s="149"/>
      <c r="AM56" s="149"/>
      <c r="AN56" s="149"/>
      <c r="AO56" s="149"/>
      <c r="AP56" s="149"/>
      <c r="AQ56" s="149"/>
      <c r="AR56" s="149"/>
      <c r="AS56" s="149"/>
      <c r="AT56" s="149"/>
      <c r="AU56" s="149"/>
      <c r="AV56" s="149"/>
      <c r="AW56" s="149"/>
      <c r="AX56" s="149"/>
      <c r="AY56" s="149"/>
      <c r="AZ56" s="150"/>
      <c r="BA56" s="34" t="str">
        <f>IF(BB56&amp;BC56&lt;&gt;"",MAX(BA$5:BA55)+1,"")</f>
        <v/>
      </c>
      <c r="BB56" s="35"/>
      <c r="BC56" s="35"/>
      <c r="BD56" s="50"/>
      <c r="BE56" s="51"/>
      <c r="BF56" s="51"/>
      <c r="BG56" s="50"/>
      <c r="BH56" s="29"/>
      <c r="BI56" s="29"/>
    </row>
    <row r="57" spans="1:61" s="30" customFormat="1" ht="14.25" customHeight="1" x14ac:dyDescent="0.15">
      <c r="A57" s="200"/>
      <c r="B57" s="202"/>
      <c r="C57" s="148"/>
      <c r="D57" s="149"/>
      <c r="E57" s="150"/>
      <c r="F57" s="148"/>
      <c r="G57" s="149" t="s">
        <v>271</v>
      </c>
      <c r="H57" s="149" t="s">
        <v>272</v>
      </c>
      <c r="I57" s="149"/>
      <c r="J57" s="149"/>
      <c r="K57" s="149"/>
      <c r="L57" s="149"/>
      <c r="M57" s="149"/>
      <c r="N57" s="149"/>
      <c r="O57" s="149" t="s">
        <v>184</v>
      </c>
      <c r="P57" s="149"/>
      <c r="Q57" s="149" t="s">
        <v>301</v>
      </c>
      <c r="R57" s="149"/>
      <c r="S57" s="149"/>
      <c r="T57" s="149"/>
      <c r="U57" s="149"/>
      <c r="V57" s="149"/>
      <c r="W57" s="149"/>
      <c r="X57" s="149"/>
      <c r="Y57" s="149"/>
      <c r="Z57" s="149"/>
      <c r="AA57" s="149"/>
      <c r="AB57" s="149"/>
      <c r="AC57" s="149"/>
      <c r="AD57" s="149"/>
      <c r="AE57" s="149"/>
      <c r="AF57" s="150"/>
      <c r="AG57" s="148"/>
      <c r="AH57" s="149"/>
      <c r="AI57" s="149"/>
      <c r="AJ57" s="149"/>
      <c r="AK57" s="149"/>
      <c r="AL57" s="149"/>
      <c r="AM57" s="149"/>
      <c r="AN57" s="149"/>
      <c r="AO57" s="149"/>
      <c r="AP57" s="149"/>
      <c r="AQ57" s="149"/>
      <c r="AR57" s="149"/>
      <c r="AS57" s="149"/>
      <c r="AT57" s="149"/>
      <c r="AU57" s="149"/>
      <c r="AV57" s="149"/>
      <c r="AW57" s="149"/>
      <c r="AX57" s="149"/>
      <c r="AY57" s="149"/>
      <c r="AZ57" s="150"/>
      <c r="BA57" s="34" t="str">
        <f>IF(BB57&amp;BC57&lt;&gt;"",MAX(BA$5:BA56)+1,"")</f>
        <v/>
      </c>
      <c r="BB57" s="35"/>
      <c r="BC57" s="35"/>
      <c r="BD57" s="50"/>
      <c r="BE57" s="51"/>
      <c r="BF57" s="51"/>
      <c r="BG57" s="50"/>
      <c r="BH57" s="29"/>
      <c r="BI57" s="29"/>
    </row>
    <row r="58" spans="1:61" s="30" customFormat="1" ht="14.25" customHeight="1" x14ac:dyDescent="0.15">
      <c r="A58" s="200"/>
      <c r="B58" s="202"/>
      <c r="C58" s="148"/>
      <c r="D58" s="149"/>
      <c r="E58" s="150"/>
      <c r="F58" s="148"/>
      <c r="G58" s="149" t="s">
        <v>271</v>
      </c>
      <c r="H58" s="149" t="s">
        <v>93</v>
      </c>
      <c r="I58" s="149"/>
      <c r="J58" s="149"/>
      <c r="K58" s="149"/>
      <c r="L58" s="149"/>
      <c r="M58" s="149"/>
      <c r="N58" s="149"/>
      <c r="O58" s="149" t="s">
        <v>184</v>
      </c>
      <c r="P58" s="149"/>
      <c r="Q58" s="149" t="s">
        <v>302</v>
      </c>
      <c r="R58" s="149"/>
      <c r="S58" s="149"/>
      <c r="T58" s="149"/>
      <c r="U58" s="149"/>
      <c r="V58" s="149"/>
      <c r="W58" s="149"/>
      <c r="X58" s="149"/>
      <c r="Y58" s="149"/>
      <c r="Z58" s="149"/>
      <c r="AA58" s="149"/>
      <c r="AB58" s="149"/>
      <c r="AC58" s="149"/>
      <c r="AD58" s="149"/>
      <c r="AE58" s="149"/>
      <c r="AF58" s="150"/>
      <c r="AG58" s="148"/>
      <c r="AH58" s="149"/>
      <c r="AI58" s="149"/>
      <c r="AJ58" s="149"/>
      <c r="AK58" s="149"/>
      <c r="AL58" s="149"/>
      <c r="AM58" s="149"/>
      <c r="AN58" s="149"/>
      <c r="AO58" s="149"/>
      <c r="AP58" s="149"/>
      <c r="AQ58" s="149"/>
      <c r="AR58" s="149"/>
      <c r="AS58" s="149"/>
      <c r="AT58" s="149"/>
      <c r="AU58" s="149"/>
      <c r="AV58" s="149"/>
      <c r="AW58" s="149"/>
      <c r="AX58" s="149"/>
      <c r="AY58" s="149"/>
      <c r="AZ58" s="150"/>
      <c r="BA58" s="34" t="str">
        <f>IF(BB58&amp;BC58&lt;&gt;"",MAX(BA$5:BA57)+1,"")</f>
        <v/>
      </c>
      <c r="BB58" s="35"/>
      <c r="BC58" s="35"/>
      <c r="BD58" s="50"/>
      <c r="BE58" s="51"/>
      <c r="BF58" s="51"/>
      <c r="BG58" s="50"/>
      <c r="BH58" s="29"/>
      <c r="BI58" s="29"/>
    </row>
    <row r="59" spans="1:61" s="30" customFormat="1" ht="14.25" customHeight="1" x14ac:dyDescent="0.15">
      <c r="A59" s="200"/>
      <c r="B59" s="202"/>
      <c r="C59" s="148"/>
      <c r="D59" s="149"/>
      <c r="E59" s="150"/>
      <c r="F59" s="148"/>
      <c r="G59" s="149" t="s">
        <v>271</v>
      </c>
      <c r="H59" s="149" t="s">
        <v>91</v>
      </c>
      <c r="I59" s="149"/>
      <c r="J59" s="149"/>
      <c r="K59" s="149"/>
      <c r="L59" s="149"/>
      <c r="M59" s="149"/>
      <c r="N59" s="149"/>
      <c r="O59" s="149" t="s">
        <v>184</v>
      </c>
      <c r="P59" s="149"/>
      <c r="Q59" s="149" t="s">
        <v>303</v>
      </c>
      <c r="R59" s="149"/>
      <c r="S59" s="149"/>
      <c r="T59" s="149"/>
      <c r="U59" s="149"/>
      <c r="V59" s="149"/>
      <c r="W59" s="149"/>
      <c r="X59" s="149"/>
      <c r="Y59" s="149"/>
      <c r="Z59" s="149"/>
      <c r="AA59" s="149"/>
      <c r="AB59" s="149"/>
      <c r="AC59" s="149"/>
      <c r="AD59" s="149"/>
      <c r="AE59" s="149"/>
      <c r="AF59" s="150"/>
      <c r="AG59" s="148"/>
      <c r="AH59" s="149"/>
      <c r="AI59" s="149"/>
      <c r="AJ59" s="149"/>
      <c r="AK59" s="149"/>
      <c r="AL59" s="149"/>
      <c r="AM59" s="149"/>
      <c r="AN59" s="149"/>
      <c r="AO59" s="149"/>
      <c r="AP59" s="149"/>
      <c r="AQ59" s="149"/>
      <c r="AR59" s="149"/>
      <c r="AS59" s="149"/>
      <c r="AT59" s="149"/>
      <c r="AU59" s="149"/>
      <c r="AV59" s="149"/>
      <c r="AW59" s="149"/>
      <c r="AX59" s="149"/>
      <c r="AY59" s="149"/>
      <c r="AZ59" s="150"/>
      <c r="BA59" s="34" t="str">
        <f>IF(BB59&amp;BC59&lt;&gt;"",MAX(BA$5:BA58)+1,"")</f>
        <v/>
      </c>
      <c r="BB59" s="35"/>
      <c r="BC59" s="35"/>
      <c r="BD59" s="50"/>
      <c r="BE59" s="51"/>
      <c r="BF59" s="51"/>
      <c r="BG59" s="50"/>
      <c r="BH59" s="29"/>
      <c r="BI59" s="29"/>
    </row>
    <row r="60" spans="1:61" s="30" customFormat="1" ht="14.25" customHeight="1" x14ac:dyDescent="0.15">
      <c r="A60" s="200"/>
      <c r="B60" s="202"/>
      <c r="C60" s="148"/>
      <c r="D60" s="149"/>
      <c r="E60" s="150"/>
      <c r="F60" s="148"/>
      <c r="G60" s="149" t="s">
        <v>271</v>
      </c>
      <c r="H60" s="149" t="s">
        <v>92</v>
      </c>
      <c r="I60" s="149"/>
      <c r="J60" s="149"/>
      <c r="K60" s="149"/>
      <c r="L60" s="149"/>
      <c r="M60" s="149"/>
      <c r="N60" s="149"/>
      <c r="O60" s="149" t="s">
        <v>184</v>
      </c>
      <c r="P60" s="149"/>
      <c r="Q60" s="149" t="s">
        <v>304</v>
      </c>
      <c r="R60" s="149"/>
      <c r="S60" s="149"/>
      <c r="T60" s="149"/>
      <c r="U60" s="149"/>
      <c r="V60" s="149"/>
      <c r="W60" s="149"/>
      <c r="X60" s="149"/>
      <c r="Y60" s="149"/>
      <c r="Z60" s="149"/>
      <c r="AA60" s="149"/>
      <c r="AB60" s="149"/>
      <c r="AC60" s="149"/>
      <c r="AD60" s="149"/>
      <c r="AE60" s="149"/>
      <c r="AF60" s="150"/>
      <c r="AG60" s="148"/>
      <c r="AH60" s="149"/>
      <c r="AI60" s="149"/>
      <c r="AJ60" s="149"/>
      <c r="AK60" s="149"/>
      <c r="AL60" s="149"/>
      <c r="AM60" s="149"/>
      <c r="AN60" s="149"/>
      <c r="AO60" s="149"/>
      <c r="AP60" s="149"/>
      <c r="AQ60" s="149"/>
      <c r="AR60" s="149"/>
      <c r="AS60" s="149"/>
      <c r="AT60" s="149"/>
      <c r="AU60" s="149"/>
      <c r="AV60" s="149"/>
      <c r="AW60" s="149"/>
      <c r="AX60" s="149"/>
      <c r="AY60" s="149"/>
      <c r="AZ60" s="150"/>
      <c r="BA60" s="34" t="str">
        <f>IF(BB60&amp;BC60&lt;&gt;"",MAX(BA$5:BA59)+1,"")</f>
        <v/>
      </c>
      <c r="BB60" s="35"/>
      <c r="BC60" s="35"/>
      <c r="BD60" s="50"/>
      <c r="BE60" s="51"/>
      <c r="BF60" s="51"/>
      <c r="BG60" s="50"/>
      <c r="BH60" s="29"/>
      <c r="BI60" s="29"/>
    </row>
    <row r="61" spans="1:61" s="30" customFormat="1" ht="14.25" customHeight="1" x14ac:dyDescent="0.15">
      <c r="A61" s="200"/>
      <c r="B61" s="202"/>
      <c r="C61" s="148"/>
      <c r="D61" s="149"/>
      <c r="E61" s="150"/>
      <c r="F61" s="148"/>
      <c r="G61" s="149" t="s">
        <v>271</v>
      </c>
      <c r="H61" s="149" t="s">
        <v>132</v>
      </c>
      <c r="I61" s="149"/>
      <c r="J61" s="149"/>
      <c r="K61" s="149"/>
      <c r="L61" s="149"/>
      <c r="M61" s="149"/>
      <c r="N61" s="149"/>
      <c r="O61" s="149" t="s">
        <v>184</v>
      </c>
      <c r="P61" s="149"/>
      <c r="Q61" s="149" t="s">
        <v>305</v>
      </c>
      <c r="R61" s="149"/>
      <c r="S61" s="149"/>
      <c r="T61" s="149"/>
      <c r="U61" s="149"/>
      <c r="V61" s="149"/>
      <c r="W61" s="149"/>
      <c r="X61" s="149"/>
      <c r="Y61" s="149"/>
      <c r="Z61" s="149"/>
      <c r="AA61" s="149"/>
      <c r="AB61" s="149"/>
      <c r="AC61" s="149"/>
      <c r="AD61" s="149"/>
      <c r="AE61" s="149"/>
      <c r="AF61" s="150"/>
      <c r="AG61" s="148"/>
      <c r="AH61" s="149"/>
      <c r="AI61" s="149"/>
      <c r="AJ61" s="149"/>
      <c r="AK61" s="149"/>
      <c r="AL61" s="149"/>
      <c r="AM61" s="149"/>
      <c r="AN61" s="149"/>
      <c r="AO61" s="149"/>
      <c r="AP61" s="149"/>
      <c r="AQ61" s="149"/>
      <c r="AR61" s="149"/>
      <c r="AS61" s="149"/>
      <c r="AT61" s="149"/>
      <c r="AU61" s="149"/>
      <c r="AV61" s="149"/>
      <c r="AW61" s="149"/>
      <c r="AX61" s="149"/>
      <c r="AY61" s="149"/>
      <c r="AZ61" s="150"/>
      <c r="BA61" s="34" t="str">
        <f>IF(BB61&amp;BC61&lt;&gt;"",MAX(BA$5:BA60)+1,"")</f>
        <v/>
      </c>
      <c r="BB61" s="35"/>
      <c r="BC61" s="35"/>
      <c r="BD61" s="50"/>
      <c r="BE61" s="51"/>
      <c r="BF61" s="51"/>
      <c r="BG61" s="50"/>
      <c r="BH61" s="29"/>
      <c r="BI61" s="29"/>
    </row>
    <row r="62" spans="1:61" s="30" customFormat="1" ht="14.25" customHeight="1" x14ac:dyDescent="0.15">
      <c r="A62" s="200"/>
      <c r="B62" s="202"/>
      <c r="C62" s="148"/>
      <c r="D62" s="149"/>
      <c r="E62" s="150"/>
      <c r="F62" s="148"/>
      <c r="G62" s="149" t="s">
        <v>271</v>
      </c>
      <c r="H62" s="149" t="s">
        <v>94</v>
      </c>
      <c r="I62" s="149"/>
      <c r="J62" s="149"/>
      <c r="K62" s="149"/>
      <c r="L62" s="149"/>
      <c r="M62" s="149"/>
      <c r="N62" s="149"/>
      <c r="O62" s="149" t="s">
        <v>184</v>
      </c>
      <c r="P62" s="149"/>
      <c r="Q62" s="151" t="s">
        <v>403</v>
      </c>
      <c r="R62" s="149"/>
      <c r="S62" s="149"/>
      <c r="T62" s="149"/>
      <c r="U62" s="149"/>
      <c r="V62" s="149"/>
      <c r="W62" s="149"/>
      <c r="X62" s="149"/>
      <c r="Y62" s="149"/>
      <c r="Z62" s="149"/>
      <c r="AA62" s="149"/>
      <c r="AB62" s="149"/>
      <c r="AC62" s="149"/>
      <c r="AD62" s="149"/>
      <c r="AE62" s="149"/>
      <c r="AF62" s="150"/>
      <c r="AG62" s="148"/>
      <c r="AH62" s="149"/>
      <c r="AI62" s="149"/>
      <c r="AJ62" s="149"/>
      <c r="AK62" s="149"/>
      <c r="AL62" s="149"/>
      <c r="AM62" s="149"/>
      <c r="AN62" s="149"/>
      <c r="AO62" s="149"/>
      <c r="AP62" s="149"/>
      <c r="AQ62" s="149"/>
      <c r="AR62" s="149"/>
      <c r="AS62" s="149"/>
      <c r="AT62" s="149"/>
      <c r="AU62" s="149"/>
      <c r="AV62" s="149"/>
      <c r="AW62" s="149"/>
      <c r="AX62" s="149"/>
      <c r="AY62" s="149"/>
      <c r="AZ62" s="150"/>
      <c r="BA62" s="34" t="str">
        <f>IF(BB62&amp;BC62&lt;&gt;"",MAX(BA$5:BA61)+1,"")</f>
        <v/>
      </c>
      <c r="BB62" s="35"/>
      <c r="BC62" s="35"/>
      <c r="BD62" s="50"/>
      <c r="BE62" s="51"/>
      <c r="BF62" s="51"/>
      <c r="BG62" s="50"/>
      <c r="BH62" s="29"/>
      <c r="BI62" s="29"/>
    </row>
    <row r="63" spans="1:61" s="30" customFormat="1" ht="14.25" customHeight="1" x14ac:dyDescent="0.15">
      <c r="A63" s="200"/>
      <c r="B63" s="202"/>
      <c r="C63" s="148"/>
      <c r="D63" s="149"/>
      <c r="E63" s="150"/>
      <c r="F63" s="148"/>
      <c r="G63" s="149" t="s">
        <v>271</v>
      </c>
      <c r="H63" s="149" t="s">
        <v>280</v>
      </c>
      <c r="I63" s="149"/>
      <c r="J63" s="149"/>
      <c r="K63" s="149"/>
      <c r="L63" s="149"/>
      <c r="M63" s="149"/>
      <c r="N63" s="149"/>
      <c r="O63" s="149" t="s">
        <v>184</v>
      </c>
      <c r="P63" s="149"/>
      <c r="Q63" s="149" t="s">
        <v>307</v>
      </c>
      <c r="R63" s="149"/>
      <c r="S63" s="149"/>
      <c r="T63" s="149"/>
      <c r="U63" s="149"/>
      <c r="V63" s="149"/>
      <c r="W63" s="149"/>
      <c r="X63" s="149"/>
      <c r="Y63" s="149"/>
      <c r="Z63" s="149"/>
      <c r="AA63" s="149"/>
      <c r="AB63" s="149"/>
      <c r="AC63" s="149"/>
      <c r="AD63" s="149"/>
      <c r="AE63" s="149"/>
      <c r="AF63" s="150"/>
      <c r="AG63" s="148"/>
      <c r="AH63" s="149"/>
      <c r="AI63" s="149"/>
      <c r="AJ63" s="149"/>
      <c r="AK63" s="149"/>
      <c r="AL63" s="149"/>
      <c r="AM63" s="149"/>
      <c r="AN63" s="149"/>
      <c r="AO63" s="149"/>
      <c r="AP63" s="149"/>
      <c r="AQ63" s="149"/>
      <c r="AR63" s="149"/>
      <c r="AS63" s="149"/>
      <c r="AT63" s="149"/>
      <c r="AU63" s="149"/>
      <c r="AV63" s="149"/>
      <c r="AW63" s="149"/>
      <c r="AX63" s="149"/>
      <c r="AY63" s="149"/>
      <c r="AZ63" s="150"/>
      <c r="BA63" s="34" t="str">
        <f>IF(BB63&amp;BC63&lt;&gt;"",MAX(BA$5:BA62)+1,"")</f>
        <v/>
      </c>
      <c r="BB63" s="35"/>
      <c r="BC63" s="35"/>
      <c r="BD63" s="50"/>
      <c r="BE63" s="51"/>
      <c r="BF63" s="51"/>
      <c r="BG63" s="50"/>
      <c r="BH63" s="29"/>
      <c r="BI63" s="29"/>
    </row>
    <row r="64" spans="1:61" s="30" customFormat="1" ht="14.25" customHeight="1" x14ac:dyDescent="0.15">
      <c r="A64" s="200"/>
      <c r="B64" s="202"/>
      <c r="C64" s="148"/>
      <c r="D64" s="149"/>
      <c r="E64" s="150"/>
      <c r="F64" s="148"/>
      <c r="G64" s="149"/>
      <c r="H64" s="149"/>
      <c r="I64" s="149"/>
      <c r="J64" s="149"/>
      <c r="K64" s="149"/>
      <c r="L64" s="149"/>
      <c r="M64" s="149"/>
      <c r="N64" s="149"/>
      <c r="O64" s="149"/>
      <c r="P64" s="149"/>
      <c r="Q64" s="149"/>
      <c r="R64" s="43" t="s">
        <v>308</v>
      </c>
      <c r="S64" s="149"/>
      <c r="T64" s="149"/>
      <c r="U64" s="149"/>
      <c r="V64" s="149"/>
      <c r="W64" s="149"/>
      <c r="X64" s="149"/>
      <c r="Y64" s="149"/>
      <c r="Z64" s="149"/>
      <c r="AA64" s="149"/>
      <c r="AB64" s="149"/>
      <c r="AC64" s="149"/>
      <c r="AD64" s="149"/>
      <c r="AE64" s="149"/>
      <c r="AF64" s="150"/>
      <c r="AG64" s="148"/>
      <c r="AH64" s="149"/>
      <c r="AI64" s="149"/>
      <c r="AJ64" s="149"/>
      <c r="AK64" s="149"/>
      <c r="AL64" s="149"/>
      <c r="AM64" s="149"/>
      <c r="AN64" s="149"/>
      <c r="AO64" s="149"/>
      <c r="AP64" s="149"/>
      <c r="AQ64" s="149"/>
      <c r="AR64" s="149"/>
      <c r="AS64" s="149"/>
      <c r="AT64" s="149"/>
      <c r="AU64" s="149"/>
      <c r="AV64" s="149"/>
      <c r="AW64" s="149"/>
      <c r="AX64" s="149"/>
      <c r="AY64" s="149"/>
      <c r="AZ64" s="150"/>
      <c r="BA64" s="34" t="str">
        <f>IF(BB64&amp;BC64&lt;&gt;"",MAX(BA$5:BA63)+1,"")</f>
        <v/>
      </c>
      <c r="BB64" s="35"/>
      <c r="BC64" s="35"/>
      <c r="BD64" s="50"/>
      <c r="BE64" s="51"/>
      <c r="BF64" s="51"/>
      <c r="BG64" s="50"/>
      <c r="BH64" s="29"/>
      <c r="BI64" s="29"/>
    </row>
    <row r="65" spans="1:61" s="30" customFormat="1" ht="14.25" customHeight="1" x14ac:dyDescent="0.15">
      <c r="A65" s="200"/>
      <c r="B65" s="202"/>
      <c r="C65" s="148"/>
      <c r="D65" s="149"/>
      <c r="E65" s="150"/>
      <c r="F65" s="148"/>
      <c r="G65" s="149"/>
      <c r="H65" s="149"/>
      <c r="I65" s="149"/>
      <c r="J65" s="149"/>
      <c r="K65" s="149"/>
      <c r="L65" s="149"/>
      <c r="M65" s="149"/>
      <c r="N65" s="149"/>
      <c r="O65" s="149"/>
      <c r="P65" s="149"/>
      <c r="Q65" s="149" t="s">
        <v>309</v>
      </c>
      <c r="R65" s="149"/>
      <c r="S65" s="149"/>
      <c r="T65" s="149"/>
      <c r="U65" s="149"/>
      <c r="V65" s="149"/>
      <c r="W65" s="149"/>
      <c r="X65" s="149"/>
      <c r="Y65" s="149"/>
      <c r="Z65" s="149"/>
      <c r="AA65" s="149"/>
      <c r="AB65" s="149"/>
      <c r="AC65" s="149"/>
      <c r="AD65" s="149"/>
      <c r="AE65" s="149"/>
      <c r="AF65" s="150"/>
      <c r="AG65" s="148"/>
      <c r="AH65" s="149"/>
      <c r="AI65" s="149"/>
      <c r="AJ65" s="149"/>
      <c r="AK65" s="149"/>
      <c r="AL65" s="149"/>
      <c r="AM65" s="149"/>
      <c r="AN65" s="149"/>
      <c r="AO65" s="149"/>
      <c r="AP65" s="149"/>
      <c r="AQ65" s="149"/>
      <c r="AR65" s="149"/>
      <c r="AS65" s="149"/>
      <c r="AT65" s="149"/>
      <c r="AU65" s="149"/>
      <c r="AV65" s="149"/>
      <c r="AW65" s="149"/>
      <c r="AX65" s="149"/>
      <c r="AY65" s="149"/>
      <c r="AZ65" s="150"/>
      <c r="BA65" s="34" t="str">
        <f>IF(BB65&amp;BC65&lt;&gt;"",MAX(BA$5:BA64)+1,"")</f>
        <v/>
      </c>
      <c r="BB65" s="35"/>
      <c r="BC65" s="35"/>
      <c r="BD65" s="50"/>
      <c r="BE65" s="51"/>
      <c r="BF65" s="51"/>
      <c r="BG65" s="50"/>
      <c r="BH65" s="29"/>
      <c r="BI65" s="29"/>
    </row>
    <row r="66" spans="1:61" s="30" customFormat="1" ht="14.25" customHeight="1" x14ac:dyDescent="0.15">
      <c r="A66" s="200"/>
      <c r="B66" s="202"/>
      <c r="C66" s="148"/>
      <c r="D66" s="149"/>
      <c r="E66" s="150"/>
      <c r="F66" s="148"/>
      <c r="G66" s="149"/>
      <c r="H66" s="149"/>
      <c r="I66" s="149"/>
      <c r="J66" s="149"/>
      <c r="K66" s="149"/>
      <c r="L66" s="149"/>
      <c r="M66" s="149"/>
      <c r="N66" s="149"/>
      <c r="O66" s="149"/>
      <c r="P66" s="149"/>
      <c r="Q66" s="149"/>
      <c r="R66" s="43" t="s">
        <v>310</v>
      </c>
      <c r="S66" s="149"/>
      <c r="T66" s="149"/>
      <c r="U66" s="149"/>
      <c r="V66" s="149"/>
      <c r="W66" s="149"/>
      <c r="X66" s="149"/>
      <c r="Y66" s="149"/>
      <c r="Z66" s="149"/>
      <c r="AA66" s="149"/>
      <c r="AB66" s="149"/>
      <c r="AC66" s="149"/>
      <c r="AD66" s="149"/>
      <c r="AE66" s="149"/>
      <c r="AF66" s="150"/>
      <c r="AG66" s="148"/>
      <c r="AH66" s="149"/>
      <c r="AI66" s="149"/>
      <c r="AJ66" s="149"/>
      <c r="AK66" s="149"/>
      <c r="AL66" s="149"/>
      <c r="AM66" s="149"/>
      <c r="AN66" s="149"/>
      <c r="AO66" s="149"/>
      <c r="AP66" s="149"/>
      <c r="AQ66" s="149"/>
      <c r="AR66" s="149"/>
      <c r="AS66" s="149"/>
      <c r="AT66" s="149"/>
      <c r="AU66" s="149"/>
      <c r="AV66" s="149"/>
      <c r="AW66" s="149"/>
      <c r="AX66" s="149"/>
      <c r="AY66" s="149"/>
      <c r="AZ66" s="150"/>
      <c r="BA66" s="34" t="str">
        <f>IF(BB66&amp;BC66&lt;&gt;"",MAX(BA$5:BA65)+1,"")</f>
        <v/>
      </c>
      <c r="BB66" s="35"/>
      <c r="BC66" s="35"/>
      <c r="BD66" s="50"/>
      <c r="BE66" s="51"/>
      <c r="BF66" s="51"/>
      <c r="BG66" s="50"/>
      <c r="BH66" s="29"/>
      <c r="BI66" s="29"/>
    </row>
    <row r="67" spans="1:61" s="30" customFormat="1" ht="14.25" customHeight="1" x14ac:dyDescent="0.15">
      <c r="A67" s="200"/>
      <c r="B67" s="202"/>
      <c r="C67" s="148"/>
      <c r="D67" s="149"/>
      <c r="E67" s="150"/>
      <c r="F67" s="148"/>
      <c r="G67" s="149" t="s">
        <v>311</v>
      </c>
      <c r="H67" s="149" t="s">
        <v>281</v>
      </c>
      <c r="I67" s="149"/>
      <c r="J67" s="149"/>
      <c r="K67" s="149"/>
      <c r="L67" s="149"/>
      <c r="M67" s="149"/>
      <c r="N67" s="149"/>
      <c r="O67" s="149" t="s">
        <v>184</v>
      </c>
      <c r="P67" s="149"/>
      <c r="Q67" s="149" t="s">
        <v>91</v>
      </c>
      <c r="R67" s="149"/>
      <c r="S67" s="149"/>
      <c r="T67" s="149"/>
      <c r="U67" s="149"/>
      <c r="V67" s="149"/>
      <c r="W67" s="149"/>
      <c r="X67" s="149"/>
      <c r="Y67" s="149"/>
      <c r="Z67" s="149"/>
      <c r="AA67" s="149"/>
      <c r="AB67" s="149"/>
      <c r="AC67" s="149"/>
      <c r="AD67" s="149"/>
      <c r="AE67" s="149"/>
      <c r="AF67" s="41"/>
      <c r="AG67" s="148"/>
      <c r="AH67" s="149"/>
      <c r="AI67" s="149"/>
      <c r="AJ67" s="149"/>
      <c r="AK67" s="149"/>
      <c r="AL67" s="149"/>
      <c r="AM67" s="149"/>
      <c r="AN67" s="149"/>
      <c r="AO67" s="149"/>
      <c r="AP67" s="149"/>
      <c r="AQ67" s="149"/>
      <c r="AR67" s="149"/>
      <c r="AS67" s="149"/>
      <c r="AT67" s="149"/>
      <c r="AU67" s="149"/>
      <c r="AV67" s="149"/>
      <c r="AW67" s="149"/>
      <c r="AX67" s="149"/>
      <c r="AY67" s="149"/>
      <c r="AZ67" s="150"/>
      <c r="BA67" s="34" t="str">
        <f>IF(BB67&amp;BC67&lt;&gt;"",MAX(BA$5:BA66)+1,"")</f>
        <v/>
      </c>
      <c r="BB67" s="35"/>
      <c r="BC67" s="35"/>
      <c r="BD67" s="50"/>
      <c r="BE67" s="51"/>
      <c r="BF67" s="51"/>
      <c r="BG67" s="50"/>
      <c r="BH67" s="29"/>
      <c r="BI67" s="29"/>
    </row>
    <row r="68" spans="1:61" s="30" customFormat="1" ht="14.25" customHeight="1" x14ac:dyDescent="0.15">
      <c r="A68" s="200"/>
      <c r="B68" s="202"/>
      <c r="C68" s="148"/>
      <c r="D68" s="149"/>
      <c r="E68" s="150"/>
      <c r="F68" s="148"/>
      <c r="G68" s="149" t="s">
        <v>311</v>
      </c>
      <c r="H68" s="149" t="s">
        <v>282</v>
      </c>
      <c r="I68" s="149"/>
      <c r="J68" s="149"/>
      <c r="K68" s="149"/>
      <c r="L68" s="149"/>
      <c r="M68" s="149"/>
      <c r="N68" s="149"/>
      <c r="O68" s="149" t="s">
        <v>184</v>
      </c>
      <c r="P68" s="149"/>
      <c r="Q68" s="149" t="s">
        <v>312</v>
      </c>
      <c r="R68" s="149"/>
      <c r="S68" s="149"/>
      <c r="T68" s="149"/>
      <c r="U68" s="149"/>
      <c r="V68" s="149"/>
      <c r="W68" s="149"/>
      <c r="X68" s="149"/>
      <c r="Y68" s="149"/>
      <c r="Z68" s="149"/>
      <c r="AA68" s="149"/>
      <c r="AB68" s="149"/>
      <c r="AC68" s="149"/>
      <c r="AD68" s="149"/>
      <c r="AE68" s="149"/>
      <c r="AF68" s="150"/>
      <c r="AG68" s="148"/>
      <c r="AH68" s="149"/>
      <c r="AI68" s="149"/>
      <c r="AJ68" s="149"/>
      <c r="AK68" s="149"/>
      <c r="AL68" s="149"/>
      <c r="AM68" s="149"/>
      <c r="AN68" s="149"/>
      <c r="AO68" s="149"/>
      <c r="AP68" s="149"/>
      <c r="AQ68" s="149"/>
      <c r="AR68" s="149"/>
      <c r="AS68" s="149"/>
      <c r="AT68" s="149"/>
      <c r="AU68" s="149"/>
      <c r="AV68" s="149"/>
      <c r="AW68" s="149"/>
      <c r="AX68" s="149"/>
      <c r="AY68" s="149"/>
      <c r="AZ68" s="150"/>
      <c r="BA68" s="34" t="str">
        <f>IF(BB68&amp;BC68&lt;&gt;"",MAX(BA$5:BA67)+1,"")</f>
        <v/>
      </c>
      <c r="BB68" s="35"/>
      <c r="BC68" s="35"/>
      <c r="BD68" s="50"/>
      <c r="BE68" s="51"/>
      <c r="BF68" s="51"/>
      <c r="BG68" s="50"/>
      <c r="BH68" s="29"/>
      <c r="BI68" s="29"/>
    </row>
    <row r="69" spans="1:61" s="30" customFormat="1" ht="14.25" customHeight="1" x14ac:dyDescent="0.15">
      <c r="A69" s="200"/>
      <c r="B69" s="202"/>
      <c r="C69" s="148"/>
      <c r="D69" s="149"/>
      <c r="E69" s="150"/>
      <c r="F69" s="148"/>
      <c r="G69" s="149" t="s">
        <v>311</v>
      </c>
      <c r="H69" s="149" t="s">
        <v>283</v>
      </c>
      <c r="I69" s="149"/>
      <c r="J69" s="149"/>
      <c r="K69" s="149"/>
      <c r="L69" s="149"/>
      <c r="M69" s="149"/>
      <c r="N69" s="149"/>
      <c r="O69" s="149" t="s">
        <v>184</v>
      </c>
      <c r="P69" s="149"/>
      <c r="Q69" s="149" t="s">
        <v>91</v>
      </c>
      <c r="R69" s="149"/>
      <c r="S69" s="149"/>
      <c r="T69" s="149"/>
      <c r="U69" s="149"/>
      <c r="V69" s="149"/>
      <c r="W69" s="149"/>
      <c r="X69" s="149"/>
      <c r="Y69" s="149"/>
      <c r="Z69" s="149"/>
      <c r="AA69" s="149"/>
      <c r="AB69" s="149"/>
      <c r="AC69" s="149"/>
      <c r="AD69" s="149"/>
      <c r="AE69" s="149"/>
      <c r="AF69" s="41"/>
      <c r="AG69" s="148"/>
      <c r="AH69" s="149"/>
      <c r="AI69" s="149"/>
      <c r="AJ69" s="149"/>
      <c r="AK69" s="149"/>
      <c r="AL69" s="149"/>
      <c r="AM69" s="149"/>
      <c r="AN69" s="149"/>
      <c r="AO69" s="149"/>
      <c r="AP69" s="149"/>
      <c r="AQ69" s="149"/>
      <c r="AR69" s="149"/>
      <c r="AS69" s="149"/>
      <c r="AT69" s="149"/>
      <c r="AU69" s="149"/>
      <c r="AV69" s="149"/>
      <c r="AW69" s="149"/>
      <c r="AX69" s="149"/>
      <c r="AY69" s="149"/>
      <c r="AZ69" s="150"/>
      <c r="BA69" s="34" t="str">
        <f>IF(BB69&amp;BC69&lt;&gt;"",MAX(BA$5:BA68)+1,"")</f>
        <v/>
      </c>
      <c r="BB69" s="35"/>
      <c r="BC69" s="35"/>
      <c r="BD69" s="50"/>
      <c r="BE69" s="51"/>
      <c r="BF69" s="51"/>
      <c r="BG69" s="50"/>
      <c r="BH69" s="29"/>
      <c r="BI69" s="29"/>
    </row>
    <row r="70" spans="1:61" s="30" customFormat="1" ht="14.25" customHeight="1" x14ac:dyDescent="0.15">
      <c r="A70" s="200"/>
      <c r="B70" s="202"/>
      <c r="C70" s="148"/>
      <c r="D70" s="149"/>
      <c r="E70" s="150"/>
      <c r="F70" s="148"/>
      <c r="G70" s="149" t="s">
        <v>311</v>
      </c>
      <c r="H70" s="149" t="s">
        <v>42</v>
      </c>
      <c r="I70" s="149"/>
      <c r="J70" s="149"/>
      <c r="K70" s="149"/>
      <c r="L70" s="149"/>
      <c r="M70" s="149"/>
      <c r="N70" s="149"/>
      <c r="O70" s="149" t="s">
        <v>184</v>
      </c>
      <c r="P70" s="149"/>
      <c r="Q70" s="149" t="s">
        <v>312</v>
      </c>
      <c r="R70" s="149"/>
      <c r="S70" s="149"/>
      <c r="T70" s="149"/>
      <c r="U70" s="149"/>
      <c r="V70" s="149"/>
      <c r="W70" s="149"/>
      <c r="X70" s="149"/>
      <c r="Y70" s="149"/>
      <c r="Z70" s="149"/>
      <c r="AA70" s="149"/>
      <c r="AB70" s="149"/>
      <c r="AC70" s="149"/>
      <c r="AD70" s="149"/>
      <c r="AE70" s="149"/>
      <c r="AF70" s="150"/>
      <c r="AG70" s="148"/>
      <c r="AH70" s="149"/>
      <c r="AI70" s="149"/>
      <c r="AJ70" s="149"/>
      <c r="AK70" s="149"/>
      <c r="AL70" s="149"/>
      <c r="AM70" s="149"/>
      <c r="AN70" s="149"/>
      <c r="AO70" s="149"/>
      <c r="AP70" s="149"/>
      <c r="AQ70" s="149"/>
      <c r="AR70" s="149"/>
      <c r="AS70" s="149"/>
      <c r="AT70" s="149"/>
      <c r="AU70" s="149"/>
      <c r="AV70" s="149"/>
      <c r="AW70" s="149"/>
      <c r="AX70" s="149"/>
      <c r="AY70" s="149"/>
      <c r="AZ70" s="150"/>
      <c r="BA70" s="34" t="str">
        <f>IF(BB70&amp;BC70&lt;&gt;"",MAX(BA$5:BA69)+1,"")</f>
        <v/>
      </c>
      <c r="BB70" s="35"/>
      <c r="BC70" s="35"/>
      <c r="BD70" s="50"/>
      <c r="BE70" s="51"/>
      <c r="BF70" s="51"/>
      <c r="BG70" s="50"/>
      <c r="BH70" s="29"/>
      <c r="BI70" s="29"/>
    </row>
    <row r="71" spans="1:61" s="30" customFormat="1" ht="14.25" customHeight="1" x14ac:dyDescent="0.15">
      <c r="A71" s="200"/>
      <c r="B71" s="202"/>
      <c r="C71" s="148"/>
      <c r="D71" s="149"/>
      <c r="E71" s="150"/>
      <c r="F71" s="148"/>
      <c r="G71" s="149"/>
      <c r="H71" s="149"/>
      <c r="I71" s="149"/>
      <c r="J71" s="149"/>
      <c r="K71" s="149"/>
      <c r="L71" s="149"/>
      <c r="M71" s="149"/>
      <c r="N71" s="149"/>
      <c r="O71" s="149"/>
      <c r="P71" s="149"/>
      <c r="Q71" s="149"/>
      <c r="R71" s="149"/>
      <c r="S71" s="149"/>
      <c r="T71" s="149"/>
      <c r="U71" s="149"/>
      <c r="V71" s="149"/>
      <c r="W71" s="149"/>
      <c r="X71" s="149"/>
      <c r="Y71" s="149"/>
      <c r="Z71" s="149"/>
      <c r="AA71" s="149"/>
      <c r="AB71" s="149"/>
      <c r="AC71" s="149"/>
      <c r="AD71" s="149"/>
      <c r="AE71" s="149"/>
      <c r="AF71" s="150"/>
      <c r="AG71" s="148"/>
      <c r="AH71" s="149"/>
      <c r="AI71" s="149"/>
      <c r="AJ71" s="149"/>
      <c r="AK71" s="149"/>
      <c r="AL71" s="149"/>
      <c r="AM71" s="149"/>
      <c r="AN71" s="149"/>
      <c r="AO71" s="149"/>
      <c r="AP71" s="149"/>
      <c r="AQ71" s="149"/>
      <c r="AR71" s="149"/>
      <c r="AS71" s="149"/>
      <c r="AT71" s="149"/>
      <c r="AU71" s="149"/>
      <c r="AV71" s="149"/>
      <c r="AW71" s="149"/>
      <c r="AX71" s="149"/>
      <c r="AY71" s="149"/>
      <c r="AZ71" s="150"/>
      <c r="BA71" s="34" t="str">
        <f>IF(BB71&amp;BC71&lt;&gt;"",MAX(BA$5:BA70)+1,"")</f>
        <v/>
      </c>
      <c r="BB71" s="35"/>
      <c r="BC71" s="35"/>
      <c r="BD71" s="50"/>
      <c r="BE71" s="51"/>
      <c r="BF71" s="51"/>
      <c r="BG71" s="50"/>
      <c r="BH71" s="29"/>
      <c r="BI71" s="29"/>
    </row>
    <row r="72" spans="1:61" s="30" customFormat="1" ht="14.25" customHeight="1" x14ac:dyDescent="0.15">
      <c r="A72" s="200"/>
      <c r="B72" s="202"/>
      <c r="C72" s="148"/>
      <c r="D72" s="149"/>
      <c r="E72" s="150"/>
      <c r="F72" s="148" t="s">
        <v>289</v>
      </c>
      <c r="G72" s="149"/>
      <c r="H72" s="149"/>
      <c r="I72" s="149"/>
      <c r="J72" s="149"/>
      <c r="K72" s="149"/>
      <c r="L72" s="149"/>
      <c r="M72" s="149"/>
      <c r="N72" s="149"/>
      <c r="O72" s="149"/>
      <c r="P72" s="149"/>
      <c r="Q72" s="149"/>
      <c r="R72" s="149"/>
      <c r="S72" s="149"/>
      <c r="T72" s="149"/>
      <c r="U72" s="149"/>
      <c r="V72" s="149"/>
      <c r="W72" s="149"/>
      <c r="X72" s="149"/>
      <c r="Y72" s="149"/>
      <c r="Z72" s="149"/>
      <c r="AA72" s="149"/>
      <c r="AB72" s="149"/>
      <c r="AC72" s="149"/>
      <c r="AD72" s="149"/>
      <c r="AE72" s="149"/>
      <c r="AF72" s="150"/>
      <c r="AG72" s="148"/>
      <c r="AH72" s="149"/>
      <c r="AI72" s="149"/>
      <c r="AJ72" s="149"/>
      <c r="AK72" s="149"/>
      <c r="AL72" s="149"/>
      <c r="AM72" s="149"/>
      <c r="AN72" s="149"/>
      <c r="AO72" s="149"/>
      <c r="AP72" s="149"/>
      <c r="AQ72" s="149"/>
      <c r="AR72" s="149"/>
      <c r="AS72" s="149"/>
      <c r="AT72" s="149"/>
      <c r="AU72" s="149"/>
      <c r="AV72" s="149"/>
      <c r="AW72" s="149"/>
      <c r="AX72" s="149"/>
      <c r="AY72" s="149"/>
      <c r="AZ72" s="150"/>
      <c r="BA72" s="34" t="str">
        <f>IF(BB72&amp;BC72&lt;&gt;"",MAX(BA$5:BA71)+1,"")</f>
        <v/>
      </c>
      <c r="BB72" s="35"/>
      <c r="BC72" s="35"/>
      <c r="BD72" s="50"/>
      <c r="BE72" s="51"/>
      <c r="BF72" s="51"/>
      <c r="BG72" s="50"/>
      <c r="BH72" s="29"/>
      <c r="BI72" s="29"/>
    </row>
    <row r="73" spans="1:61" s="30" customFormat="1" ht="14.25" customHeight="1" x14ac:dyDescent="0.15">
      <c r="A73" s="200"/>
      <c r="B73" s="202"/>
      <c r="C73" s="148"/>
      <c r="D73" s="149"/>
      <c r="E73" s="150"/>
      <c r="F73" s="148"/>
      <c r="G73" s="149" t="s">
        <v>266</v>
      </c>
      <c r="H73" s="149"/>
      <c r="I73" s="149"/>
      <c r="J73" s="149"/>
      <c r="K73" s="149"/>
      <c r="L73" s="149"/>
      <c r="M73" s="149"/>
      <c r="N73" s="149"/>
      <c r="O73" s="149"/>
      <c r="P73" s="149"/>
      <c r="Q73" s="149"/>
      <c r="R73" s="149"/>
      <c r="S73" s="149"/>
      <c r="T73" s="149"/>
      <c r="U73" s="149"/>
      <c r="V73" s="149"/>
      <c r="W73" s="149"/>
      <c r="X73" s="149"/>
      <c r="Y73" s="149"/>
      <c r="Z73" s="149"/>
      <c r="AA73" s="149"/>
      <c r="AB73" s="149"/>
      <c r="AC73" s="149"/>
      <c r="AD73" s="149"/>
      <c r="AE73" s="149"/>
      <c r="AF73" s="150"/>
      <c r="AG73" s="148"/>
      <c r="AH73" s="149"/>
      <c r="AI73" s="149"/>
      <c r="AJ73" s="149"/>
      <c r="AK73" s="149"/>
      <c r="AL73" s="149"/>
      <c r="AM73" s="149"/>
      <c r="AN73" s="149"/>
      <c r="AO73" s="149"/>
      <c r="AP73" s="149"/>
      <c r="AQ73" s="149"/>
      <c r="AR73" s="149"/>
      <c r="AS73" s="149"/>
      <c r="AT73" s="149"/>
      <c r="AU73" s="149"/>
      <c r="AV73" s="149"/>
      <c r="AW73" s="149"/>
      <c r="AX73" s="149"/>
      <c r="AY73" s="149"/>
      <c r="AZ73" s="150"/>
      <c r="BA73" s="34" t="str">
        <f>IF(BB73&amp;BC73&lt;&gt;"",MAX(BA$5:BA72)+1,"")</f>
        <v/>
      </c>
      <c r="BB73" s="35"/>
      <c r="BC73" s="35"/>
      <c r="BD73" s="50"/>
      <c r="BE73" s="51"/>
      <c r="BF73" s="51"/>
      <c r="BG73" s="50"/>
      <c r="BH73" s="29"/>
      <c r="BI73" s="29"/>
    </row>
    <row r="74" spans="1:61" s="30" customFormat="1" ht="14.25" customHeight="1" x14ac:dyDescent="0.15">
      <c r="A74" s="200"/>
      <c r="B74" s="202"/>
      <c r="C74" s="148"/>
      <c r="D74" s="149"/>
      <c r="E74" s="150"/>
      <c r="F74" s="148"/>
      <c r="G74" s="149"/>
      <c r="H74" s="149"/>
      <c r="I74" s="149"/>
      <c r="J74" s="149"/>
      <c r="K74" s="149"/>
      <c r="L74" s="149"/>
      <c r="M74" s="149"/>
      <c r="N74" s="149"/>
      <c r="O74" s="149"/>
      <c r="P74" s="149"/>
      <c r="Q74" s="149"/>
      <c r="R74" s="149"/>
      <c r="S74" s="149"/>
      <c r="T74" s="149"/>
      <c r="U74" s="149"/>
      <c r="V74" s="149"/>
      <c r="W74" s="149"/>
      <c r="X74" s="149"/>
      <c r="Y74" s="149"/>
      <c r="Z74" s="149"/>
      <c r="AA74" s="149"/>
      <c r="AB74" s="149"/>
      <c r="AC74" s="149"/>
      <c r="AD74" s="149"/>
      <c r="AE74" s="149"/>
      <c r="AF74" s="150"/>
      <c r="AG74" s="148"/>
      <c r="AH74" s="149"/>
      <c r="AI74" s="149"/>
      <c r="AJ74" s="149"/>
      <c r="AK74" s="149"/>
      <c r="AL74" s="149"/>
      <c r="AM74" s="149"/>
      <c r="AN74" s="149"/>
      <c r="AO74" s="149"/>
      <c r="AP74" s="149"/>
      <c r="AQ74" s="149"/>
      <c r="AR74" s="149"/>
      <c r="AS74" s="149"/>
      <c r="AT74" s="149"/>
      <c r="AU74" s="149"/>
      <c r="AV74" s="149"/>
      <c r="AW74" s="149"/>
      <c r="AX74" s="149"/>
      <c r="AY74" s="149"/>
      <c r="AZ74" s="150"/>
      <c r="BA74" s="34" t="str">
        <f>IF(BB74&amp;BC74&lt;&gt;"",MAX(BA$5:BA73)+1,"")</f>
        <v/>
      </c>
      <c r="BB74" s="35"/>
      <c r="BC74" s="35"/>
      <c r="BD74" s="50"/>
      <c r="BE74" s="51"/>
      <c r="BF74" s="51"/>
      <c r="BG74" s="50"/>
      <c r="BH74" s="29"/>
      <c r="BI74" s="29"/>
    </row>
    <row r="75" spans="1:61" s="30" customFormat="1" ht="14.25" customHeight="1" x14ac:dyDescent="0.15">
      <c r="A75" s="200"/>
      <c r="B75" s="202"/>
      <c r="C75" s="148"/>
      <c r="D75" s="149"/>
      <c r="E75" s="150"/>
      <c r="F75" s="148"/>
      <c r="G75" s="149"/>
      <c r="H75" s="149"/>
      <c r="I75" s="149"/>
      <c r="J75" s="149"/>
      <c r="K75" s="149"/>
      <c r="L75" s="149"/>
      <c r="M75" s="149"/>
      <c r="N75" s="149"/>
      <c r="O75" s="149"/>
      <c r="P75" s="149"/>
      <c r="Q75" s="149"/>
      <c r="R75" s="149"/>
      <c r="S75" s="149"/>
      <c r="T75" s="149"/>
      <c r="U75" s="149"/>
      <c r="V75" s="149"/>
      <c r="W75" s="149"/>
      <c r="X75" s="149"/>
      <c r="Y75" s="149"/>
      <c r="Z75" s="149"/>
      <c r="AA75" s="149"/>
      <c r="AB75" s="149"/>
      <c r="AC75" s="149"/>
      <c r="AD75" s="149"/>
      <c r="AE75" s="149"/>
      <c r="AF75" s="150"/>
      <c r="AG75" s="148"/>
      <c r="AH75" s="149"/>
      <c r="AI75" s="149"/>
      <c r="AJ75" s="149"/>
      <c r="AK75" s="149"/>
      <c r="AL75" s="149"/>
      <c r="AM75" s="149"/>
      <c r="AN75" s="149"/>
      <c r="AO75" s="149"/>
      <c r="AP75" s="149"/>
      <c r="AQ75" s="149"/>
      <c r="AR75" s="149"/>
      <c r="AS75" s="149"/>
      <c r="AT75" s="149"/>
      <c r="AU75" s="149"/>
      <c r="AV75" s="149"/>
      <c r="AW75" s="149"/>
      <c r="AX75" s="149"/>
      <c r="AY75" s="149"/>
      <c r="AZ75" s="150"/>
      <c r="BA75" s="34" t="str">
        <f>IF(BB75&amp;BC75&lt;&gt;"",MAX(BA$5:BA74)+1,"")</f>
        <v/>
      </c>
      <c r="BB75" s="35"/>
      <c r="BC75" s="35"/>
      <c r="BD75" s="50"/>
      <c r="BE75" s="51"/>
      <c r="BF75" s="51"/>
      <c r="BG75" s="50"/>
      <c r="BH75" s="29"/>
      <c r="BI75" s="29"/>
    </row>
    <row r="76" spans="1:61" s="30" customFormat="1" ht="14.25" customHeight="1" x14ac:dyDescent="0.15">
      <c r="A76" s="200" t="s">
        <v>250</v>
      </c>
      <c r="B76" s="202"/>
      <c r="C76" s="148" t="s">
        <v>313</v>
      </c>
      <c r="D76" s="149"/>
      <c r="E76" s="150"/>
      <c r="F76" s="148" t="s">
        <v>314</v>
      </c>
      <c r="G76" s="149"/>
      <c r="H76" s="149"/>
      <c r="I76" s="149"/>
      <c r="J76" s="149"/>
      <c r="K76" s="149"/>
      <c r="L76" s="149"/>
      <c r="M76" s="149"/>
      <c r="N76" s="149"/>
      <c r="O76" s="149"/>
      <c r="P76" s="149"/>
      <c r="Q76" s="149"/>
      <c r="R76" s="149"/>
      <c r="S76" s="149"/>
      <c r="T76" s="149"/>
      <c r="U76" s="149"/>
      <c r="V76" s="149"/>
      <c r="W76" s="149"/>
      <c r="X76" s="149"/>
      <c r="Y76" s="149"/>
      <c r="Z76" s="149"/>
      <c r="AA76" s="149"/>
      <c r="AB76" s="149"/>
      <c r="AC76" s="149"/>
      <c r="AD76" s="149"/>
      <c r="AE76" s="149"/>
      <c r="AF76" s="150"/>
      <c r="AG76" s="148"/>
      <c r="AH76" s="149"/>
      <c r="AI76" s="149"/>
      <c r="AJ76" s="149"/>
      <c r="AK76" s="149"/>
      <c r="AL76" s="149"/>
      <c r="AM76" s="149"/>
      <c r="AN76" s="149"/>
      <c r="AO76" s="149"/>
      <c r="AP76" s="149"/>
      <c r="AQ76" s="149"/>
      <c r="AR76" s="149"/>
      <c r="AS76" s="149"/>
      <c r="AT76" s="149"/>
      <c r="AU76" s="149"/>
      <c r="AV76" s="149"/>
      <c r="AW76" s="149"/>
      <c r="AX76" s="149"/>
      <c r="AY76" s="149"/>
      <c r="AZ76" s="150"/>
      <c r="BA76" s="34" t="str">
        <f>IF(BB76&amp;BC76&lt;&gt;"",MAX(BA$5:BA75)+1,"")</f>
        <v/>
      </c>
      <c r="BB76" s="35"/>
      <c r="BC76" s="35"/>
      <c r="BD76" s="50"/>
      <c r="BE76" s="51"/>
      <c r="BF76" s="51"/>
      <c r="BG76" s="50"/>
      <c r="BH76" s="29"/>
      <c r="BI76" s="29"/>
    </row>
    <row r="77" spans="1:61" s="30" customFormat="1" ht="14.25" customHeight="1" x14ac:dyDescent="0.15">
      <c r="A77" s="200"/>
      <c r="B77" s="202"/>
      <c r="C77" s="148"/>
      <c r="D77" s="149"/>
      <c r="E77" s="150"/>
      <c r="F77" s="148"/>
      <c r="G77" s="149"/>
      <c r="H77" s="149"/>
      <c r="I77" s="149"/>
      <c r="J77" s="149"/>
      <c r="K77" s="149"/>
      <c r="L77" s="149"/>
      <c r="M77" s="149"/>
      <c r="N77" s="149"/>
      <c r="O77" s="149"/>
      <c r="P77" s="149"/>
      <c r="Q77" s="149"/>
      <c r="R77" s="149"/>
      <c r="S77" s="149"/>
      <c r="T77" s="149"/>
      <c r="U77" s="149"/>
      <c r="V77" s="149"/>
      <c r="W77" s="149"/>
      <c r="X77" s="149"/>
      <c r="Y77" s="149"/>
      <c r="Z77" s="149"/>
      <c r="AA77" s="149"/>
      <c r="AB77" s="149"/>
      <c r="AC77" s="149"/>
      <c r="AD77" s="149"/>
      <c r="AE77" s="149"/>
      <c r="AF77" s="150"/>
      <c r="AG77" s="148"/>
      <c r="AH77" s="149"/>
      <c r="AI77" s="149"/>
      <c r="AJ77" s="149"/>
      <c r="AK77" s="149"/>
      <c r="AL77" s="149"/>
      <c r="AM77" s="149"/>
      <c r="AN77" s="149"/>
      <c r="AO77" s="149"/>
      <c r="AP77" s="149"/>
      <c r="AQ77" s="149"/>
      <c r="AR77" s="149"/>
      <c r="AS77" s="149"/>
      <c r="AT77" s="149"/>
      <c r="AU77" s="149"/>
      <c r="AV77" s="149"/>
      <c r="AW77" s="149"/>
      <c r="AX77" s="149"/>
      <c r="AY77" s="149"/>
      <c r="AZ77" s="150"/>
      <c r="BA77" s="34" t="str">
        <f>IF(BB77&amp;BC77&lt;&gt;"",MAX(BA$5:BA76)+1,"")</f>
        <v/>
      </c>
      <c r="BB77" s="35"/>
      <c r="BC77" s="35"/>
      <c r="BD77" s="50"/>
      <c r="BE77" s="51"/>
      <c r="BF77" s="51"/>
      <c r="BG77" s="50"/>
      <c r="BH77" s="29"/>
      <c r="BI77" s="29"/>
    </row>
    <row r="78" spans="1:61" s="30" customFormat="1" ht="14.25" customHeight="1" x14ac:dyDescent="0.15">
      <c r="A78" s="200"/>
      <c r="B78" s="202"/>
      <c r="C78" s="148"/>
      <c r="D78" s="149"/>
      <c r="E78" s="150"/>
      <c r="F78" s="148" t="s">
        <v>98</v>
      </c>
      <c r="G78" s="149"/>
      <c r="H78" s="149"/>
      <c r="I78" s="149"/>
      <c r="J78" s="149"/>
      <c r="K78" s="149"/>
      <c r="L78" s="149"/>
      <c r="M78" s="149"/>
      <c r="N78" s="149"/>
      <c r="O78" s="149"/>
      <c r="P78" s="149"/>
      <c r="Q78" s="149"/>
      <c r="R78" s="149"/>
      <c r="S78" s="149"/>
      <c r="T78" s="149"/>
      <c r="U78" s="149"/>
      <c r="V78" s="149"/>
      <c r="W78" s="149"/>
      <c r="X78" s="149"/>
      <c r="Y78" s="149"/>
      <c r="Z78" s="149"/>
      <c r="AA78" s="149"/>
      <c r="AB78" s="149"/>
      <c r="AC78" s="149"/>
      <c r="AD78" s="149"/>
      <c r="AE78" s="149"/>
      <c r="AF78" s="150"/>
      <c r="AG78" s="148"/>
      <c r="AH78" s="149"/>
      <c r="AI78" s="149"/>
      <c r="AJ78" s="149"/>
      <c r="AK78" s="149"/>
      <c r="AL78" s="149"/>
      <c r="AM78" s="149"/>
      <c r="AN78" s="149"/>
      <c r="AO78" s="149"/>
      <c r="AP78" s="149"/>
      <c r="AQ78" s="149"/>
      <c r="AR78" s="149"/>
      <c r="AS78" s="149"/>
      <c r="AT78" s="149"/>
      <c r="AU78" s="149"/>
      <c r="AV78" s="149"/>
      <c r="AW78" s="149"/>
      <c r="AX78" s="149"/>
      <c r="AY78" s="149"/>
      <c r="AZ78" s="150"/>
      <c r="BA78" s="34" t="str">
        <f>IF(BB78&amp;BC78&lt;&gt;"",MAX(BA$5:BA77)+1,"")</f>
        <v/>
      </c>
      <c r="BB78" s="35"/>
      <c r="BC78" s="35"/>
      <c r="BD78" s="50"/>
      <c r="BE78" s="51"/>
      <c r="BF78" s="51"/>
      <c r="BG78" s="50"/>
      <c r="BH78" s="29"/>
      <c r="BI78" s="29"/>
    </row>
    <row r="79" spans="1:61" s="30" customFormat="1" ht="14.25" customHeight="1" x14ac:dyDescent="0.15">
      <c r="A79" s="200"/>
      <c r="B79" s="202"/>
      <c r="C79" s="148"/>
      <c r="D79" s="149"/>
      <c r="E79" s="150"/>
      <c r="F79" s="148"/>
      <c r="G79" s="149" t="s">
        <v>284</v>
      </c>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50"/>
      <c r="AG79" s="148"/>
      <c r="AH79" s="149"/>
      <c r="AI79" s="149"/>
      <c r="AJ79" s="149"/>
      <c r="AK79" s="149"/>
      <c r="AL79" s="149"/>
      <c r="AM79" s="149"/>
      <c r="AN79" s="149"/>
      <c r="AO79" s="149"/>
      <c r="AP79" s="149"/>
      <c r="AQ79" s="149"/>
      <c r="AR79" s="149"/>
      <c r="AS79" s="149"/>
      <c r="AT79" s="149"/>
      <c r="AU79" s="149"/>
      <c r="AV79" s="149"/>
      <c r="AW79" s="149"/>
      <c r="AX79" s="149"/>
      <c r="AY79" s="149"/>
      <c r="AZ79" s="150"/>
      <c r="BA79" s="34" t="str">
        <f>IF(BB79&amp;BC79&lt;&gt;"",MAX(BA$5:BA78)+1,"")</f>
        <v/>
      </c>
      <c r="BB79" s="35"/>
      <c r="BC79" s="35"/>
      <c r="BD79" s="50"/>
      <c r="BE79" s="51"/>
      <c r="BF79" s="51"/>
      <c r="BG79" s="50"/>
      <c r="BH79" s="29"/>
      <c r="BI79" s="29"/>
    </row>
    <row r="80" spans="1:61" s="30" customFormat="1" ht="14.25" customHeight="1" x14ac:dyDescent="0.15">
      <c r="A80" s="200"/>
      <c r="B80" s="202"/>
      <c r="C80" s="148"/>
      <c r="D80" s="149"/>
      <c r="E80" s="150"/>
      <c r="F80" s="148"/>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50"/>
      <c r="AG80" s="148"/>
      <c r="AH80" s="149"/>
      <c r="AI80" s="149"/>
      <c r="AJ80" s="149"/>
      <c r="AK80" s="149"/>
      <c r="AL80" s="149"/>
      <c r="AM80" s="149"/>
      <c r="AN80" s="149"/>
      <c r="AO80" s="149"/>
      <c r="AP80" s="149"/>
      <c r="AQ80" s="149"/>
      <c r="AR80" s="149"/>
      <c r="AS80" s="149"/>
      <c r="AT80" s="149"/>
      <c r="AU80" s="149"/>
      <c r="AV80" s="149"/>
      <c r="AW80" s="149"/>
      <c r="AX80" s="149"/>
      <c r="AY80" s="149"/>
      <c r="AZ80" s="150"/>
      <c r="BA80" s="34" t="str">
        <f>IF(BB80&amp;BC80&lt;&gt;"",MAX(BA$5:BA79)+1,"")</f>
        <v/>
      </c>
      <c r="BB80" s="35"/>
      <c r="BC80" s="35"/>
      <c r="BD80" s="50"/>
      <c r="BE80" s="51"/>
      <c r="BF80" s="51"/>
      <c r="BG80" s="50"/>
      <c r="BH80" s="29"/>
      <c r="BI80" s="29"/>
    </row>
    <row r="81" spans="1:61" s="30" customFormat="1" ht="14.25" customHeight="1" x14ac:dyDescent="0.15">
      <c r="A81" s="200"/>
      <c r="B81" s="202"/>
      <c r="C81" s="148"/>
      <c r="D81" s="149"/>
      <c r="E81" s="150"/>
      <c r="F81" s="148" t="s">
        <v>315</v>
      </c>
      <c r="G81" s="149"/>
      <c r="H81" s="149"/>
      <c r="I81" s="149"/>
      <c r="J81" s="149"/>
      <c r="K81" s="149"/>
      <c r="L81" s="149"/>
      <c r="M81" s="149"/>
      <c r="N81" s="149"/>
      <c r="O81" s="149"/>
      <c r="P81" s="149"/>
      <c r="Q81" s="149"/>
      <c r="R81" s="149"/>
      <c r="S81" s="149"/>
      <c r="T81" s="149"/>
      <c r="U81" s="149"/>
      <c r="V81" s="149"/>
      <c r="W81" s="149"/>
      <c r="X81" s="149"/>
      <c r="Y81" s="149"/>
      <c r="Z81" s="149"/>
      <c r="AA81" s="149"/>
      <c r="AB81" s="149"/>
      <c r="AC81" s="149"/>
      <c r="AD81" s="149"/>
      <c r="AE81" s="149"/>
      <c r="AF81" s="150"/>
      <c r="AG81" s="148"/>
      <c r="AH81" s="149"/>
      <c r="AI81" s="149"/>
      <c r="AJ81" s="149"/>
      <c r="AK81" s="149"/>
      <c r="AL81" s="149"/>
      <c r="AM81" s="149"/>
      <c r="AN81" s="149"/>
      <c r="AO81" s="149"/>
      <c r="AP81" s="149"/>
      <c r="AQ81" s="149"/>
      <c r="AR81" s="149"/>
      <c r="AS81" s="149"/>
      <c r="AT81" s="149"/>
      <c r="AU81" s="149"/>
      <c r="AV81" s="149"/>
      <c r="AW81" s="149"/>
      <c r="AX81" s="149"/>
      <c r="AY81" s="149"/>
      <c r="AZ81" s="150"/>
      <c r="BA81" s="34" t="str">
        <f>IF(BB81&amp;BC81&lt;&gt;"",MAX(BA$5:BA80)+1,"")</f>
        <v/>
      </c>
      <c r="BB81" s="35"/>
      <c r="BC81" s="35"/>
      <c r="BD81" s="50"/>
      <c r="BE81" s="51"/>
      <c r="BF81" s="51"/>
      <c r="BG81" s="50"/>
      <c r="BH81" s="29"/>
      <c r="BI81" s="29"/>
    </row>
    <row r="82" spans="1:61" s="30" customFormat="1" ht="14.25" customHeight="1" x14ac:dyDescent="0.15">
      <c r="A82" s="200"/>
      <c r="B82" s="202"/>
      <c r="C82" s="148"/>
      <c r="D82" s="149"/>
      <c r="E82" s="150"/>
      <c r="F82" s="148"/>
      <c r="G82" s="149" t="s">
        <v>271</v>
      </c>
      <c r="H82" s="149" t="s">
        <v>316</v>
      </c>
      <c r="I82" s="149"/>
      <c r="J82" s="149" t="s">
        <v>272</v>
      </c>
      <c r="K82" s="149"/>
      <c r="L82" s="149"/>
      <c r="M82" s="149"/>
      <c r="N82" s="149"/>
      <c r="O82" s="149"/>
      <c r="P82" s="149"/>
      <c r="Q82" s="149" t="s">
        <v>317</v>
      </c>
      <c r="R82" s="149"/>
      <c r="S82" s="149" t="s">
        <v>301</v>
      </c>
      <c r="T82" s="149"/>
      <c r="U82" s="149"/>
      <c r="V82" s="149"/>
      <c r="W82" s="149"/>
      <c r="X82" s="149"/>
      <c r="Y82" s="149"/>
      <c r="Z82" s="149"/>
      <c r="AA82" s="149"/>
      <c r="AB82" s="149"/>
      <c r="AC82" s="149"/>
      <c r="AD82" s="149"/>
      <c r="AE82" s="149"/>
      <c r="AF82" s="150"/>
      <c r="AG82" s="148"/>
      <c r="AH82" s="149"/>
      <c r="AI82" s="149"/>
      <c r="AJ82" s="149"/>
      <c r="AK82" s="149"/>
      <c r="AL82" s="149"/>
      <c r="AM82" s="149"/>
      <c r="AN82" s="149"/>
      <c r="AO82" s="149"/>
      <c r="AP82" s="149"/>
      <c r="AQ82" s="149"/>
      <c r="AR82" s="149"/>
      <c r="AS82" s="149"/>
      <c r="AT82" s="149"/>
      <c r="AU82" s="149"/>
      <c r="AV82" s="149"/>
      <c r="AW82" s="149"/>
      <c r="AX82" s="149"/>
      <c r="AY82" s="149"/>
      <c r="AZ82" s="150"/>
      <c r="BA82" s="34" t="str">
        <f>IF(BB82&amp;BC82&lt;&gt;"",MAX(BA$5:BA81)+1,"")</f>
        <v/>
      </c>
      <c r="BB82" s="35"/>
      <c r="BC82" s="35"/>
      <c r="BD82" s="50"/>
      <c r="BE82" s="51"/>
      <c r="BF82" s="51"/>
      <c r="BG82" s="50"/>
      <c r="BH82" s="29"/>
      <c r="BI82" s="29"/>
    </row>
    <row r="83" spans="1:61" s="30" customFormat="1" ht="14.25" customHeight="1" x14ac:dyDescent="0.15">
      <c r="A83" s="200"/>
      <c r="B83" s="202"/>
      <c r="C83" s="148"/>
      <c r="D83" s="149"/>
      <c r="E83" s="150"/>
      <c r="F83" s="148"/>
      <c r="G83" s="149" t="s">
        <v>271</v>
      </c>
      <c r="H83" s="149" t="s">
        <v>316</v>
      </c>
      <c r="I83" s="149"/>
      <c r="J83" s="149" t="s">
        <v>93</v>
      </c>
      <c r="K83" s="149"/>
      <c r="L83" s="149"/>
      <c r="M83" s="149"/>
      <c r="N83" s="149"/>
      <c r="O83" s="149"/>
      <c r="P83" s="149"/>
      <c r="Q83" s="149" t="s">
        <v>317</v>
      </c>
      <c r="R83" s="149"/>
      <c r="S83" s="149" t="s">
        <v>302</v>
      </c>
      <c r="T83" s="149"/>
      <c r="U83" s="149"/>
      <c r="V83" s="149"/>
      <c r="W83" s="149"/>
      <c r="X83" s="149"/>
      <c r="Y83" s="149"/>
      <c r="Z83" s="149"/>
      <c r="AA83" s="149"/>
      <c r="AB83" s="149"/>
      <c r="AC83" s="149"/>
      <c r="AD83" s="149"/>
      <c r="AE83" s="149"/>
      <c r="AF83" s="150"/>
      <c r="AG83" s="148"/>
      <c r="AH83" s="149"/>
      <c r="AI83" s="149"/>
      <c r="AJ83" s="149"/>
      <c r="AK83" s="149"/>
      <c r="AL83" s="149"/>
      <c r="AM83" s="149"/>
      <c r="AN83" s="149"/>
      <c r="AO83" s="149"/>
      <c r="AP83" s="149"/>
      <c r="AQ83" s="149"/>
      <c r="AR83" s="149"/>
      <c r="AS83" s="149"/>
      <c r="AT83" s="149"/>
      <c r="AU83" s="149"/>
      <c r="AV83" s="149"/>
      <c r="AW83" s="149"/>
      <c r="AX83" s="149"/>
      <c r="AY83" s="149"/>
      <c r="AZ83" s="150"/>
      <c r="BA83" s="34" t="str">
        <f>IF(BB83&amp;BC83&lt;&gt;"",MAX(BA$5:BA82)+1,"")</f>
        <v/>
      </c>
      <c r="BB83" s="35"/>
      <c r="BC83" s="35"/>
      <c r="BD83" s="50"/>
      <c r="BE83" s="51"/>
      <c r="BF83" s="51"/>
      <c r="BG83" s="50"/>
      <c r="BH83" s="29"/>
      <c r="BI83" s="29"/>
    </row>
    <row r="84" spans="1:61" s="30" customFormat="1" ht="14.25" customHeight="1" x14ac:dyDescent="0.15">
      <c r="A84" s="200"/>
      <c r="B84" s="202"/>
      <c r="C84" s="148"/>
      <c r="D84" s="149"/>
      <c r="E84" s="150"/>
      <c r="F84" s="148"/>
      <c r="G84" s="149" t="s">
        <v>271</v>
      </c>
      <c r="H84" s="149" t="s">
        <v>316</v>
      </c>
      <c r="I84" s="149"/>
      <c r="J84" s="149" t="s">
        <v>91</v>
      </c>
      <c r="K84" s="149"/>
      <c r="L84" s="149"/>
      <c r="M84" s="149"/>
      <c r="N84" s="149"/>
      <c r="O84" s="149"/>
      <c r="P84" s="149"/>
      <c r="Q84" s="149" t="s">
        <v>317</v>
      </c>
      <c r="R84" s="149"/>
      <c r="S84" s="149" t="s">
        <v>303</v>
      </c>
      <c r="T84" s="149"/>
      <c r="U84" s="149"/>
      <c r="V84" s="149"/>
      <c r="W84" s="149"/>
      <c r="X84" s="149"/>
      <c r="Y84" s="149"/>
      <c r="Z84" s="149"/>
      <c r="AA84" s="149"/>
      <c r="AB84" s="149"/>
      <c r="AC84" s="149"/>
      <c r="AD84" s="149"/>
      <c r="AE84" s="149"/>
      <c r="AF84" s="150"/>
      <c r="AG84" s="148"/>
      <c r="AH84" s="149"/>
      <c r="AI84" s="149"/>
      <c r="AJ84" s="149"/>
      <c r="AK84" s="149"/>
      <c r="AL84" s="149"/>
      <c r="AM84" s="149"/>
      <c r="AN84" s="149"/>
      <c r="AO84" s="149"/>
      <c r="AP84" s="149"/>
      <c r="AQ84" s="149"/>
      <c r="AR84" s="149"/>
      <c r="AS84" s="149"/>
      <c r="AT84" s="149"/>
      <c r="AU84" s="149"/>
      <c r="AV84" s="149"/>
      <c r="AW84" s="149"/>
      <c r="AX84" s="149"/>
      <c r="AY84" s="149"/>
      <c r="AZ84" s="150"/>
      <c r="BA84" s="34" t="str">
        <f>IF(BB84&amp;BC84&lt;&gt;"",MAX(BA$5:BA83)+1,"")</f>
        <v/>
      </c>
      <c r="BB84" s="35"/>
      <c r="BC84" s="35"/>
      <c r="BD84" s="50"/>
      <c r="BE84" s="51"/>
      <c r="BF84" s="51"/>
      <c r="BG84" s="50"/>
      <c r="BH84" s="29"/>
      <c r="BI84" s="29"/>
    </row>
    <row r="85" spans="1:61" s="30" customFormat="1" ht="14.25" customHeight="1" x14ac:dyDescent="0.15">
      <c r="A85" s="200"/>
      <c r="B85" s="202"/>
      <c r="C85" s="148"/>
      <c r="D85" s="149"/>
      <c r="E85" s="150"/>
      <c r="F85" s="148"/>
      <c r="G85" s="149" t="s">
        <v>271</v>
      </c>
      <c r="H85" s="149" t="s">
        <v>316</v>
      </c>
      <c r="I85" s="149"/>
      <c r="J85" s="149" t="s">
        <v>92</v>
      </c>
      <c r="K85" s="149"/>
      <c r="L85" s="149"/>
      <c r="M85" s="149"/>
      <c r="N85" s="149"/>
      <c r="O85" s="149"/>
      <c r="P85" s="149"/>
      <c r="Q85" s="149" t="s">
        <v>317</v>
      </c>
      <c r="R85" s="149"/>
      <c r="S85" s="149" t="s">
        <v>304</v>
      </c>
      <c r="T85" s="149"/>
      <c r="U85" s="149"/>
      <c r="V85" s="149"/>
      <c r="W85" s="149"/>
      <c r="X85" s="149"/>
      <c r="Y85" s="149"/>
      <c r="Z85" s="149"/>
      <c r="AA85" s="149"/>
      <c r="AB85" s="149"/>
      <c r="AC85" s="149"/>
      <c r="AD85" s="149"/>
      <c r="AE85" s="149"/>
      <c r="AF85" s="41"/>
      <c r="AG85" s="148"/>
      <c r="AH85" s="149"/>
      <c r="AI85" s="149"/>
      <c r="AJ85" s="149"/>
      <c r="AK85" s="149"/>
      <c r="AL85" s="149"/>
      <c r="AM85" s="149"/>
      <c r="AN85" s="149"/>
      <c r="AO85" s="149"/>
      <c r="AP85" s="149"/>
      <c r="AQ85" s="149"/>
      <c r="AR85" s="149"/>
      <c r="AS85" s="149"/>
      <c r="AT85" s="149"/>
      <c r="AU85" s="149"/>
      <c r="AV85" s="149"/>
      <c r="AW85" s="149"/>
      <c r="AX85" s="149"/>
      <c r="AY85" s="149"/>
      <c r="AZ85" s="150"/>
      <c r="BA85" s="34" t="str">
        <f>IF(BB85&amp;BC85&lt;&gt;"",MAX(BA$5:BA84)+1,"")</f>
        <v/>
      </c>
      <c r="BB85" s="35"/>
      <c r="BC85" s="35"/>
      <c r="BD85" s="50"/>
      <c r="BE85" s="51"/>
      <c r="BF85" s="51"/>
      <c r="BG85" s="50"/>
      <c r="BH85" s="29"/>
      <c r="BI85" s="29"/>
    </row>
    <row r="86" spans="1:61" s="30" customFormat="1" ht="14.25" customHeight="1" x14ac:dyDescent="0.15">
      <c r="A86" s="200"/>
      <c r="B86" s="202"/>
      <c r="C86" s="148"/>
      <c r="D86" s="149"/>
      <c r="E86" s="150"/>
      <c r="F86" s="148"/>
      <c r="G86" s="149" t="s">
        <v>271</v>
      </c>
      <c r="H86" s="149" t="s">
        <v>316</v>
      </c>
      <c r="I86" s="149"/>
      <c r="J86" s="149" t="s">
        <v>132</v>
      </c>
      <c r="K86" s="149"/>
      <c r="L86" s="149"/>
      <c r="M86" s="149"/>
      <c r="N86" s="149"/>
      <c r="O86" s="149"/>
      <c r="P86" s="149"/>
      <c r="Q86" s="149" t="s">
        <v>317</v>
      </c>
      <c r="R86" s="149"/>
      <c r="S86" s="149" t="s">
        <v>305</v>
      </c>
      <c r="T86" s="149"/>
      <c r="U86" s="149"/>
      <c r="V86" s="149"/>
      <c r="W86" s="149"/>
      <c r="X86" s="149"/>
      <c r="Y86" s="149"/>
      <c r="Z86" s="149"/>
      <c r="AA86" s="149"/>
      <c r="AB86" s="149"/>
      <c r="AC86" s="149"/>
      <c r="AD86" s="149"/>
      <c r="AE86" s="149"/>
      <c r="AF86" s="150"/>
      <c r="AG86" s="148"/>
      <c r="AH86" s="149"/>
      <c r="AI86" s="149"/>
      <c r="AJ86" s="149"/>
      <c r="AK86" s="149"/>
      <c r="AL86" s="149"/>
      <c r="AM86" s="149"/>
      <c r="AN86" s="149"/>
      <c r="AO86" s="149"/>
      <c r="AP86" s="149"/>
      <c r="AQ86" s="149"/>
      <c r="AR86" s="149"/>
      <c r="AS86" s="149"/>
      <c r="AT86" s="149"/>
      <c r="AU86" s="149"/>
      <c r="AV86" s="149"/>
      <c r="AW86" s="149"/>
      <c r="AX86" s="149"/>
      <c r="AY86" s="149"/>
      <c r="AZ86" s="150"/>
      <c r="BA86" s="34" t="str">
        <f>IF(BB86&amp;BC86&lt;&gt;"",MAX(BA$5:BA85)+1,"")</f>
        <v/>
      </c>
      <c r="BB86" s="35"/>
      <c r="BC86" s="35"/>
      <c r="BD86" s="50"/>
      <c r="BE86" s="51"/>
      <c r="BF86" s="51"/>
      <c r="BG86" s="50"/>
      <c r="BH86" s="29"/>
      <c r="BI86" s="29"/>
    </row>
    <row r="87" spans="1:61" s="30" customFormat="1" ht="14.25" customHeight="1" x14ac:dyDescent="0.15">
      <c r="A87" s="200"/>
      <c r="B87" s="202"/>
      <c r="C87" s="148"/>
      <c r="D87" s="149"/>
      <c r="E87" s="150"/>
      <c r="F87" s="148"/>
      <c r="G87" s="149" t="s">
        <v>271</v>
      </c>
      <c r="H87" s="149" t="s">
        <v>316</v>
      </c>
      <c r="I87" s="149"/>
      <c r="J87" s="149" t="s">
        <v>94</v>
      </c>
      <c r="K87" s="149"/>
      <c r="L87" s="149"/>
      <c r="M87" s="149"/>
      <c r="N87" s="149"/>
      <c r="O87" s="149"/>
      <c r="P87" s="149"/>
      <c r="Q87" s="149" t="s">
        <v>317</v>
      </c>
      <c r="R87" s="149"/>
      <c r="S87" s="175" t="s">
        <v>306</v>
      </c>
      <c r="T87" s="149"/>
      <c r="U87" s="149"/>
      <c r="V87" s="149"/>
      <c r="W87" s="149"/>
      <c r="X87" s="149"/>
      <c r="Y87" s="149"/>
      <c r="Z87" s="149"/>
      <c r="AA87" s="149"/>
      <c r="AB87" s="149"/>
      <c r="AC87" s="149"/>
      <c r="AD87" s="149"/>
      <c r="AE87" s="149"/>
      <c r="AF87" s="150"/>
      <c r="AG87" s="148"/>
      <c r="AH87" s="149"/>
      <c r="AI87" s="149"/>
      <c r="AJ87" s="149"/>
      <c r="AK87" s="149"/>
      <c r="AL87" s="149"/>
      <c r="AM87" s="149"/>
      <c r="AN87" s="149"/>
      <c r="AO87" s="149"/>
      <c r="AP87" s="149"/>
      <c r="AQ87" s="149"/>
      <c r="AR87" s="149"/>
      <c r="AS87" s="149"/>
      <c r="AT87" s="149"/>
      <c r="AU87" s="149"/>
      <c r="AV87" s="149"/>
      <c r="AW87" s="149"/>
      <c r="AX87" s="149"/>
      <c r="AY87" s="149"/>
      <c r="AZ87" s="150"/>
      <c r="BA87" s="34" t="str">
        <f>IF(BB87&amp;BC87&lt;&gt;"",MAX(BA$5:BA86)+1,"")</f>
        <v/>
      </c>
      <c r="BB87" s="35"/>
      <c r="BC87" s="35"/>
      <c r="BD87" s="50"/>
      <c r="BE87" s="51"/>
      <c r="BF87" s="51"/>
      <c r="BG87" s="50"/>
      <c r="BH87" s="29"/>
      <c r="BI87" s="29"/>
    </row>
    <row r="88" spans="1:61" s="30" customFormat="1" ht="14.25" customHeight="1" x14ac:dyDescent="0.15">
      <c r="A88" s="200"/>
      <c r="B88" s="202"/>
      <c r="C88" s="148"/>
      <c r="D88" s="149"/>
      <c r="E88" s="150"/>
      <c r="F88" s="148"/>
      <c r="G88" s="149"/>
      <c r="H88" s="149"/>
      <c r="I88" s="149"/>
      <c r="J88" s="149"/>
      <c r="K88" s="149"/>
      <c r="L88" s="149"/>
      <c r="M88" s="149"/>
      <c r="N88" s="149"/>
      <c r="O88" s="149"/>
      <c r="P88" s="149"/>
      <c r="Q88" s="149"/>
      <c r="R88" s="149"/>
      <c r="S88" s="151" t="s">
        <v>406</v>
      </c>
      <c r="T88" s="149"/>
      <c r="U88" s="149"/>
      <c r="V88" s="149"/>
      <c r="W88" s="149"/>
      <c r="X88" s="149"/>
      <c r="Y88" s="149"/>
      <c r="Z88" s="149"/>
      <c r="AA88" s="149"/>
      <c r="AB88" s="149"/>
      <c r="AC88" s="149"/>
      <c r="AD88" s="149"/>
      <c r="AE88" s="149"/>
      <c r="AF88" s="150"/>
      <c r="AG88" s="148"/>
      <c r="AH88" s="149"/>
      <c r="AI88" s="149"/>
      <c r="AJ88" s="149"/>
      <c r="AK88" s="149"/>
      <c r="AL88" s="149"/>
      <c r="AM88" s="149"/>
      <c r="AN88" s="149"/>
      <c r="AO88" s="149"/>
      <c r="AP88" s="149"/>
      <c r="AQ88" s="149"/>
      <c r="AR88" s="149"/>
      <c r="AS88" s="149"/>
      <c r="AT88" s="149"/>
      <c r="AU88" s="149"/>
      <c r="AV88" s="149"/>
      <c r="AW88" s="149"/>
      <c r="AX88" s="149"/>
      <c r="AY88" s="149"/>
      <c r="AZ88" s="150"/>
      <c r="BA88" s="34" t="str">
        <f>IF(BB88&amp;BC88&lt;&gt;"",MAX(BA$5:BA87)+1,"")</f>
        <v/>
      </c>
      <c r="BB88" s="35"/>
      <c r="BC88" s="35"/>
      <c r="BD88" s="50"/>
      <c r="BE88" s="51"/>
      <c r="BF88" s="51"/>
      <c r="BG88" s="50"/>
      <c r="BH88" s="29"/>
      <c r="BI88" s="29"/>
    </row>
    <row r="89" spans="1:61" s="30" customFormat="1" ht="14.25" customHeight="1" x14ac:dyDescent="0.15">
      <c r="A89" s="200"/>
      <c r="B89" s="202"/>
      <c r="C89" s="148"/>
      <c r="D89" s="149"/>
      <c r="E89" s="150"/>
      <c r="F89" s="148"/>
      <c r="G89" s="149"/>
      <c r="H89" s="149"/>
      <c r="I89" s="149"/>
      <c r="J89" s="149"/>
      <c r="K89" s="149"/>
      <c r="L89" s="149"/>
      <c r="M89" s="149"/>
      <c r="N89" s="149"/>
      <c r="O89" s="149"/>
      <c r="P89" s="149"/>
      <c r="Q89" s="149"/>
      <c r="R89" s="149"/>
      <c r="S89" s="151"/>
      <c r="T89" s="151" t="s">
        <v>404</v>
      </c>
      <c r="U89" s="149"/>
      <c r="V89" s="149"/>
      <c r="W89" s="149"/>
      <c r="X89" s="149"/>
      <c r="Y89" s="149"/>
      <c r="Z89" s="149"/>
      <c r="AA89" s="149"/>
      <c r="AB89" s="149"/>
      <c r="AC89" s="149"/>
      <c r="AD89" s="149"/>
      <c r="AE89" s="149"/>
      <c r="AF89" s="150"/>
      <c r="AG89" s="148"/>
      <c r="AH89" s="149"/>
      <c r="AI89" s="149"/>
      <c r="AJ89" s="149"/>
      <c r="AK89" s="149"/>
      <c r="AL89" s="149"/>
      <c r="AM89" s="149"/>
      <c r="AN89" s="149"/>
      <c r="AO89" s="149"/>
      <c r="AP89" s="149"/>
      <c r="AQ89" s="149"/>
      <c r="AR89" s="149"/>
      <c r="AS89" s="149"/>
      <c r="AT89" s="149"/>
      <c r="AU89" s="149"/>
      <c r="AV89" s="149"/>
      <c r="AW89" s="149"/>
      <c r="AX89" s="149"/>
      <c r="AY89" s="149"/>
      <c r="AZ89" s="150"/>
      <c r="BA89" s="34" t="str">
        <f>IF(BB89&amp;BC89&lt;&gt;"",MAX(BA$5:BA88)+1,"")</f>
        <v/>
      </c>
      <c r="BB89" s="35"/>
      <c r="BC89" s="35"/>
      <c r="BD89" s="50"/>
      <c r="BE89" s="51"/>
      <c r="BF89" s="51"/>
      <c r="BG89" s="50"/>
      <c r="BH89" s="29"/>
      <c r="BI89" s="29"/>
    </row>
    <row r="90" spans="1:61" s="30" customFormat="1" ht="14.25" customHeight="1" x14ac:dyDescent="0.15">
      <c r="A90" s="200"/>
      <c r="B90" s="202"/>
      <c r="C90" s="148"/>
      <c r="D90" s="149"/>
      <c r="E90" s="150"/>
      <c r="F90" s="148"/>
      <c r="G90" s="149"/>
      <c r="H90" s="149"/>
      <c r="I90" s="149"/>
      <c r="J90" s="149"/>
      <c r="K90" s="149"/>
      <c r="L90" s="149"/>
      <c r="M90" s="149"/>
      <c r="N90" s="149"/>
      <c r="O90" s="149"/>
      <c r="P90" s="149"/>
      <c r="Q90" s="149"/>
      <c r="R90" s="149"/>
      <c r="S90" s="151" t="s">
        <v>405</v>
      </c>
      <c r="T90" s="149"/>
      <c r="U90" s="149"/>
      <c r="V90" s="149"/>
      <c r="W90" s="149"/>
      <c r="X90" s="149"/>
      <c r="Y90" s="149"/>
      <c r="Z90" s="149"/>
      <c r="AA90" s="149"/>
      <c r="AB90" s="149"/>
      <c r="AC90" s="149"/>
      <c r="AD90" s="149"/>
      <c r="AE90" s="149"/>
      <c r="AF90" s="150"/>
      <c r="AG90" s="148"/>
      <c r="AH90" s="149"/>
      <c r="AI90" s="149"/>
      <c r="AJ90" s="149"/>
      <c r="AK90" s="149"/>
      <c r="AL90" s="149"/>
      <c r="AM90" s="149"/>
      <c r="AN90" s="149"/>
      <c r="AO90" s="149"/>
      <c r="AP90" s="149"/>
      <c r="AQ90" s="149"/>
      <c r="AR90" s="149"/>
      <c r="AS90" s="149"/>
      <c r="AT90" s="149"/>
      <c r="AU90" s="149"/>
      <c r="AV90" s="149"/>
      <c r="AW90" s="149"/>
      <c r="AX90" s="149"/>
      <c r="AY90" s="149"/>
      <c r="AZ90" s="150"/>
      <c r="BA90" s="34" t="str">
        <f>IF(BB90&amp;BC90&lt;&gt;"",MAX(BA$5:BA88)+1,"")</f>
        <v/>
      </c>
      <c r="BB90" s="35"/>
      <c r="BC90" s="35"/>
      <c r="BD90" s="50"/>
      <c r="BE90" s="51"/>
      <c r="BF90" s="51"/>
      <c r="BG90" s="50"/>
      <c r="BH90" s="29"/>
      <c r="BI90" s="29"/>
    </row>
    <row r="91" spans="1:61" s="30" customFormat="1" ht="14.25" customHeight="1" x14ac:dyDescent="0.15">
      <c r="A91" s="200"/>
      <c r="B91" s="202"/>
      <c r="C91" s="148"/>
      <c r="D91" s="149"/>
      <c r="E91" s="150"/>
      <c r="F91" s="148"/>
      <c r="G91" s="149"/>
      <c r="H91" s="149"/>
      <c r="I91" s="149"/>
      <c r="J91" s="149"/>
      <c r="K91" s="149"/>
      <c r="L91" s="149"/>
      <c r="M91" s="149"/>
      <c r="N91" s="149"/>
      <c r="O91" s="149"/>
      <c r="P91" s="149"/>
      <c r="Q91" s="149"/>
      <c r="R91" s="149"/>
      <c r="S91" s="149"/>
      <c r="T91" s="151" t="s">
        <v>312</v>
      </c>
      <c r="U91" s="149"/>
      <c r="V91" s="149"/>
      <c r="W91" s="149"/>
      <c r="X91" s="149"/>
      <c r="Y91" s="149"/>
      <c r="Z91" s="149"/>
      <c r="AA91" s="149"/>
      <c r="AB91" s="149"/>
      <c r="AC91" s="149"/>
      <c r="AD91" s="149"/>
      <c r="AE91" s="149"/>
      <c r="AF91" s="150"/>
      <c r="AG91" s="148"/>
      <c r="AH91" s="149"/>
      <c r="AI91" s="149"/>
      <c r="AJ91" s="149"/>
      <c r="AK91" s="149"/>
      <c r="AL91" s="149"/>
      <c r="AM91" s="149"/>
      <c r="AN91" s="149"/>
      <c r="AO91" s="149"/>
      <c r="AP91" s="149"/>
      <c r="AQ91" s="149"/>
      <c r="AR91" s="149"/>
      <c r="AS91" s="149"/>
      <c r="AT91" s="149"/>
      <c r="AU91" s="149"/>
      <c r="AV91" s="149"/>
      <c r="AW91" s="149"/>
      <c r="AX91" s="149"/>
      <c r="AY91" s="149"/>
      <c r="AZ91" s="150"/>
      <c r="BA91" s="34" t="str">
        <f>IF(BB91&amp;BC91&lt;&gt;"",MAX(BA$5:BA89)+1,"")</f>
        <v/>
      </c>
      <c r="BB91" s="35"/>
      <c r="BC91" s="35"/>
      <c r="BD91" s="50"/>
      <c r="BE91" s="51"/>
      <c r="BF91" s="51"/>
      <c r="BG91" s="50"/>
      <c r="BH91" s="29"/>
      <c r="BI91" s="29"/>
    </row>
    <row r="92" spans="1:61" s="30" customFormat="1" ht="14.25" customHeight="1" x14ac:dyDescent="0.15">
      <c r="A92" s="200"/>
      <c r="B92" s="202"/>
      <c r="C92" s="148"/>
      <c r="D92" s="149"/>
      <c r="E92" s="150"/>
      <c r="F92" s="148"/>
      <c r="G92" s="149" t="s">
        <v>271</v>
      </c>
      <c r="H92" s="149" t="s">
        <v>316</v>
      </c>
      <c r="I92" s="149"/>
      <c r="J92" s="149" t="s">
        <v>280</v>
      </c>
      <c r="K92" s="149"/>
      <c r="L92" s="149"/>
      <c r="M92" s="149"/>
      <c r="N92" s="149"/>
      <c r="O92" s="149"/>
      <c r="P92" s="149"/>
      <c r="Q92" s="149" t="s">
        <v>317</v>
      </c>
      <c r="R92" s="149"/>
      <c r="S92" s="149" t="s">
        <v>307</v>
      </c>
      <c r="T92" s="149"/>
      <c r="U92" s="149"/>
      <c r="V92" s="149"/>
      <c r="W92" s="149"/>
      <c r="X92" s="149"/>
      <c r="Y92" s="149"/>
      <c r="Z92" s="149"/>
      <c r="AA92" s="149"/>
      <c r="AB92" s="149"/>
      <c r="AC92" s="149"/>
      <c r="AD92" s="149"/>
      <c r="AE92" s="149"/>
      <c r="AF92" s="150"/>
      <c r="AG92" s="148"/>
      <c r="AH92" s="149"/>
      <c r="AI92" s="149"/>
      <c r="AJ92" s="149"/>
      <c r="AK92" s="149"/>
      <c r="AL92" s="149"/>
      <c r="AM92" s="149"/>
      <c r="AN92" s="149"/>
      <c r="AO92" s="149"/>
      <c r="AP92" s="149"/>
      <c r="AQ92" s="149"/>
      <c r="AR92" s="149"/>
      <c r="AS92" s="149"/>
      <c r="AT92" s="149"/>
      <c r="AU92" s="149"/>
      <c r="AV92" s="149"/>
      <c r="AW92" s="149"/>
      <c r="AX92" s="149"/>
      <c r="AY92" s="149"/>
      <c r="AZ92" s="150"/>
      <c r="BA92" s="34" t="str">
        <f>IF(BB92&amp;BC92&lt;&gt;"",MAX(BA$5:BA87)+1,"")</f>
        <v/>
      </c>
      <c r="BB92" s="35"/>
      <c r="BC92" s="35"/>
      <c r="BD92" s="50"/>
      <c r="BE92" s="51"/>
      <c r="BF92" s="51"/>
      <c r="BG92" s="50"/>
      <c r="BH92" s="29"/>
      <c r="BI92" s="29"/>
    </row>
    <row r="93" spans="1:61" s="30" customFormat="1" ht="14.25" customHeight="1" x14ac:dyDescent="0.15">
      <c r="A93" s="200"/>
      <c r="B93" s="202"/>
      <c r="C93" s="148"/>
      <c r="D93" s="149"/>
      <c r="E93" s="150"/>
      <c r="F93" s="148"/>
      <c r="G93" s="149"/>
      <c r="H93" s="149"/>
      <c r="I93" s="149"/>
      <c r="J93" s="149"/>
      <c r="K93" s="149"/>
      <c r="L93" s="149"/>
      <c r="M93" s="149"/>
      <c r="N93" s="149"/>
      <c r="O93" s="149"/>
      <c r="P93" s="149"/>
      <c r="Q93" s="149"/>
      <c r="R93" s="149"/>
      <c r="S93" s="149"/>
      <c r="T93" s="43" t="s">
        <v>308</v>
      </c>
      <c r="U93" s="149"/>
      <c r="V93" s="149"/>
      <c r="W93" s="149"/>
      <c r="X93" s="149"/>
      <c r="Y93" s="149"/>
      <c r="Z93" s="149"/>
      <c r="AA93" s="149"/>
      <c r="AB93" s="149"/>
      <c r="AC93" s="149"/>
      <c r="AD93" s="149"/>
      <c r="AE93" s="149"/>
      <c r="AF93" s="150"/>
      <c r="AG93" s="148"/>
      <c r="AH93" s="149"/>
      <c r="AI93" s="149"/>
      <c r="AJ93" s="149"/>
      <c r="AK93" s="149"/>
      <c r="AL93" s="149"/>
      <c r="AM93" s="149"/>
      <c r="AN93" s="149"/>
      <c r="AO93" s="149"/>
      <c r="AP93" s="149"/>
      <c r="AQ93" s="149"/>
      <c r="AR93" s="149"/>
      <c r="AS93" s="149"/>
      <c r="AT93" s="149"/>
      <c r="AU93" s="149"/>
      <c r="AV93" s="149"/>
      <c r="AW93" s="149"/>
      <c r="AX93" s="149"/>
      <c r="AY93" s="149"/>
      <c r="AZ93" s="150"/>
      <c r="BA93" s="34" t="str">
        <f>IF(BB93&amp;BC93&lt;&gt;"",MAX(BA$5:BA92)+1,"")</f>
        <v/>
      </c>
      <c r="BB93" s="35"/>
      <c r="BC93" s="35"/>
      <c r="BD93" s="50"/>
      <c r="BE93" s="51"/>
      <c r="BF93" s="51"/>
      <c r="BG93" s="50"/>
      <c r="BH93" s="29"/>
      <c r="BI93" s="29"/>
    </row>
    <row r="94" spans="1:61" s="30" customFormat="1" ht="14.25" customHeight="1" x14ac:dyDescent="0.15">
      <c r="A94" s="200"/>
      <c r="B94" s="202"/>
      <c r="C94" s="148"/>
      <c r="D94" s="149"/>
      <c r="E94" s="150"/>
      <c r="F94" s="148"/>
      <c r="G94" s="149"/>
      <c r="H94" s="149"/>
      <c r="I94" s="149"/>
      <c r="J94" s="149"/>
      <c r="K94" s="149"/>
      <c r="L94" s="149"/>
      <c r="M94" s="149"/>
      <c r="N94" s="149"/>
      <c r="O94" s="149"/>
      <c r="P94" s="149"/>
      <c r="Q94" s="149"/>
      <c r="R94" s="149"/>
      <c r="S94" s="149" t="s">
        <v>309</v>
      </c>
      <c r="T94" s="149"/>
      <c r="U94" s="149"/>
      <c r="V94" s="149"/>
      <c r="W94" s="149"/>
      <c r="X94" s="149"/>
      <c r="Y94" s="149"/>
      <c r="Z94" s="149"/>
      <c r="AA94" s="149"/>
      <c r="AB94" s="149"/>
      <c r="AC94" s="149"/>
      <c r="AD94" s="149"/>
      <c r="AE94" s="149"/>
      <c r="AF94" s="150"/>
      <c r="AG94" s="148"/>
      <c r="AH94" s="149"/>
      <c r="AI94" s="149"/>
      <c r="AJ94" s="149"/>
      <c r="AK94" s="149"/>
      <c r="AL94" s="149"/>
      <c r="AM94" s="149"/>
      <c r="AN94" s="149"/>
      <c r="AO94" s="149"/>
      <c r="AP94" s="149"/>
      <c r="AQ94" s="149"/>
      <c r="AR94" s="149"/>
      <c r="AS94" s="149"/>
      <c r="AT94" s="149"/>
      <c r="AU94" s="149"/>
      <c r="AV94" s="149"/>
      <c r="AW94" s="149"/>
      <c r="AX94" s="149"/>
      <c r="AY94" s="149"/>
      <c r="AZ94" s="150"/>
      <c r="BA94" s="34" t="str">
        <f>IF(BB94&amp;BC94&lt;&gt;"",MAX(BA$5:BA93)+1,"")</f>
        <v/>
      </c>
      <c r="BB94" s="35"/>
      <c r="BC94" s="35"/>
      <c r="BD94" s="50"/>
      <c r="BE94" s="51"/>
      <c r="BF94" s="51"/>
      <c r="BG94" s="50"/>
      <c r="BH94" s="29"/>
      <c r="BI94" s="29"/>
    </row>
    <row r="95" spans="1:61" s="30" customFormat="1" ht="14.25" customHeight="1" x14ac:dyDescent="0.15">
      <c r="A95" s="200"/>
      <c r="B95" s="202"/>
      <c r="C95" s="148"/>
      <c r="D95" s="149"/>
      <c r="E95" s="150"/>
      <c r="F95" s="148"/>
      <c r="G95" s="149"/>
      <c r="H95" s="149"/>
      <c r="I95" s="149"/>
      <c r="J95" s="149"/>
      <c r="K95" s="149"/>
      <c r="L95" s="149"/>
      <c r="M95" s="149"/>
      <c r="N95" s="149"/>
      <c r="O95" s="149"/>
      <c r="P95" s="149"/>
      <c r="Q95" s="149"/>
      <c r="R95" s="149"/>
      <c r="S95" s="149"/>
      <c r="T95" s="43" t="s">
        <v>310</v>
      </c>
      <c r="U95" s="149"/>
      <c r="V95" s="149"/>
      <c r="W95" s="149"/>
      <c r="X95" s="149"/>
      <c r="Y95" s="149"/>
      <c r="Z95" s="149"/>
      <c r="AA95" s="149"/>
      <c r="AB95" s="149"/>
      <c r="AC95" s="149"/>
      <c r="AD95" s="149"/>
      <c r="AE95" s="149"/>
      <c r="AF95" s="150"/>
      <c r="AG95" s="148"/>
      <c r="AH95" s="149"/>
      <c r="AI95" s="149"/>
      <c r="AJ95" s="149"/>
      <c r="AK95" s="149"/>
      <c r="AL95" s="149"/>
      <c r="AM95" s="149"/>
      <c r="AN95" s="149"/>
      <c r="AO95" s="149"/>
      <c r="AP95" s="149"/>
      <c r="AQ95" s="149"/>
      <c r="AR95" s="149"/>
      <c r="AS95" s="149"/>
      <c r="AT95" s="149"/>
      <c r="AU95" s="149"/>
      <c r="AV95" s="149"/>
      <c r="AW95" s="149"/>
      <c r="AX95" s="149"/>
      <c r="AY95" s="149"/>
      <c r="AZ95" s="150"/>
      <c r="BA95" s="34" t="str">
        <f>IF(BB95&amp;BC95&lt;&gt;"",MAX(BA$5:BA94)+1,"")</f>
        <v/>
      </c>
      <c r="BB95" s="35"/>
      <c r="BC95" s="35"/>
      <c r="BD95" s="50"/>
      <c r="BE95" s="51"/>
      <c r="BF95" s="51"/>
      <c r="BG95" s="50"/>
      <c r="BH95" s="29"/>
      <c r="BI95" s="29"/>
    </row>
    <row r="96" spans="1:61" s="30" customFormat="1" ht="14.25" customHeight="1" x14ac:dyDescent="0.15">
      <c r="A96" s="200"/>
      <c r="B96" s="202"/>
      <c r="C96" s="148"/>
      <c r="D96" s="149"/>
      <c r="E96" s="150"/>
      <c r="F96" s="148"/>
      <c r="G96" s="149" t="s">
        <v>311</v>
      </c>
      <c r="H96" s="149" t="s">
        <v>316</v>
      </c>
      <c r="I96" s="149"/>
      <c r="J96" s="149" t="s">
        <v>283</v>
      </c>
      <c r="K96" s="149"/>
      <c r="L96" s="149"/>
      <c r="M96" s="149"/>
      <c r="N96" s="149"/>
      <c r="O96" s="149"/>
      <c r="P96" s="149"/>
      <c r="Q96" s="149" t="s">
        <v>317</v>
      </c>
      <c r="R96" s="149"/>
      <c r="S96" s="149" t="s">
        <v>91</v>
      </c>
      <c r="T96" s="149"/>
      <c r="U96" s="149"/>
      <c r="V96" s="149"/>
      <c r="W96" s="149"/>
      <c r="X96" s="149"/>
      <c r="Y96" s="149"/>
      <c r="Z96" s="149"/>
      <c r="AA96" s="149"/>
      <c r="AB96" s="149"/>
      <c r="AC96" s="149"/>
      <c r="AD96" s="149"/>
      <c r="AE96" s="149"/>
      <c r="AF96" s="150"/>
      <c r="AG96" s="148"/>
      <c r="AH96" s="149"/>
      <c r="AI96" s="149"/>
      <c r="AJ96" s="149"/>
      <c r="AK96" s="149"/>
      <c r="AL96" s="149"/>
      <c r="AM96" s="149"/>
      <c r="AN96" s="149"/>
      <c r="AO96" s="149"/>
      <c r="AP96" s="149"/>
      <c r="AQ96" s="149"/>
      <c r="AR96" s="149"/>
      <c r="AS96" s="149"/>
      <c r="AT96" s="149"/>
      <c r="AU96" s="149"/>
      <c r="AV96" s="149"/>
      <c r="AW96" s="149"/>
      <c r="AX96" s="149"/>
      <c r="AY96" s="149"/>
      <c r="AZ96" s="150"/>
      <c r="BA96" s="34" t="str">
        <f>IF(BB96&amp;BC96&lt;&gt;"",MAX(BA$5:BA95)+1,"")</f>
        <v/>
      </c>
      <c r="BB96" s="35"/>
      <c r="BC96" s="35"/>
      <c r="BD96" s="50"/>
      <c r="BE96" s="51"/>
      <c r="BF96" s="51"/>
      <c r="BG96" s="50"/>
      <c r="BH96" s="29"/>
      <c r="BI96" s="29"/>
    </row>
    <row r="97" spans="1:61" s="30" customFormat="1" ht="14.25" customHeight="1" x14ac:dyDescent="0.15">
      <c r="A97" s="200"/>
      <c r="B97" s="202"/>
      <c r="C97" s="148"/>
      <c r="D97" s="149"/>
      <c r="E97" s="150"/>
      <c r="F97" s="148"/>
      <c r="G97" s="149" t="s">
        <v>311</v>
      </c>
      <c r="H97" s="149" t="s">
        <v>316</v>
      </c>
      <c r="I97" s="149"/>
      <c r="J97" s="149" t="s">
        <v>42</v>
      </c>
      <c r="K97" s="149"/>
      <c r="L97" s="149"/>
      <c r="M97" s="149"/>
      <c r="N97" s="149"/>
      <c r="O97" s="149"/>
      <c r="P97" s="149"/>
      <c r="Q97" s="149" t="s">
        <v>317</v>
      </c>
      <c r="R97" s="149"/>
      <c r="S97" s="149" t="s">
        <v>312</v>
      </c>
      <c r="T97" s="149"/>
      <c r="U97" s="149"/>
      <c r="V97" s="149"/>
      <c r="W97" s="149"/>
      <c r="X97" s="149"/>
      <c r="Y97" s="149"/>
      <c r="Z97" s="149"/>
      <c r="AA97" s="149"/>
      <c r="AB97" s="149"/>
      <c r="AC97" s="149"/>
      <c r="AD97" s="149"/>
      <c r="AE97" s="149"/>
      <c r="AF97" s="150"/>
      <c r="AG97" s="148"/>
      <c r="AH97" s="149"/>
      <c r="AI97" s="149"/>
      <c r="AJ97" s="149"/>
      <c r="AK97" s="149"/>
      <c r="AL97" s="149"/>
      <c r="AM97" s="149"/>
      <c r="AN97" s="149"/>
      <c r="AO97" s="149"/>
      <c r="AP97" s="149"/>
      <c r="AQ97" s="149"/>
      <c r="AR97" s="149"/>
      <c r="AS97" s="149"/>
      <c r="AT97" s="149"/>
      <c r="AU97" s="149"/>
      <c r="AV97" s="149"/>
      <c r="AW97" s="149"/>
      <c r="AX97" s="149"/>
      <c r="AY97" s="149"/>
      <c r="AZ97" s="150"/>
      <c r="BA97" s="34" t="str">
        <f>IF(BB97&amp;BC97&lt;&gt;"",MAX(BA$5:BA96)+1,"")</f>
        <v/>
      </c>
      <c r="BB97" s="35"/>
      <c r="BC97" s="35"/>
      <c r="BD97" s="50"/>
      <c r="BE97" s="51"/>
      <c r="BF97" s="51"/>
      <c r="BG97" s="50"/>
      <c r="BH97" s="29"/>
      <c r="BI97" s="29"/>
    </row>
    <row r="98" spans="1:61" s="30" customFormat="1" ht="14.25" customHeight="1" x14ac:dyDescent="0.15">
      <c r="A98" s="200"/>
      <c r="B98" s="202"/>
      <c r="C98" s="148"/>
      <c r="D98" s="149"/>
      <c r="E98" s="150"/>
      <c r="F98" s="148"/>
      <c r="G98" s="149"/>
      <c r="H98" s="149"/>
      <c r="I98" s="149"/>
      <c r="J98" s="149"/>
      <c r="K98" s="149"/>
      <c r="L98" s="149"/>
      <c r="M98" s="149"/>
      <c r="N98" s="149"/>
      <c r="O98" s="149"/>
      <c r="P98" s="149"/>
      <c r="Q98" s="149"/>
      <c r="R98" s="149"/>
      <c r="S98" s="149"/>
      <c r="T98" s="149"/>
      <c r="U98" s="149"/>
      <c r="V98" s="149"/>
      <c r="W98" s="149"/>
      <c r="X98" s="149"/>
      <c r="Y98" s="149"/>
      <c r="Z98" s="149"/>
      <c r="AA98" s="149"/>
      <c r="AB98" s="149"/>
      <c r="AC98" s="149"/>
      <c r="AD98" s="149"/>
      <c r="AE98" s="149"/>
      <c r="AF98" s="150"/>
      <c r="AG98" s="148"/>
      <c r="AH98" s="149"/>
      <c r="AI98" s="149"/>
      <c r="AJ98" s="149"/>
      <c r="AK98" s="149"/>
      <c r="AL98" s="149"/>
      <c r="AM98" s="149"/>
      <c r="AN98" s="149"/>
      <c r="AO98" s="149"/>
      <c r="AP98" s="149"/>
      <c r="AQ98" s="149"/>
      <c r="AR98" s="149"/>
      <c r="AS98" s="149"/>
      <c r="AT98" s="149"/>
      <c r="AU98" s="149"/>
      <c r="AV98" s="149"/>
      <c r="AW98" s="149"/>
      <c r="AX98" s="149"/>
      <c r="AY98" s="149"/>
      <c r="AZ98" s="150"/>
      <c r="BA98" s="34" t="str">
        <f>IF(BB98&amp;BC98&lt;&gt;"",MAX(BA$5:BA97)+1,"")</f>
        <v/>
      </c>
      <c r="BB98" s="35"/>
      <c r="BC98" s="35"/>
      <c r="BD98" s="50"/>
      <c r="BE98" s="51"/>
      <c r="BF98" s="51"/>
      <c r="BG98" s="50"/>
      <c r="BH98" s="29"/>
      <c r="BI98" s="29"/>
    </row>
    <row r="99" spans="1:61" s="30" customFormat="1" ht="14.25" customHeight="1" x14ac:dyDescent="0.15">
      <c r="A99" s="200"/>
      <c r="B99" s="202"/>
      <c r="C99" s="148"/>
      <c r="D99" s="149"/>
      <c r="E99" s="150"/>
      <c r="F99" s="148" t="s">
        <v>289</v>
      </c>
      <c r="G99" s="149"/>
      <c r="H99" s="149"/>
      <c r="I99" s="149"/>
      <c r="J99" s="149"/>
      <c r="K99" s="149"/>
      <c r="L99" s="149"/>
      <c r="M99" s="149"/>
      <c r="N99" s="149"/>
      <c r="O99" s="149"/>
      <c r="P99" s="149"/>
      <c r="Q99" s="149"/>
      <c r="R99" s="149"/>
      <c r="S99" s="149"/>
      <c r="T99" s="149"/>
      <c r="U99" s="149"/>
      <c r="V99" s="149"/>
      <c r="W99" s="149"/>
      <c r="X99" s="149"/>
      <c r="Y99" s="149"/>
      <c r="Z99" s="149"/>
      <c r="AA99" s="149"/>
      <c r="AB99" s="149"/>
      <c r="AC99" s="149"/>
      <c r="AD99" s="149"/>
      <c r="AE99" s="149"/>
      <c r="AF99" s="150"/>
      <c r="AG99" s="148"/>
      <c r="AH99" s="149"/>
      <c r="AI99" s="149"/>
      <c r="AJ99" s="149"/>
      <c r="AK99" s="149"/>
      <c r="AL99" s="149"/>
      <c r="AM99" s="149"/>
      <c r="AN99" s="149"/>
      <c r="AO99" s="149"/>
      <c r="AP99" s="149"/>
      <c r="AQ99" s="149"/>
      <c r="AR99" s="149"/>
      <c r="AS99" s="149"/>
      <c r="AT99" s="149"/>
      <c r="AU99" s="149"/>
      <c r="AV99" s="149"/>
      <c r="AW99" s="149"/>
      <c r="AX99" s="149"/>
      <c r="AY99" s="149"/>
      <c r="AZ99" s="150"/>
      <c r="BA99" s="34" t="str">
        <f>IF(BB99&amp;BC99&lt;&gt;"",MAX(BA$5:BA98)+1,"")</f>
        <v/>
      </c>
      <c r="BB99" s="35"/>
      <c r="BC99" s="35"/>
      <c r="BD99" s="50"/>
      <c r="BE99" s="51"/>
      <c r="BF99" s="51"/>
      <c r="BG99" s="50"/>
      <c r="BH99" s="29"/>
      <c r="BI99" s="29"/>
    </row>
    <row r="100" spans="1:61" s="30" customFormat="1" ht="14.25" customHeight="1" x14ac:dyDescent="0.15">
      <c r="A100" s="200"/>
      <c r="B100" s="202"/>
      <c r="C100" s="148"/>
      <c r="D100" s="149"/>
      <c r="E100" s="150"/>
      <c r="F100" s="148"/>
      <c r="G100" s="149" t="s">
        <v>271</v>
      </c>
      <c r="H100" s="149" t="s">
        <v>318</v>
      </c>
      <c r="I100" s="149"/>
      <c r="J100" s="149"/>
      <c r="K100" s="149"/>
      <c r="L100" s="149"/>
      <c r="M100" s="149"/>
      <c r="N100" s="149"/>
      <c r="O100" s="149"/>
      <c r="P100" s="149"/>
      <c r="Q100" s="149"/>
      <c r="R100" s="149"/>
      <c r="S100" s="149"/>
      <c r="T100" s="149"/>
      <c r="U100" s="149"/>
      <c r="V100" s="149"/>
      <c r="W100" s="149"/>
      <c r="X100" s="149"/>
      <c r="Y100" s="149"/>
      <c r="Z100" s="149"/>
      <c r="AA100" s="149"/>
      <c r="AB100" s="149"/>
      <c r="AC100" s="149"/>
      <c r="AD100" s="149"/>
      <c r="AE100" s="149"/>
      <c r="AF100" s="150"/>
      <c r="AG100" s="148"/>
      <c r="AH100" s="149"/>
      <c r="AI100" s="149"/>
      <c r="AJ100" s="149"/>
      <c r="AK100" s="149"/>
      <c r="AL100" s="149"/>
      <c r="AM100" s="149"/>
      <c r="AN100" s="149"/>
      <c r="AO100" s="149"/>
      <c r="AP100" s="149"/>
      <c r="AQ100" s="149"/>
      <c r="AR100" s="149"/>
      <c r="AS100" s="149"/>
      <c r="AT100" s="149"/>
      <c r="AU100" s="149"/>
      <c r="AV100" s="149"/>
      <c r="AW100" s="149"/>
      <c r="AX100" s="149"/>
      <c r="AY100" s="149"/>
      <c r="AZ100" s="150"/>
      <c r="BA100" s="34" t="str">
        <f>IF(BB100&amp;BC100&lt;&gt;"",MAX(BA$5:BA99)+1,"")</f>
        <v/>
      </c>
      <c r="BB100" s="35"/>
      <c r="BC100" s="35"/>
      <c r="BD100" s="50"/>
      <c r="BE100" s="51"/>
      <c r="BF100" s="51"/>
      <c r="BG100" s="50"/>
      <c r="BH100" s="29"/>
      <c r="BI100" s="29"/>
    </row>
    <row r="101" spans="1:61" s="30" customFormat="1" ht="14.25" customHeight="1" x14ac:dyDescent="0.15">
      <c r="A101" s="200"/>
      <c r="B101" s="202"/>
      <c r="C101" s="148"/>
      <c r="D101" s="149"/>
      <c r="E101" s="150"/>
      <c r="F101" s="148"/>
      <c r="G101" s="149"/>
      <c r="H101" s="149"/>
      <c r="I101" s="149"/>
      <c r="J101" s="149"/>
      <c r="K101" s="149"/>
      <c r="L101" s="149"/>
      <c r="M101" s="149"/>
      <c r="N101" s="149"/>
      <c r="O101" s="149"/>
      <c r="P101" s="149"/>
      <c r="Q101" s="149"/>
      <c r="R101" s="149"/>
      <c r="S101" s="149"/>
      <c r="T101" s="149"/>
      <c r="U101" s="149"/>
      <c r="V101" s="149"/>
      <c r="W101" s="149"/>
      <c r="X101" s="149"/>
      <c r="Y101" s="149"/>
      <c r="Z101" s="149"/>
      <c r="AA101" s="149"/>
      <c r="AB101" s="149"/>
      <c r="AC101" s="149"/>
      <c r="AD101" s="149"/>
      <c r="AE101" s="149"/>
      <c r="AF101" s="41"/>
      <c r="AG101" s="148"/>
      <c r="AH101" s="149"/>
      <c r="AI101" s="149"/>
      <c r="AJ101" s="149"/>
      <c r="AK101" s="149"/>
      <c r="AL101" s="149"/>
      <c r="AM101" s="149"/>
      <c r="AN101" s="149"/>
      <c r="AO101" s="149"/>
      <c r="AP101" s="149"/>
      <c r="AQ101" s="149"/>
      <c r="AR101" s="149"/>
      <c r="AS101" s="149"/>
      <c r="AT101" s="149"/>
      <c r="AU101" s="149"/>
      <c r="AV101" s="149"/>
      <c r="AW101" s="149"/>
      <c r="AX101" s="149"/>
      <c r="AY101" s="149"/>
      <c r="AZ101" s="150"/>
      <c r="BA101" s="34" t="str">
        <f>IF(BB101&amp;BC101&lt;&gt;"",MAX(BA$5:BA100)+1,"")</f>
        <v/>
      </c>
      <c r="BB101" s="35"/>
      <c r="BC101" s="35"/>
      <c r="BD101" s="50"/>
      <c r="BE101" s="51"/>
      <c r="BF101" s="51"/>
      <c r="BG101" s="50"/>
      <c r="BH101" s="29"/>
      <c r="BI101" s="29"/>
    </row>
    <row r="102" spans="1:61" s="30" customFormat="1" ht="14.25" customHeight="1" x14ac:dyDescent="0.15">
      <c r="A102" s="200"/>
      <c r="B102" s="202"/>
      <c r="C102" s="148"/>
      <c r="D102" s="149"/>
      <c r="E102" s="150"/>
      <c r="F102" s="148"/>
      <c r="G102" s="149"/>
      <c r="H102" s="149"/>
      <c r="I102" s="149"/>
      <c r="J102" s="149"/>
      <c r="K102" s="149"/>
      <c r="L102" s="149"/>
      <c r="M102" s="149"/>
      <c r="N102" s="149"/>
      <c r="O102" s="149"/>
      <c r="P102" s="149"/>
      <c r="Q102" s="149"/>
      <c r="R102" s="149"/>
      <c r="S102" s="149"/>
      <c r="T102" s="149"/>
      <c r="U102" s="149"/>
      <c r="V102" s="149"/>
      <c r="W102" s="149"/>
      <c r="X102" s="149"/>
      <c r="Y102" s="149"/>
      <c r="Z102" s="149"/>
      <c r="AA102" s="149"/>
      <c r="AB102" s="149"/>
      <c r="AC102" s="149"/>
      <c r="AD102" s="149"/>
      <c r="AE102" s="149"/>
      <c r="AF102" s="150"/>
      <c r="AG102" s="148"/>
      <c r="AH102" s="149"/>
      <c r="AI102" s="149"/>
      <c r="AJ102" s="149"/>
      <c r="AK102" s="149"/>
      <c r="AL102" s="149"/>
      <c r="AM102" s="149"/>
      <c r="AN102" s="149"/>
      <c r="AO102" s="149"/>
      <c r="AP102" s="149"/>
      <c r="AQ102" s="149"/>
      <c r="AR102" s="149"/>
      <c r="AS102" s="149"/>
      <c r="AT102" s="149"/>
      <c r="AU102" s="149"/>
      <c r="AV102" s="149"/>
      <c r="AW102" s="149"/>
      <c r="AX102" s="149"/>
      <c r="AY102" s="149"/>
      <c r="AZ102" s="150"/>
      <c r="BA102" s="34" t="str">
        <f>IF(BB102&amp;BC102&lt;&gt;"",MAX(BA$5:BA101)+1,"")</f>
        <v/>
      </c>
      <c r="BB102" s="35"/>
      <c r="BC102" s="35"/>
      <c r="BD102" s="50"/>
      <c r="BE102" s="51"/>
      <c r="BF102" s="51"/>
      <c r="BG102" s="50"/>
      <c r="BH102" s="29"/>
      <c r="BI102" s="29"/>
    </row>
    <row r="103" spans="1:61" s="30" customFormat="1" ht="14.25" customHeight="1" x14ac:dyDescent="0.15">
      <c r="A103" s="200"/>
      <c r="B103" s="202"/>
      <c r="C103" s="148"/>
      <c r="D103" s="149"/>
      <c r="E103" s="150"/>
      <c r="F103" s="148"/>
      <c r="G103" s="149"/>
      <c r="H103" s="149"/>
      <c r="I103" s="149"/>
      <c r="J103" s="149"/>
      <c r="K103" s="149"/>
      <c r="L103" s="149"/>
      <c r="M103" s="149"/>
      <c r="N103" s="149"/>
      <c r="O103" s="149"/>
      <c r="P103" s="149"/>
      <c r="Q103" s="149"/>
      <c r="R103" s="149"/>
      <c r="S103" s="149"/>
      <c r="T103" s="149"/>
      <c r="U103" s="149"/>
      <c r="V103" s="149"/>
      <c r="W103" s="149"/>
      <c r="X103" s="149"/>
      <c r="Y103" s="149"/>
      <c r="Z103" s="149"/>
      <c r="AA103" s="149"/>
      <c r="AB103" s="149"/>
      <c r="AC103" s="149"/>
      <c r="AD103" s="149"/>
      <c r="AE103" s="149"/>
      <c r="AF103" s="150"/>
      <c r="AG103" s="148"/>
      <c r="AH103" s="149"/>
      <c r="AI103" s="149"/>
      <c r="AJ103" s="149"/>
      <c r="AK103" s="149"/>
      <c r="AL103" s="149"/>
      <c r="AM103" s="149"/>
      <c r="AN103" s="149"/>
      <c r="AO103" s="149"/>
      <c r="AP103" s="149"/>
      <c r="AQ103" s="149"/>
      <c r="AR103" s="149"/>
      <c r="AS103" s="149"/>
      <c r="AT103" s="149"/>
      <c r="AU103" s="149"/>
      <c r="AV103" s="149"/>
      <c r="AW103" s="149"/>
      <c r="AX103" s="149"/>
      <c r="AY103" s="149"/>
      <c r="AZ103" s="150"/>
      <c r="BA103" s="34" t="str">
        <f>IF(BB103&amp;BC103&lt;&gt;"",MAX(BA$5:BA102)+1,"")</f>
        <v/>
      </c>
      <c r="BB103" s="35"/>
      <c r="BC103" s="35"/>
      <c r="BD103" s="50"/>
      <c r="BE103" s="51"/>
      <c r="BF103" s="51"/>
      <c r="BG103" s="50"/>
      <c r="BH103" s="29"/>
      <c r="BI103" s="29"/>
    </row>
    <row r="104" spans="1:61" s="30" customFormat="1" ht="14.25" customHeight="1" x14ac:dyDescent="0.15">
      <c r="A104" s="200"/>
      <c r="B104" s="202"/>
      <c r="C104" s="31"/>
      <c r="D104" s="32"/>
      <c r="E104" s="33"/>
      <c r="F104" s="31"/>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3"/>
      <c r="AG104" s="31"/>
      <c r="AH104" s="32"/>
      <c r="AI104" s="32"/>
      <c r="AJ104" s="32"/>
      <c r="AK104" s="32"/>
      <c r="AL104" s="32"/>
      <c r="AM104" s="32"/>
      <c r="AN104" s="32"/>
      <c r="AO104" s="32"/>
      <c r="AP104" s="32"/>
      <c r="AQ104" s="32"/>
      <c r="AR104" s="32"/>
      <c r="AS104" s="32"/>
      <c r="AT104" s="32"/>
      <c r="AU104" s="32"/>
      <c r="AV104" s="32"/>
      <c r="AW104" s="32"/>
      <c r="AX104" s="32"/>
      <c r="AY104" s="32"/>
      <c r="AZ104" s="33"/>
      <c r="BA104" s="34" t="str">
        <f>IF(BB104&amp;BC104&lt;&gt;"",MAX(BA$5:BA103)+1,"")</f>
        <v/>
      </c>
      <c r="BB104" s="35"/>
      <c r="BC104" s="35"/>
      <c r="BD104" s="36"/>
      <c r="BE104" s="37"/>
      <c r="BF104" s="37"/>
      <c r="BG104" s="36"/>
      <c r="BH104" s="29"/>
      <c r="BI104" s="29"/>
    </row>
    <row r="105" spans="1:61" s="30" customFormat="1" ht="14.25" customHeight="1" x14ac:dyDescent="0.15">
      <c r="A105" s="200"/>
      <c r="B105" s="202"/>
      <c r="C105" s="31"/>
      <c r="D105" s="32"/>
      <c r="E105" s="33"/>
      <c r="F105" s="31"/>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3"/>
      <c r="AG105" s="31"/>
      <c r="AH105" s="32"/>
      <c r="AI105" s="32"/>
      <c r="AJ105" s="32"/>
      <c r="AK105" s="32"/>
      <c r="AL105" s="32"/>
      <c r="AM105" s="32"/>
      <c r="AN105" s="32"/>
      <c r="AO105" s="32"/>
      <c r="AP105" s="32"/>
      <c r="AQ105" s="32"/>
      <c r="AR105" s="32"/>
      <c r="AS105" s="32"/>
      <c r="AT105" s="32"/>
      <c r="AU105" s="32"/>
      <c r="AV105" s="32"/>
      <c r="AW105" s="32"/>
      <c r="AX105" s="32"/>
      <c r="AY105" s="32"/>
      <c r="AZ105" s="33"/>
      <c r="BA105" s="34" t="str">
        <f>IF(BB105&amp;BC105&lt;&gt;"",MAX(BA$5:BA104)+1,"")</f>
        <v/>
      </c>
      <c r="BB105" s="35"/>
      <c r="BC105" s="35"/>
      <c r="BD105" s="50"/>
      <c r="BE105" s="51"/>
      <c r="BF105" s="51"/>
      <c r="BG105" s="50"/>
      <c r="BH105" s="29"/>
      <c r="BI105" s="29"/>
    </row>
    <row r="106" spans="1:61" s="30" customFormat="1" ht="14.25" customHeight="1" x14ac:dyDescent="0.15">
      <c r="A106" s="200"/>
      <c r="B106" s="202"/>
      <c r="C106" s="31"/>
      <c r="D106" s="32"/>
      <c r="E106" s="33"/>
      <c r="F106" s="31"/>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3"/>
      <c r="AG106" s="31"/>
      <c r="AH106" s="32"/>
      <c r="AI106" s="32"/>
      <c r="AJ106" s="32"/>
      <c r="AK106" s="32"/>
      <c r="AL106" s="32"/>
      <c r="AM106" s="32"/>
      <c r="AN106" s="32"/>
      <c r="AO106" s="32"/>
      <c r="AP106" s="32"/>
      <c r="AQ106" s="32"/>
      <c r="AR106" s="32"/>
      <c r="AS106" s="32"/>
      <c r="AT106" s="32"/>
      <c r="AU106" s="32"/>
      <c r="AV106" s="32"/>
      <c r="AW106" s="32"/>
      <c r="AX106" s="32"/>
      <c r="AY106" s="32"/>
      <c r="AZ106" s="33"/>
      <c r="BA106" s="34" t="str">
        <f>IF(BB106&amp;BC106&lt;&gt;"",MAX(BA$5:BA105)+1,"")</f>
        <v/>
      </c>
      <c r="BB106" s="35"/>
      <c r="BC106" s="35"/>
      <c r="BD106" s="36"/>
      <c r="BE106" s="37"/>
      <c r="BF106" s="37"/>
      <c r="BG106" s="36"/>
      <c r="BH106" s="29"/>
      <c r="BI106" s="29"/>
    </row>
    <row r="107" spans="1:61" s="30" customFormat="1" ht="14.25" customHeight="1" x14ac:dyDescent="0.15">
      <c r="A107" s="200"/>
      <c r="B107" s="202"/>
      <c r="C107" s="31"/>
      <c r="D107" s="32"/>
      <c r="E107" s="33"/>
      <c r="F107" s="31"/>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3"/>
      <c r="AG107" s="31"/>
      <c r="AH107" s="32"/>
      <c r="AI107" s="32"/>
      <c r="AJ107" s="32"/>
      <c r="AK107" s="32"/>
      <c r="AL107" s="32"/>
      <c r="AM107" s="32"/>
      <c r="AN107" s="32"/>
      <c r="AO107" s="32"/>
      <c r="AP107" s="32"/>
      <c r="AQ107" s="32"/>
      <c r="AR107" s="32"/>
      <c r="AS107" s="32"/>
      <c r="AT107" s="32"/>
      <c r="AU107" s="32"/>
      <c r="AV107" s="32"/>
      <c r="AW107" s="32"/>
      <c r="AX107" s="32"/>
      <c r="AY107" s="32"/>
      <c r="AZ107" s="33"/>
      <c r="BA107" s="34" t="str">
        <f>IF(BB107&amp;BC107&lt;&gt;"",MAX(BA$5:BA106)+1,"")</f>
        <v/>
      </c>
      <c r="BB107" s="35"/>
      <c r="BC107" s="35"/>
      <c r="BD107" s="50"/>
      <c r="BE107" s="51"/>
      <c r="BF107" s="51"/>
      <c r="BG107" s="50"/>
      <c r="BH107" s="29"/>
      <c r="BI107" s="29"/>
    </row>
    <row r="108" spans="1:61" s="30" customFormat="1" ht="14.25" customHeight="1" x14ac:dyDescent="0.15">
      <c r="A108" s="200"/>
      <c r="B108" s="202"/>
      <c r="C108" s="31"/>
      <c r="D108" s="32"/>
      <c r="E108" s="33"/>
      <c r="F108" s="31"/>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3"/>
      <c r="AG108" s="31"/>
      <c r="AH108" s="32"/>
      <c r="AI108" s="32"/>
      <c r="AJ108" s="32"/>
      <c r="AK108" s="32"/>
      <c r="AL108" s="32"/>
      <c r="AM108" s="32"/>
      <c r="AN108" s="32"/>
      <c r="AO108" s="32"/>
      <c r="AP108" s="32"/>
      <c r="AQ108" s="32"/>
      <c r="AR108" s="32"/>
      <c r="AS108" s="32"/>
      <c r="AT108" s="32"/>
      <c r="AU108" s="32"/>
      <c r="AV108" s="32"/>
      <c r="AW108" s="32"/>
      <c r="AX108" s="32"/>
      <c r="AY108" s="32"/>
      <c r="AZ108" s="33"/>
      <c r="BA108" s="34" t="str">
        <f>IF(BB108&amp;BC108&lt;&gt;"",MAX(BA$5:BA107)+1,"")</f>
        <v/>
      </c>
      <c r="BB108" s="35"/>
      <c r="BC108" s="35"/>
      <c r="BD108" s="36"/>
      <c r="BE108" s="37"/>
      <c r="BF108" s="37"/>
      <c r="BG108" s="36"/>
      <c r="BH108" s="29"/>
      <c r="BI108" s="29"/>
    </row>
    <row r="109" spans="1:61" s="30" customFormat="1" ht="14.25" customHeight="1" x14ac:dyDescent="0.15">
      <c r="A109" s="200"/>
      <c r="B109" s="202"/>
      <c r="C109" s="31"/>
      <c r="D109" s="32"/>
      <c r="E109" s="33"/>
      <c r="F109" s="31"/>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3"/>
      <c r="AG109" s="31"/>
      <c r="AH109" s="32"/>
      <c r="AI109" s="32"/>
      <c r="AJ109" s="32"/>
      <c r="AK109" s="32"/>
      <c r="AL109" s="32"/>
      <c r="AM109" s="32"/>
      <c r="AN109" s="32"/>
      <c r="AO109" s="32"/>
      <c r="AP109" s="32"/>
      <c r="AQ109" s="32"/>
      <c r="AR109" s="32"/>
      <c r="AS109" s="32"/>
      <c r="AT109" s="32"/>
      <c r="AU109" s="32"/>
      <c r="AV109" s="32"/>
      <c r="AW109" s="32"/>
      <c r="AX109" s="32"/>
      <c r="AY109" s="32"/>
      <c r="AZ109" s="33"/>
      <c r="BA109" s="34" t="str">
        <f>IF(BB109&amp;BC109&lt;&gt;"",MAX(BA$5:BA108)+1,"")</f>
        <v/>
      </c>
      <c r="BB109" s="35"/>
      <c r="BC109" s="35"/>
      <c r="BD109" s="50"/>
      <c r="BE109" s="51"/>
      <c r="BF109" s="51"/>
      <c r="BG109" s="50"/>
      <c r="BH109" s="29"/>
      <c r="BI109" s="29"/>
    </row>
    <row r="110" spans="1:61" s="30" customFormat="1" ht="14.25" customHeight="1" x14ac:dyDescent="0.15">
      <c r="A110" s="200"/>
      <c r="B110" s="202"/>
      <c r="C110" s="31"/>
      <c r="D110" s="32"/>
      <c r="E110" s="33"/>
      <c r="F110" s="31"/>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3"/>
      <c r="AG110" s="31"/>
      <c r="AH110" s="32"/>
      <c r="AI110" s="32"/>
      <c r="AJ110" s="32"/>
      <c r="AK110" s="32"/>
      <c r="AL110" s="32"/>
      <c r="AM110" s="32"/>
      <c r="AN110" s="32"/>
      <c r="AO110" s="32"/>
      <c r="AP110" s="32"/>
      <c r="AQ110" s="32"/>
      <c r="AR110" s="32"/>
      <c r="AS110" s="32"/>
      <c r="AT110" s="32"/>
      <c r="AU110" s="32"/>
      <c r="AV110" s="32"/>
      <c r="AW110" s="32"/>
      <c r="AX110" s="32"/>
      <c r="AY110" s="32"/>
      <c r="AZ110" s="33"/>
      <c r="BA110" s="34" t="str">
        <f>IF(BB110&amp;BC110&lt;&gt;"",MAX(BA$5:BA109)+1,"")</f>
        <v/>
      </c>
      <c r="BB110" s="35"/>
      <c r="BC110" s="35"/>
      <c r="BD110" s="36"/>
      <c r="BE110" s="37"/>
      <c r="BF110" s="37"/>
      <c r="BG110" s="36"/>
      <c r="BH110" s="29"/>
      <c r="BI110" s="29"/>
    </row>
    <row r="111" spans="1:61" s="30" customFormat="1" ht="14.25" customHeight="1" x14ac:dyDescent="0.15">
      <c r="A111" s="200"/>
      <c r="B111" s="202"/>
      <c r="C111" s="31"/>
      <c r="D111" s="32"/>
      <c r="E111" s="33"/>
      <c r="F111" s="31"/>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3"/>
      <c r="AG111" s="31"/>
      <c r="AH111" s="32"/>
      <c r="AI111" s="32"/>
      <c r="AJ111" s="32"/>
      <c r="AK111" s="32"/>
      <c r="AL111" s="32"/>
      <c r="AM111" s="32"/>
      <c r="AN111" s="32"/>
      <c r="AO111" s="32"/>
      <c r="AP111" s="32"/>
      <c r="AQ111" s="32"/>
      <c r="AR111" s="32"/>
      <c r="AS111" s="32"/>
      <c r="AT111" s="32"/>
      <c r="AU111" s="32"/>
      <c r="AV111" s="32"/>
      <c r="AW111" s="32"/>
      <c r="AX111" s="32"/>
      <c r="AY111" s="32"/>
      <c r="AZ111" s="33"/>
      <c r="BA111" s="34" t="str">
        <f>IF(BB111&amp;BC111&lt;&gt;"",MAX(BA$5:BA110)+1,"")</f>
        <v/>
      </c>
      <c r="BB111" s="35"/>
      <c r="BC111" s="35"/>
      <c r="BD111" s="50"/>
      <c r="BE111" s="51"/>
      <c r="BF111" s="51"/>
      <c r="BG111" s="50"/>
      <c r="BH111" s="29"/>
      <c r="BI111" s="29"/>
    </row>
    <row r="112" spans="1:61" s="30" customFormat="1" ht="14.25" customHeight="1" x14ac:dyDescent="0.15">
      <c r="A112" s="200"/>
      <c r="B112" s="202"/>
      <c r="C112" s="31"/>
      <c r="D112" s="32"/>
      <c r="E112" s="33"/>
      <c r="F112" s="31"/>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3"/>
      <c r="AG112" s="31"/>
      <c r="AH112" s="32"/>
      <c r="AI112" s="32"/>
      <c r="AJ112" s="32"/>
      <c r="AK112" s="32"/>
      <c r="AL112" s="32"/>
      <c r="AM112" s="32"/>
      <c r="AN112" s="32"/>
      <c r="AO112" s="32"/>
      <c r="AP112" s="32"/>
      <c r="AQ112" s="32"/>
      <c r="AR112" s="32"/>
      <c r="AS112" s="32"/>
      <c r="AT112" s="32"/>
      <c r="AU112" s="32"/>
      <c r="AV112" s="32"/>
      <c r="AW112" s="32"/>
      <c r="AX112" s="32"/>
      <c r="AY112" s="32"/>
      <c r="AZ112" s="33"/>
      <c r="BA112" s="34" t="str">
        <f>IF(BB112&amp;BC112&lt;&gt;"",MAX(BA$5:BA111)+1,"")</f>
        <v/>
      </c>
      <c r="BB112" s="35"/>
      <c r="BC112" s="35"/>
      <c r="BD112" s="50"/>
      <c r="BE112" s="51"/>
      <c r="BF112" s="51"/>
      <c r="BG112" s="50"/>
      <c r="BH112" s="29"/>
      <c r="BI112" s="29"/>
    </row>
  </sheetData>
  <mergeCells count="125">
    <mergeCell ref="BD2:BD3"/>
    <mergeCell ref="BE2:BE3"/>
    <mergeCell ref="BF2:BF3"/>
    <mergeCell ref="BG2:BG3"/>
    <mergeCell ref="K3:U3"/>
    <mergeCell ref="V3:AF3"/>
    <mergeCell ref="AG3:AZ3"/>
    <mergeCell ref="A1:J3"/>
    <mergeCell ref="K1:U1"/>
    <mergeCell ref="V1:AF1"/>
    <mergeCell ref="AG1:AZ1"/>
    <mergeCell ref="K2:U2"/>
    <mergeCell ref="V2:AF2"/>
    <mergeCell ref="AG2:AZ2"/>
    <mergeCell ref="A13:B13"/>
    <mergeCell ref="A5:B5"/>
    <mergeCell ref="C5:E5"/>
    <mergeCell ref="F5:AF5"/>
    <mergeCell ref="AG5:AZ5"/>
    <mergeCell ref="A6:B6"/>
    <mergeCell ref="A7:B7"/>
    <mergeCell ref="A8:B8"/>
    <mergeCell ref="A9:B9"/>
    <mergeCell ref="A10:B10"/>
    <mergeCell ref="A11:B11"/>
    <mergeCell ref="A12:B12"/>
    <mergeCell ref="A25:B25"/>
    <mergeCell ref="A14:B14"/>
    <mergeCell ref="A15:B15"/>
    <mergeCell ref="A16:B16"/>
    <mergeCell ref="A17:B17"/>
    <mergeCell ref="A18:B18"/>
    <mergeCell ref="A19:B19"/>
    <mergeCell ref="A20:B20"/>
    <mergeCell ref="A21:B21"/>
    <mergeCell ref="A22:B22"/>
    <mergeCell ref="A23:B23"/>
    <mergeCell ref="A24:B24"/>
    <mergeCell ref="A37:B37"/>
    <mergeCell ref="A26:B26"/>
    <mergeCell ref="A27:B27"/>
    <mergeCell ref="A28:B28"/>
    <mergeCell ref="A29:B29"/>
    <mergeCell ref="A30:B30"/>
    <mergeCell ref="A31:B31"/>
    <mergeCell ref="A32:B32"/>
    <mergeCell ref="A33:B33"/>
    <mergeCell ref="A34:B34"/>
    <mergeCell ref="A35:B35"/>
    <mergeCell ref="A36:B36"/>
    <mergeCell ref="A50:B50"/>
    <mergeCell ref="A51:B51"/>
    <mergeCell ref="A52:B52"/>
    <mergeCell ref="A53:B53"/>
    <mergeCell ref="A54:B54"/>
    <mergeCell ref="A55:B55"/>
    <mergeCell ref="A56:B56"/>
    <mergeCell ref="A49:B49"/>
    <mergeCell ref="A38:B38"/>
    <mergeCell ref="A39:B39"/>
    <mergeCell ref="A40:B40"/>
    <mergeCell ref="A41:B41"/>
    <mergeCell ref="A42:B42"/>
    <mergeCell ref="A43:B43"/>
    <mergeCell ref="A44:B44"/>
    <mergeCell ref="A45:B45"/>
    <mergeCell ref="A46:B46"/>
    <mergeCell ref="A47:B47"/>
    <mergeCell ref="A48:B48"/>
    <mergeCell ref="A57:B57"/>
    <mergeCell ref="A58:B58"/>
    <mergeCell ref="A59:B59"/>
    <mergeCell ref="A60:B60"/>
    <mergeCell ref="A61:B61"/>
    <mergeCell ref="A109:B109"/>
    <mergeCell ref="A110:B110"/>
    <mergeCell ref="A111:B111"/>
    <mergeCell ref="A112:B112"/>
    <mergeCell ref="A104:B104"/>
    <mergeCell ref="A105:B105"/>
    <mergeCell ref="A106:B106"/>
    <mergeCell ref="A107:B107"/>
    <mergeCell ref="A108:B108"/>
    <mergeCell ref="A67:B67"/>
    <mergeCell ref="A68:B68"/>
    <mergeCell ref="A69:B69"/>
    <mergeCell ref="A70:B70"/>
    <mergeCell ref="A71:B71"/>
    <mergeCell ref="A62:B62"/>
    <mergeCell ref="A63:B63"/>
    <mergeCell ref="A64:B64"/>
    <mergeCell ref="A65:B65"/>
    <mergeCell ref="A66:B66"/>
    <mergeCell ref="A77:B77"/>
    <mergeCell ref="A78:B78"/>
    <mergeCell ref="A79:B79"/>
    <mergeCell ref="A80:B80"/>
    <mergeCell ref="A81:B81"/>
    <mergeCell ref="A72:B72"/>
    <mergeCell ref="A73:B73"/>
    <mergeCell ref="A74:B74"/>
    <mergeCell ref="A75:B75"/>
    <mergeCell ref="A76:B76"/>
    <mergeCell ref="A87:B87"/>
    <mergeCell ref="A92:B92"/>
    <mergeCell ref="A93:B93"/>
    <mergeCell ref="A94:B94"/>
    <mergeCell ref="A95:B95"/>
    <mergeCell ref="A82:B82"/>
    <mergeCell ref="A83:B83"/>
    <mergeCell ref="A84:B84"/>
    <mergeCell ref="A85:B85"/>
    <mergeCell ref="A86:B86"/>
    <mergeCell ref="A88:B88"/>
    <mergeCell ref="A89:B89"/>
    <mergeCell ref="A91:B91"/>
    <mergeCell ref="A90:B90"/>
    <mergeCell ref="A101:B101"/>
    <mergeCell ref="A102:B102"/>
    <mergeCell ref="A103:B103"/>
    <mergeCell ref="A96:B96"/>
    <mergeCell ref="A97:B97"/>
    <mergeCell ref="A98:B98"/>
    <mergeCell ref="A99:B99"/>
    <mergeCell ref="A100:B100"/>
  </mergeCells>
  <phoneticPr fontId="2"/>
  <dataValidations count="4">
    <dataValidation type="list" allowBlank="1" showInputMessage="1" showErrorMessage="1" sqref="C6:D6 C7:C51 C52:D52 C53:C112" xr:uid="{E261004B-7C45-40D3-9DB1-16041CBD9A7F}">
      <formula1>"Select,Insert,Update,Delete"</formula1>
    </dataValidation>
    <dataValidation type="list" allowBlank="1" showInputMessage="1" showErrorMessage="1" sqref="BC6:BC112" xr:uid="{508D5C4F-1197-4034-A9CA-547F749EFC25}">
      <formula1>"有"</formula1>
    </dataValidation>
    <dataValidation type="list" allowBlank="1" showInputMessage="1" showErrorMessage="1" sqref="BF6:BF112" xr:uid="{4E8625AF-968F-4EB7-947B-919C1D4A365C}">
      <formula1>"○,×,×→○"</formula1>
    </dataValidation>
    <dataValidation type="list" allowBlank="1" showInputMessage="1" showErrorMessage="1" sqref="BB6:BB112" xr:uid="{0F3F1344-13DD-4356-8A77-30BABD5A2491}">
      <formula1>"正・単,正・複,異・単,異・複"</formula1>
    </dataValidation>
  </dataValidations>
  <pageMargins left="0.59055118110236227" right="0.59055118110236227" top="0.78740157480314965" bottom="0.59055118110236227" header="0.51181102362204722" footer="0.31496062992125984"/>
  <pageSetup paperSize="9" orientation="landscape" useFirstPageNumber="1" r:id="rId1"/>
  <headerFooter alignWithMargins="0">
    <oddFooter>&amp;CSQL詳細仕様－&amp;P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2:J25"/>
  <sheetViews>
    <sheetView workbookViewId="0"/>
  </sheetViews>
  <sheetFormatPr defaultRowHeight="13.5" x14ac:dyDescent="0.15"/>
  <cols>
    <col min="1" max="1" width="9" customWidth="1"/>
    <col min="2" max="3" width="27" customWidth="1"/>
  </cols>
  <sheetData>
    <row r="2" spans="2:9" x14ac:dyDescent="0.15">
      <c r="C2" s="381" t="s">
        <v>47</v>
      </c>
      <c r="D2" s="382"/>
      <c r="E2" s="382"/>
      <c r="F2" s="382"/>
      <c r="G2" s="382"/>
      <c r="H2" s="382"/>
      <c r="I2" s="382"/>
    </row>
    <row r="3" spans="2:9" x14ac:dyDescent="0.15">
      <c r="C3" s="382"/>
      <c r="D3" s="382"/>
      <c r="E3" s="382"/>
      <c r="F3" s="382"/>
      <c r="G3" s="382"/>
      <c r="H3" s="382"/>
      <c r="I3" s="382"/>
    </row>
    <row r="5" spans="2:9" x14ac:dyDescent="0.15">
      <c r="C5" s="1" t="s">
        <v>48</v>
      </c>
    </row>
    <row r="7" spans="2:9" x14ac:dyDescent="0.15">
      <c r="C7" s="1" t="s">
        <v>49</v>
      </c>
    </row>
    <row r="9" spans="2:9" x14ac:dyDescent="0.15">
      <c r="B9" s="4" t="s">
        <v>13</v>
      </c>
    </row>
    <row r="10" spans="2:9" x14ac:dyDescent="0.15">
      <c r="B10" t="s">
        <v>14</v>
      </c>
    </row>
    <row r="12" spans="2:9" s="5" customFormat="1" x14ac:dyDescent="0.15">
      <c r="B12" s="5" t="s">
        <v>51</v>
      </c>
      <c r="D12" s="5" t="s">
        <v>52</v>
      </c>
    </row>
    <row r="14" spans="2:9" s="5" customFormat="1" x14ac:dyDescent="0.15">
      <c r="B14" s="5" t="s">
        <v>43</v>
      </c>
      <c r="C14" s="5" t="s">
        <v>53</v>
      </c>
      <c r="D14" s="5" t="s">
        <v>7</v>
      </c>
    </row>
    <row r="16" spans="2:9" s="5" customFormat="1" x14ac:dyDescent="0.15">
      <c r="B16" s="5" t="s">
        <v>44</v>
      </c>
      <c r="D16" s="5" t="s">
        <v>8</v>
      </c>
    </row>
    <row r="18" spans="2:10" s="5" customFormat="1" x14ac:dyDescent="0.15">
      <c r="B18" s="5" t="s">
        <v>43</v>
      </c>
      <c r="D18" s="6" t="s">
        <v>3</v>
      </c>
      <c r="E18" s="6"/>
      <c r="F18" s="6"/>
      <c r="G18" s="6"/>
      <c r="H18" s="6"/>
      <c r="I18" s="7"/>
      <c r="J18" s="7"/>
    </row>
    <row r="19" spans="2:10" x14ac:dyDescent="0.15">
      <c r="C19" s="2"/>
      <c r="D19" s="3"/>
      <c r="E19" s="3"/>
      <c r="F19" s="3"/>
      <c r="G19" s="3"/>
      <c r="H19" s="3"/>
      <c r="I19" s="2"/>
      <c r="J19" s="2"/>
    </row>
    <row r="20" spans="2:10" s="5" customFormat="1" x14ac:dyDescent="0.15">
      <c r="B20" s="5" t="s">
        <v>50</v>
      </c>
      <c r="D20" s="5" t="s">
        <v>4</v>
      </c>
    </row>
    <row r="21" spans="2:10" x14ac:dyDescent="0.15">
      <c r="D21" t="s">
        <v>15</v>
      </c>
    </row>
    <row r="22" spans="2:10" s="5" customFormat="1" x14ac:dyDescent="0.15">
      <c r="B22" s="5" t="s">
        <v>6</v>
      </c>
      <c r="D22" s="5" t="s">
        <v>5</v>
      </c>
    </row>
    <row r="23" spans="2:10" x14ac:dyDescent="0.15">
      <c r="D23" t="s">
        <v>17</v>
      </c>
    </row>
    <row r="24" spans="2:10" s="5" customFormat="1" x14ac:dyDescent="0.15">
      <c r="B24" s="5" t="s">
        <v>45</v>
      </c>
      <c r="C24" s="5" t="s">
        <v>46</v>
      </c>
      <c r="D24" s="5" t="s">
        <v>16</v>
      </c>
    </row>
    <row r="25" spans="2:10" x14ac:dyDescent="0.15">
      <c r="D25" t="s">
        <v>18</v>
      </c>
    </row>
  </sheetData>
  <mergeCells count="1">
    <mergeCell ref="C2:I3"/>
  </mergeCells>
  <phoneticPr fontId="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9</vt:i4>
      </vt:variant>
    </vt:vector>
  </HeadingPairs>
  <TitlesOfParts>
    <vt:vector size="17" baseType="lpstr">
      <vt:lpstr>表紙</vt:lpstr>
      <vt:lpstr>改版履歴</vt:lpstr>
      <vt:lpstr>機能概要</vt:lpstr>
      <vt:lpstr>画面レイアウト</vt:lpstr>
      <vt:lpstr>項目仕様</vt:lpstr>
      <vt:lpstr>イベント仕様</vt:lpstr>
      <vt:lpstr>SQL詳細仕様</vt:lpstr>
      <vt:lpstr>機能シート</vt:lpstr>
      <vt:lpstr>SQL詳細仕様!Print_Area</vt:lpstr>
      <vt:lpstr>イベント仕様!Print_Area</vt:lpstr>
      <vt:lpstr>画面レイアウト!Print_Area</vt:lpstr>
      <vt:lpstr>改版履歴!Print_Area</vt:lpstr>
      <vt:lpstr>機能概要!Print_Area</vt:lpstr>
      <vt:lpstr>項目仕様!Print_Area</vt:lpstr>
      <vt:lpstr>イベント仕様!Print_Titles</vt:lpstr>
      <vt:lpstr>画面レイアウト!Print_Titles</vt:lpstr>
      <vt:lpstr>改版履歴!Print_Titles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HIRANO YOSHIHIRO(平野　嘉宏)</dc:creator>
  <cp:lastModifiedBy>NNNNNN</cp:lastModifiedBy>
  <cp:lastPrinted>2025-12-22T12:26:11Z</cp:lastPrinted>
  <dcterms:created xsi:type="dcterms:W3CDTF">1997-01-08T22:48:59Z</dcterms:created>
  <dcterms:modified xsi:type="dcterms:W3CDTF">2025-12-24T07:25:53Z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2025-11-25T00:01:01Z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10f17cf3-d1f9-4f83-a8df-83005ce53cf1</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ies>
</file>